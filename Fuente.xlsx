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Users\ediazm\Desktop\Eric\2026\2. Codigos\Visor\"/>
    </mc:Choice>
  </mc:AlternateContent>
  <xr:revisionPtr revIDLastSave="0" documentId="13_ncr:1_{2FB19227-44E2-479F-80C1-B2DC49354434}" xr6:coauthVersionLast="47" xr6:coauthVersionMax="47" xr10:uidLastSave="{00000000-0000-0000-0000-000000000000}"/>
  <bookViews>
    <workbookView xWindow="28680" yWindow="-1965" windowWidth="29040" windowHeight="15720" xr2:uid="{00000000-000D-0000-FFFF-FFFF00000000}"/>
  </bookViews>
  <sheets>
    <sheet name="CMG-PDO" sheetId="1" r:id="rId1"/>
    <sheet name="CMG-COS" sheetId="2" r:id="rId2"/>
    <sheet name="CMG-IEOD" sheetId="7" r:id="rId3"/>
    <sheet name="Hidro-ELP" sheetId="6" r:id="rId4"/>
    <sheet name="Hoja de Trabajo" sheetId="3" r:id="rId5"/>
    <sheet name="IEOD" sheetId="8" r:id="rId6"/>
    <sheet name="Resultado" sheetId="4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84" i="2" l="1"/>
  <c r="B484" i="2"/>
  <c r="A485" i="2"/>
  <c r="B485" i="2"/>
  <c r="A486" i="2"/>
  <c r="B486" i="2"/>
  <c r="A487" i="2"/>
  <c r="B487" i="2"/>
  <c r="A488" i="2"/>
  <c r="B488" i="2"/>
  <c r="A489" i="2"/>
  <c r="B489" i="2"/>
  <c r="A490" i="2"/>
  <c r="B490" i="2"/>
  <c r="A491" i="2"/>
  <c r="B491" i="2"/>
  <c r="A492" i="2"/>
  <c r="B492" i="2"/>
  <c r="A493" i="2"/>
  <c r="B493" i="2"/>
  <c r="A494" i="2"/>
  <c r="B494" i="2"/>
  <c r="A495" i="2"/>
  <c r="B495" i="2"/>
  <c r="A496" i="2"/>
  <c r="B496" i="2"/>
  <c r="A497" i="2"/>
  <c r="B497" i="2"/>
  <c r="A498" i="2"/>
  <c r="B498" i="2"/>
  <c r="A499" i="2"/>
  <c r="B499" i="2"/>
  <c r="A500" i="2"/>
  <c r="B500" i="2"/>
  <c r="A501" i="2"/>
  <c r="B501" i="2"/>
  <c r="A502" i="2"/>
  <c r="B502" i="2"/>
  <c r="A503" i="2"/>
  <c r="B503" i="2"/>
  <c r="A504" i="2"/>
  <c r="B504" i="2"/>
  <c r="A505" i="2"/>
  <c r="B505" i="2"/>
  <c r="A506" i="2"/>
  <c r="B506" i="2"/>
  <c r="A507" i="2"/>
  <c r="B507" i="2"/>
  <c r="A508" i="2"/>
  <c r="B508" i="2"/>
  <c r="A509" i="2"/>
  <c r="B509" i="2"/>
  <c r="A510" i="2"/>
  <c r="B510" i="2"/>
  <c r="A511" i="2"/>
  <c r="B511" i="2"/>
  <c r="A512" i="2"/>
  <c r="B512" i="2"/>
  <c r="A513" i="2"/>
  <c r="B513" i="2"/>
  <c r="A514" i="2"/>
  <c r="B514" i="2"/>
  <c r="A515" i="2"/>
  <c r="B515" i="2"/>
  <c r="A516" i="2"/>
  <c r="B516" i="2"/>
  <c r="A517" i="2"/>
  <c r="B517" i="2"/>
  <c r="A518" i="2"/>
  <c r="B518" i="2"/>
  <c r="A519" i="2"/>
  <c r="B519" i="2"/>
  <c r="A520" i="2"/>
  <c r="B520" i="2"/>
  <c r="A521" i="2"/>
  <c r="B521" i="2"/>
  <c r="A522" i="2"/>
  <c r="B522" i="2"/>
  <c r="A523" i="2"/>
  <c r="B523" i="2"/>
  <c r="A524" i="2"/>
  <c r="B524" i="2"/>
  <c r="A525" i="2"/>
  <c r="B525" i="2"/>
  <c r="A526" i="2"/>
  <c r="B526" i="2"/>
  <c r="A527" i="2"/>
  <c r="B527" i="2"/>
  <c r="A528" i="2"/>
  <c r="B528" i="2"/>
  <c r="A529" i="2"/>
  <c r="B529" i="2"/>
  <c r="A530" i="2"/>
  <c r="B530" i="2"/>
  <c r="A531" i="2"/>
  <c r="B531" i="2"/>
  <c r="A532" i="2"/>
  <c r="B532" i="2"/>
  <c r="A533" i="2"/>
  <c r="B533" i="2"/>
  <c r="A534" i="2"/>
  <c r="B534" i="2"/>
  <c r="A535" i="2"/>
  <c r="B535" i="2"/>
  <c r="A536" i="2"/>
  <c r="B536" i="2"/>
  <c r="A537" i="2"/>
  <c r="B537" i="2"/>
  <c r="A538" i="2"/>
  <c r="B538" i="2"/>
  <c r="A539" i="2"/>
  <c r="B539" i="2"/>
  <c r="A540" i="2"/>
  <c r="B540" i="2"/>
  <c r="A541" i="2"/>
  <c r="B541" i="2"/>
  <c r="A542" i="2"/>
  <c r="B542" i="2"/>
  <c r="A543" i="2"/>
  <c r="B543" i="2"/>
  <c r="A544" i="2"/>
  <c r="B544" i="2"/>
  <c r="A545" i="2"/>
  <c r="B545" i="2"/>
  <c r="A546" i="2"/>
  <c r="B546" i="2"/>
  <c r="A547" i="2"/>
  <c r="B547" i="2"/>
  <c r="A548" i="2"/>
  <c r="B548" i="2"/>
  <c r="A549" i="2"/>
  <c r="B549" i="2"/>
  <c r="A550" i="2"/>
  <c r="B550" i="2"/>
  <c r="A551" i="2"/>
  <c r="B551" i="2"/>
  <c r="A552" i="2"/>
  <c r="B552" i="2"/>
  <c r="A553" i="2"/>
  <c r="B553" i="2"/>
  <c r="A554" i="2"/>
  <c r="B554" i="2"/>
  <c r="A555" i="2"/>
  <c r="B555" i="2"/>
  <c r="A556" i="2"/>
  <c r="B556" i="2"/>
  <c r="A557" i="2"/>
  <c r="B557" i="2"/>
  <c r="A558" i="2"/>
  <c r="B558" i="2"/>
  <c r="A559" i="2"/>
  <c r="B559" i="2"/>
  <c r="A560" i="2"/>
  <c r="B560" i="2"/>
  <c r="A561" i="2"/>
  <c r="B561" i="2"/>
  <c r="A562" i="2"/>
  <c r="B562" i="2"/>
  <c r="A563" i="2"/>
  <c r="B563" i="2"/>
  <c r="A564" i="2"/>
  <c r="B564" i="2"/>
  <c r="A565" i="2"/>
  <c r="B565" i="2"/>
  <c r="A566" i="2"/>
  <c r="B566" i="2"/>
  <c r="A567" i="2"/>
  <c r="B567" i="2"/>
  <c r="A568" i="2"/>
  <c r="B568" i="2"/>
  <c r="A569" i="2"/>
  <c r="B569" i="2"/>
  <c r="A570" i="2"/>
  <c r="B570" i="2"/>
  <c r="A571" i="2"/>
  <c r="B571" i="2"/>
  <c r="A572" i="2"/>
  <c r="B572" i="2"/>
  <c r="A573" i="2"/>
  <c r="B573" i="2"/>
  <c r="A574" i="2"/>
  <c r="B574" i="2"/>
  <c r="A575" i="2"/>
  <c r="B575" i="2"/>
  <c r="A576" i="2"/>
  <c r="B576" i="2"/>
  <c r="A577" i="2"/>
  <c r="B577" i="2"/>
  <c r="A435" i="2"/>
  <c r="B435" i="2"/>
  <c r="A436" i="2"/>
  <c r="B436" i="2"/>
  <c r="A437" i="2"/>
  <c r="B437" i="2"/>
  <c r="A438" i="2"/>
  <c r="B438" i="2"/>
  <c r="A439" i="2"/>
  <c r="B439" i="2"/>
  <c r="A440" i="2"/>
  <c r="B440" i="2"/>
  <c r="A441" i="2"/>
  <c r="B441" i="2"/>
  <c r="A442" i="2"/>
  <c r="B442" i="2"/>
  <c r="A443" i="2"/>
  <c r="B443" i="2"/>
  <c r="A444" i="2"/>
  <c r="B444" i="2"/>
  <c r="A445" i="2"/>
  <c r="B445" i="2"/>
  <c r="A446" i="2"/>
  <c r="B446" i="2"/>
  <c r="A447" i="2"/>
  <c r="B447" i="2"/>
  <c r="A448" i="2"/>
  <c r="B448" i="2"/>
  <c r="A449" i="2"/>
  <c r="B449" i="2"/>
  <c r="A450" i="2"/>
  <c r="B450" i="2"/>
  <c r="A451" i="2"/>
  <c r="B451" i="2"/>
  <c r="A452" i="2"/>
  <c r="B452" i="2"/>
  <c r="A453" i="2"/>
  <c r="B453" i="2"/>
  <c r="A454" i="2"/>
  <c r="B454" i="2"/>
  <c r="A455" i="2"/>
  <c r="B455" i="2"/>
  <c r="A456" i="2"/>
  <c r="B456" i="2"/>
  <c r="A457" i="2"/>
  <c r="B457" i="2"/>
  <c r="A458" i="2"/>
  <c r="B458" i="2"/>
  <c r="A459" i="2"/>
  <c r="B459" i="2"/>
  <c r="A460" i="2"/>
  <c r="B460" i="2"/>
  <c r="A461" i="2"/>
  <c r="B461" i="2"/>
  <c r="A462" i="2"/>
  <c r="B462" i="2"/>
  <c r="A463" i="2"/>
  <c r="B463" i="2"/>
  <c r="A464" i="2"/>
  <c r="B464" i="2"/>
  <c r="A465" i="2"/>
  <c r="B465" i="2"/>
  <c r="A466" i="2"/>
  <c r="B466" i="2"/>
  <c r="A467" i="2"/>
  <c r="B467" i="2"/>
  <c r="A468" i="2"/>
  <c r="B468" i="2"/>
  <c r="A469" i="2"/>
  <c r="B469" i="2"/>
  <c r="A470" i="2"/>
  <c r="B470" i="2"/>
  <c r="A471" i="2"/>
  <c r="B471" i="2"/>
  <c r="A472" i="2"/>
  <c r="B472" i="2"/>
  <c r="A473" i="2"/>
  <c r="B473" i="2"/>
  <c r="A474" i="2"/>
  <c r="B474" i="2"/>
  <c r="A475" i="2"/>
  <c r="B475" i="2"/>
  <c r="A476" i="2"/>
  <c r="B476" i="2"/>
  <c r="A477" i="2"/>
  <c r="B477" i="2"/>
  <c r="A478" i="2"/>
  <c r="B478" i="2"/>
  <c r="A479" i="2"/>
  <c r="B479" i="2"/>
  <c r="A480" i="2"/>
  <c r="B480" i="2"/>
  <c r="A481" i="2"/>
  <c r="B481" i="2"/>
  <c r="A482" i="2"/>
  <c r="B482" i="2"/>
  <c r="A483" i="2"/>
  <c r="B483" i="2"/>
  <c r="A290" i="7"/>
  <c r="B290" i="7"/>
  <c r="A291" i="7"/>
  <c r="B291" i="7"/>
  <c r="A292" i="7"/>
  <c r="B292" i="7"/>
  <c r="A293" i="7"/>
  <c r="B293" i="7"/>
  <c r="A294" i="7"/>
  <c r="B294" i="7"/>
  <c r="A295" i="7"/>
  <c r="B295" i="7"/>
  <c r="A296" i="7"/>
  <c r="B296" i="7"/>
  <c r="A297" i="7"/>
  <c r="B297" i="7"/>
  <c r="A298" i="7"/>
  <c r="B298" i="7"/>
  <c r="A299" i="7"/>
  <c r="B299" i="7"/>
  <c r="A300" i="7"/>
  <c r="B300" i="7"/>
  <c r="A301" i="7"/>
  <c r="B301" i="7"/>
  <c r="A302" i="7"/>
  <c r="B302" i="7"/>
  <c r="A303" i="7"/>
  <c r="B303" i="7"/>
  <c r="A304" i="7"/>
  <c r="B304" i="7"/>
  <c r="A305" i="7"/>
  <c r="B305" i="7"/>
  <c r="A306" i="7"/>
  <c r="B306" i="7"/>
  <c r="A307" i="7"/>
  <c r="B307" i="7"/>
  <c r="A308" i="7"/>
  <c r="B308" i="7"/>
  <c r="A309" i="7"/>
  <c r="B309" i="7"/>
  <c r="A310" i="7"/>
  <c r="B310" i="7"/>
  <c r="A311" i="7"/>
  <c r="B311" i="7"/>
  <c r="A312" i="7"/>
  <c r="B312" i="7"/>
  <c r="A313" i="7"/>
  <c r="B313" i="7"/>
  <c r="A314" i="7"/>
  <c r="B314" i="7"/>
  <c r="A315" i="7"/>
  <c r="B315" i="7"/>
  <c r="A316" i="7"/>
  <c r="B316" i="7"/>
  <c r="A317" i="7"/>
  <c r="B317" i="7"/>
  <c r="A318" i="7"/>
  <c r="B318" i="7"/>
  <c r="A319" i="7"/>
  <c r="B319" i="7"/>
  <c r="A320" i="7"/>
  <c r="B320" i="7"/>
  <c r="A321" i="7"/>
  <c r="B321" i="7"/>
  <c r="A322" i="7"/>
  <c r="B322" i="7"/>
  <c r="A323" i="7"/>
  <c r="B323" i="7"/>
  <c r="A324" i="7"/>
  <c r="B324" i="7"/>
  <c r="A325" i="7"/>
  <c r="B325" i="7"/>
  <c r="A326" i="7"/>
  <c r="B326" i="7"/>
  <c r="A327" i="7"/>
  <c r="B327" i="7"/>
  <c r="A328" i="7"/>
  <c r="B328" i="7"/>
  <c r="A329" i="7"/>
  <c r="B329" i="7"/>
  <c r="A330" i="7"/>
  <c r="B330" i="7"/>
  <c r="A331" i="7"/>
  <c r="B331" i="7"/>
  <c r="A332" i="7"/>
  <c r="B332" i="7"/>
  <c r="A333" i="7"/>
  <c r="B333" i="7"/>
  <c r="A334" i="7"/>
  <c r="B334" i="7"/>
  <c r="A335" i="7"/>
  <c r="B335" i="7"/>
  <c r="A336" i="7"/>
  <c r="B336" i="7"/>
  <c r="A337" i="7"/>
  <c r="B337" i="7"/>
  <c r="A338" i="7"/>
  <c r="B338" i="7"/>
  <c r="A339" i="7"/>
  <c r="B339" i="7"/>
  <c r="A340" i="7"/>
  <c r="B340" i="7"/>
  <c r="A341" i="7"/>
  <c r="B341" i="7"/>
  <c r="A342" i="7"/>
  <c r="B342" i="7"/>
  <c r="A343" i="7"/>
  <c r="B343" i="7"/>
  <c r="A344" i="7"/>
  <c r="B344" i="7"/>
  <c r="A345" i="7"/>
  <c r="B345" i="7"/>
  <c r="A346" i="7"/>
  <c r="B346" i="7"/>
  <c r="A347" i="7"/>
  <c r="B347" i="7"/>
  <c r="A348" i="7"/>
  <c r="B348" i="7"/>
  <c r="A349" i="7"/>
  <c r="B349" i="7"/>
  <c r="A350" i="7"/>
  <c r="B350" i="7"/>
  <c r="A351" i="7"/>
  <c r="B351" i="7"/>
  <c r="A352" i="7"/>
  <c r="B352" i="7"/>
  <c r="A353" i="7"/>
  <c r="B353" i="7"/>
  <c r="A354" i="7"/>
  <c r="B354" i="7"/>
  <c r="A355" i="7"/>
  <c r="B355" i="7"/>
  <c r="A356" i="7"/>
  <c r="B356" i="7"/>
  <c r="A357" i="7"/>
  <c r="B357" i="7"/>
  <c r="A358" i="7"/>
  <c r="B358" i="7"/>
  <c r="A359" i="7"/>
  <c r="B359" i="7"/>
  <c r="A360" i="7"/>
  <c r="B360" i="7"/>
  <c r="A361" i="7"/>
  <c r="B361" i="7"/>
  <c r="A362" i="7"/>
  <c r="B362" i="7"/>
  <c r="A363" i="7"/>
  <c r="B363" i="7"/>
  <c r="A364" i="7"/>
  <c r="B364" i="7"/>
  <c r="A365" i="7"/>
  <c r="B365" i="7"/>
  <c r="A366" i="7"/>
  <c r="B366" i="7"/>
  <c r="A367" i="7"/>
  <c r="B367" i="7"/>
  <c r="A368" i="7"/>
  <c r="B368" i="7"/>
  <c r="A369" i="7"/>
  <c r="B369" i="7"/>
  <c r="A370" i="7"/>
  <c r="B370" i="7"/>
  <c r="A371" i="7"/>
  <c r="B371" i="7"/>
  <c r="A372" i="7"/>
  <c r="B372" i="7"/>
  <c r="A373" i="7"/>
  <c r="B373" i="7"/>
  <c r="A374" i="7"/>
  <c r="B374" i="7"/>
  <c r="A375" i="7"/>
  <c r="B375" i="7"/>
  <c r="A376" i="7"/>
  <c r="B376" i="7"/>
  <c r="A377" i="7"/>
  <c r="B377" i="7"/>
  <c r="A378" i="7"/>
  <c r="B378" i="7"/>
  <c r="A379" i="7"/>
  <c r="B379" i="7"/>
  <c r="A380" i="7"/>
  <c r="B380" i="7"/>
  <c r="A381" i="7"/>
  <c r="B381" i="7"/>
  <c r="A382" i="7"/>
  <c r="B382" i="7"/>
  <c r="A383" i="7"/>
  <c r="B383" i="7"/>
  <c r="A384" i="7"/>
  <c r="B384" i="7"/>
  <c r="A385" i="7"/>
  <c r="B385" i="7"/>
  <c r="A386" i="7"/>
  <c r="B386" i="7"/>
  <c r="A387" i="7"/>
  <c r="B387" i="7"/>
  <c r="A388" i="7"/>
  <c r="B388" i="7"/>
  <c r="A389" i="7"/>
  <c r="B389" i="7"/>
  <c r="A390" i="7"/>
  <c r="B390" i="7"/>
  <c r="A391" i="7"/>
  <c r="B391" i="7"/>
  <c r="A392" i="7"/>
  <c r="B392" i="7"/>
  <c r="A393" i="7"/>
  <c r="B393" i="7"/>
  <c r="A394" i="7"/>
  <c r="B394" i="7"/>
  <c r="A395" i="7"/>
  <c r="B395" i="7"/>
  <c r="A396" i="7"/>
  <c r="B396" i="7"/>
  <c r="A397" i="7"/>
  <c r="B397" i="7"/>
  <c r="A398" i="7"/>
  <c r="B398" i="7"/>
  <c r="A399" i="7"/>
  <c r="B399" i="7"/>
  <c r="A400" i="7"/>
  <c r="B400" i="7"/>
  <c r="A401" i="7"/>
  <c r="B401" i="7"/>
  <c r="A402" i="7"/>
  <c r="B402" i="7"/>
  <c r="A403" i="7"/>
  <c r="B403" i="7"/>
  <c r="A404" i="7"/>
  <c r="B404" i="7"/>
  <c r="A405" i="7"/>
  <c r="B405" i="7"/>
  <c r="A406" i="7"/>
  <c r="B406" i="7"/>
  <c r="A407" i="7"/>
  <c r="B407" i="7"/>
  <c r="A408" i="7"/>
  <c r="B408" i="7"/>
  <c r="A409" i="7"/>
  <c r="B409" i="7"/>
  <c r="A410" i="7"/>
  <c r="B410" i="7"/>
  <c r="A411" i="7"/>
  <c r="B411" i="7"/>
  <c r="A412" i="7"/>
  <c r="B412" i="7"/>
  <c r="A413" i="7"/>
  <c r="B413" i="7"/>
  <c r="A414" i="7"/>
  <c r="B414" i="7"/>
  <c r="A415" i="7"/>
  <c r="B415" i="7"/>
  <c r="A416" i="7"/>
  <c r="B416" i="7"/>
  <c r="A417" i="7"/>
  <c r="B417" i="7"/>
  <c r="A418" i="7"/>
  <c r="B418" i="7"/>
  <c r="A419" i="7"/>
  <c r="B419" i="7"/>
  <c r="A420" i="7"/>
  <c r="B420" i="7"/>
  <c r="A421" i="7"/>
  <c r="B421" i="7"/>
  <c r="A422" i="7"/>
  <c r="B422" i="7"/>
  <c r="A423" i="7"/>
  <c r="B423" i="7"/>
  <c r="A424" i="7"/>
  <c r="B424" i="7"/>
  <c r="A425" i="7"/>
  <c r="B425" i="7"/>
  <c r="A426" i="7"/>
  <c r="B426" i="7"/>
  <c r="A427" i="7"/>
  <c r="B427" i="7"/>
  <c r="A428" i="7"/>
  <c r="B428" i="7"/>
  <c r="A429" i="7"/>
  <c r="B429" i="7"/>
  <c r="A430" i="7"/>
  <c r="B430" i="7"/>
  <c r="A431" i="7"/>
  <c r="B431" i="7"/>
  <c r="A432" i="7"/>
  <c r="B432" i="7"/>
  <c r="A433" i="7"/>
  <c r="B433" i="7"/>
  <c r="A434" i="7"/>
  <c r="B434" i="7"/>
  <c r="A435" i="7"/>
  <c r="B435" i="7"/>
  <c r="A436" i="7"/>
  <c r="B436" i="7"/>
  <c r="A437" i="7"/>
  <c r="B437" i="7"/>
  <c r="A438" i="7"/>
  <c r="B438" i="7"/>
  <c r="A439" i="7"/>
  <c r="B439" i="7"/>
  <c r="A440" i="7"/>
  <c r="B440" i="7"/>
  <c r="A441" i="7"/>
  <c r="B441" i="7"/>
  <c r="A442" i="7"/>
  <c r="B442" i="7"/>
  <c r="A443" i="7"/>
  <c r="B443" i="7"/>
  <c r="A444" i="7"/>
  <c r="B444" i="7"/>
  <c r="A445" i="7"/>
  <c r="B445" i="7"/>
  <c r="A446" i="7"/>
  <c r="B446" i="7"/>
  <c r="A447" i="7"/>
  <c r="B447" i="7"/>
  <c r="A448" i="7"/>
  <c r="B448" i="7"/>
  <c r="A449" i="7"/>
  <c r="B449" i="7"/>
  <c r="A450" i="7"/>
  <c r="B450" i="7"/>
  <c r="A451" i="7"/>
  <c r="B451" i="7"/>
  <c r="A452" i="7"/>
  <c r="B452" i="7"/>
  <c r="A453" i="7"/>
  <c r="B453" i="7"/>
  <c r="A454" i="7"/>
  <c r="B454" i="7"/>
  <c r="A455" i="7"/>
  <c r="B455" i="7"/>
  <c r="A456" i="7"/>
  <c r="B456" i="7"/>
  <c r="A457" i="7"/>
  <c r="B457" i="7"/>
  <c r="A458" i="7"/>
  <c r="B458" i="7"/>
  <c r="A459" i="7"/>
  <c r="B459" i="7"/>
  <c r="A460" i="7"/>
  <c r="B460" i="7"/>
  <c r="A461" i="7"/>
  <c r="B461" i="7"/>
  <c r="A462" i="7"/>
  <c r="B462" i="7"/>
  <c r="A463" i="7"/>
  <c r="B463" i="7"/>
  <c r="A464" i="7"/>
  <c r="B464" i="7"/>
  <c r="A465" i="7"/>
  <c r="B465" i="7"/>
  <c r="A466" i="7"/>
  <c r="B466" i="7"/>
  <c r="A467" i="7"/>
  <c r="B467" i="7"/>
  <c r="A468" i="7"/>
  <c r="B468" i="7"/>
  <c r="A469" i="7"/>
  <c r="B469" i="7"/>
  <c r="A470" i="7"/>
  <c r="B470" i="7"/>
  <c r="A471" i="7"/>
  <c r="B471" i="7"/>
  <c r="A472" i="7"/>
  <c r="B472" i="7"/>
  <c r="A473" i="7"/>
  <c r="B473" i="7"/>
  <c r="A474" i="7"/>
  <c r="B474" i="7"/>
  <c r="A475" i="7"/>
  <c r="B475" i="7"/>
  <c r="A476" i="7"/>
  <c r="B476" i="7"/>
  <c r="A477" i="7"/>
  <c r="B477" i="7"/>
  <c r="A478" i="7"/>
  <c r="B478" i="7"/>
  <c r="A479" i="7"/>
  <c r="B479" i="7"/>
  <c r="A480" i="7"/>
  <c r="B480" i="7"/>
  <c r="A481" i="7"/>
  <c r="B481" i="7"/>
  <c r="A482" i="7"/>
  <c r="B482" i="7"/>
  <c r="A483" i="7"/>
  <c r="B483" i="7"/>
  <c r="A484" i="7"/>
  <c r="B484" i="7"/>
  <c r="A485" i="7"/>
  <c r="B485" i="7"/>
  <c r="A486" i="7"/>
  <c r="B486" i="7"/>
  <c r="A487" i="7"/>
  <c r="B487" i="7"/>
  <c r="A488" i="7"/>
  <c r="B488" i="7"/>
  <c r="A489" i="7"/>
  <c r="B489" i="7"/>
  <c r="A490" i="7"/>
  <c r="B490" i="7"/>
  <c r="A491" i="7"/>
  <c r="B491" i="7"/>
  <c r="A492" i="7"/>
  <c r="B492" i="7"/>
  <c r="A493" i="7"/>
  <c r="B493" i="7"/>
  <c r="A494" i="7"/>
  <c r="B494" i="7"/>
  <c r="A495" i="7"/>
  <c r="B495" i="7"/>
  <c r="A496" i="7"/>
  <c r="B496" i="7"/>
  <c r="A497" i="7"/>
  <c r="B497" i="7"/>
  <c r="A498" i="7"/>
  <c r="B498" i="7"/>
  <c r="A499" i="7"/>
  <c r="B499" i="7"/>
  <c r="A500" i="7"/>
  <c r="B500" i="7"/>
  <c r="A501" i="7"/>
  <c r="B501" i="7"/>
  <c r="A502" i="7"/>
  <c r="B502" i="7"/>
  <c r="A503" i="7"/>
  <c r="B503" i="7"/>
  <c r="A504" i="7"/>
  <c r="B504" i="7"/>
  <c r="A505" i="7"/>
  <c r="B505" i="7"/>
  <c r="A506" i="7"/>
  <c r="B506" i="7"/>
  <c r="A507" i="7"/>
  <c r="B507" i="7"/>
  <c r="A508" i="7"/>
  <c r="B508" i="7"/>
  <c r="A509" i="7"/>
  <c r="B509" i="7"/>
  <c r="A510" i="7"/>
  <c r="B510" i="7"/>
  <c r="A511" i="7"/>
  <c r="B511" i="7"/>
  <c r="A512" i="7"/>
  <c r="B512" i="7"/>
  <c r="A513" i="7"/>
  <c r="B513" i="7"/>
  <c r="A514" i="7"/>
  <c r="B514" i="7"/>
  <c r="A515" i="7"/>
  <c r="B515" i="7"/>
  <c r="A516" i="7"/>
  <c r="B516" i="7"/>
  <c r="A517" i="7"/>
  <c r="B517" i="7"/>
  <c r="A518" i="7"/>
  <c r="B518" i="7"/>
  <c r="A519" i="7"/>
  <c r="B519" i="7"/>
  <c r="A520" i="7"/>
  <c r="B520" i="7"/>
  <c r="A521" i="7"/>
  <c r="B521" i="7"/>
  <c r="A522" i="7"/>
  <c r="B522" i="7"/>
  <c r="A523" i="7"/>
  <c r="B523" i="7"/>
  <c r="A524" i="7"/>
  <c r="B524" i="7"/>
  <c r="A525" i="7"/>
  <c r="B525" i="7"/>
  <c r="A526" i="7"/>
  <c r="B526" i="7"/>
  <c r="A527" i="7"/>
  <c r="B527" i="7"/>
  <c r="A528" i="7"/>
  <c r="B528" i="7"/>
  <c r="A529" i="7"/>
  <c r="B529" i="7"/>
  <c r="A530" i="7"/>
  <c r="B530" i="7"/>
  <c r="A531" i="7"/>
  <c r="B531" i="7"/>
  <c r="A532" i="7"/>
  <c r="B532" i="7"/>
  <c r="A533" i="7"/>
  <c r="B533" i="7"/>
  <c r="A534" i="7"/>
  <c r="B534" i="7"/>
  <c r="A535" i="7"/>
  <c r="B535" i="7"/>
  <c r="A536" i="7"/>
  <c r="B536" i="7"/>
  <c r="A537" i="7"/>
  <c r="B537" i="7"/>
  <c r="A538" i="7"/>
  <c r="B538" i="7"/>
  <c r="A539" i="7"/>
  <c r="B539" i="7"/>
  <c r="A540" i="7"/>
  <c r="B540" i="7"/>
  <c r="A541" i="7"/>
  <c r="B541" i="7"/>
  <c r="A542" i="7"/>
  <c r="B542" i="7"/>
  <c r="A543" i="7"/>
  <c r="B543" i="7"/>
  <c r="A544" i="7"/>
  <c r="B544" i="7"/>
  <c r="A545" i="7"/>
  <c r="B545" i="7"/>
  <c r="A546" i="7"/>
  <c r="B546" i="7"/>
  <c r="A547" i="7"/>
  <c r="B547" i="7"/>
  <c r="A548" i="7"/>
  <c r="B548" i="7"/>
  <c r="A549" i="7"/>
  <c r="B549" i="7"/>
  <c r="A550" i="7"/>
  <c r="B550" i="7"/>
  <c r="A551" i="7"/>
  <c r="B551" i="7"/>
  <c r="A552" i="7"/>
  <c r="B552" i="7"/>
  <c r="A553" i="7"/>
  <c r="B553" i="7"/>
  <c r="A554" i="7"/>
  <c r="B554" i="7"/>
  <c r="A555" i="7"/>
  <c r="B555" i="7"/>
  <c r="A556" i="7"/>
  <c r="B556" i="7"/>
  <c r="A557" i="7"/>
  <c r="B557" i="7"/>
  <c r="A558" i="7"/>
  <c r="B558" i="7"/>
  <c r="A559" i="7"/>
  <c r="B559" i="7"/>
  <c r="A560" i="7"/>
  <c r="B560" i="7"/>
  <c r="A561" i="7"/>
  <c r="B561" i="7"/>
  <c r="A562" i="7"/>
  <c r="B562" i="7"/>
  <c r="A563" i="7"/>
  <c r="B563" i="7"/>
  <c r="A564" i="7"/>
  <c r="B564" i="7"/>
  <c r="A565" i="7"/>
  <c r="B565" i="7"/>
  <c r="A566" i="7"/>
  <c r="B566" i="7"/>
  <c r="A567" i="7"/>
  <c r="B567" i="7"/>
  <c r="A568" i="7"/>
  <c r="B568" i="7"/>
  <c r="A569" i="7"/>
  <c r="B569" i="7"/>
  <c r="A570" i="7"/>
  <c r="B570" i="7"/>
  <c r="A571" i="7"/>
  <c r="B571" i="7"/>
  <c r="A572" i="7"/>
  <c r="B572" i="7"/>
  <c r="A573" i="7"/>
  <c r="B573" i="7"/>
  <c r="A574" i="7"/>
  <c r="B574" i="7"/>
  <c r="A575" i="7"/>
  <c r="B575" i="7"/>
  <c r="A576" i="7"/>
  <c r="B576" i="7"/>
  <c r="A577" i="7"/>
  <c r="B577" i="7"/>
  <c r="A434" i="1"/>
  <c r="B434" i="1"/>
  <c r="B434" i="2" s="1"/>
  <c r="A435" i="1"/>
  <c r="B435" i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249" i="6"/>
  <c r="B249" i="6"/>
  <c r="A250" i="6"/>
  <c r="B250" i="6"/>
  <c r="A251" i="6"/>
  <c r="B251" i="6"/>
  <c r="A252" i="6"/>
  <c r="B252" i="6"/>
  <c r="A253" i="6"/>
  <c r="B253" i="6"/>
  <c r="A254" i="6"/>
  <c r="B254" i="6"/>
  <c r="A255" i="6"/>
  <c r="B255" i="6"/>
  <c r="A256" i="6"/>
  <c r="B256" i="6"/>
  <c r="A257" i="6"/>
  <c r="B257" i="6"/>
  <c r="A258" i="6"/>
  <c r="B258" i="6"/>
  <c r="A259" i="6"/>
  <c r="B259" i="6"/>
  <c r="A260" i="6"/>
  <c r="B260" i="6"/>
  <c r="A261" i="6"/>
  <c r="B261" i="6"/>
  <c r="A262" i="6"/>
  <c r="B262" i="6"/>
  <c r="A263" i="6"/>
  <c r="B263" i="6"/>
  <c r="A264" i="6"/>
  <c r="B264" i="6"/>
  <c r="A265" i="6"/>
  <c r="B265" i="6"/>
  <c r="A266" i="6"/>
  <c r="B266" i="6"/>
  <c r="A267" i="6"/>
  <c r="B267" i="6"/>
  <c r="A209" i="6"/>
  <c r="B209" i="6"/>
  <c r="A210" i="6"/>
  <c r="B210" i="6"/>
  <c r="A211" i="6"/>
  <c r="A235" i="6" s="1"/>
  <c r="B211" i="6"/>
  <c r="A212" i="6"/>
  <c r="A236" i="6" s="1"/>
  <c r="B212" i="6"/>
  <c r="A213" i="6"/>
  <c r="B213" i="6"/>
  <c r="A214" i="6"/>
  <c r="B214" i="6"/>
  <c r="A215" i="6"/>
  <c r="B215" i="6"/>
  <c r="A216" i="6"/>
  <c r="B216" i="6"/>
  <c r="A217" i="6"/>
  <c r="B217" i="6"/>
  <c r="A218" i="6"/>
  <c r="B218" i="6"/>
  <c r="A219" i="6"/>
  <c r="B219" i="6"/>
  <c r="A220" i="6"/>
  <c r="B220" i="6"/>
  <c r="A221" i="6"/>
  <c r="B221" i="6"/>
  <c r="A222" i="6"/>
  <c r="B222" i="6"/>
  <c r="A223" i="6"/>
  <c r="B223" i="6"/>
  <c r="A224" i="6"/>
  <c r="B224" i="6"/>
  <c r="A225" i="6"/>
  <c r="B225" i="6"/>
  <c r="A226" i="6"/>
  <c r="B226" i="6"/>
  <c r="A227" i="6"/>
  <c r="B227" i="6"/>
  <c r="A228" i="6"/>
  <c r="B228" i="6"/>
  <c r="A229" i="6"/>
  <c r="B229" i="6"/>
  <c r="A230" i="6"/>
  <c r="B230" i="6"/>
  <c r="A231" i="6"/>
  <c r="B231" i="6"/>
  <c r="A232" i="6"/>
  <c r="B232" i="6"/>
  <c r="A233" i="6"/>
  <c r="B233" i="6"/>
  <c r="A234" i="6"/>
  <c r="B234" i="6"/>
  <c r="B235" i="6"/>
  <c r="B236" i="6"/>
  <c r="A237" i="6"/>
  <c r="B237" i="6"/>
  <c r="A238" i="6"/>
  <c r="B238" i="6"/>
  <c r="A239" i="6"/>
  <c r="B239" i="6"/>
  <c r="A240" i="6"/>
  <c r="B240" i="6"/>
  <c r="A241" i="6"/>
  <c r="B241" i="6"/>
  <c r="A242" i="6"/>
  <c r="B242" i="6"/>
  <c r="A243" i="6"/>
  <c r="B243" i="6"/>
  <c r="A244" i="6"/>
  <c r="B244" i="6"/>
  <c r="A245" i="6"/>
  <c r="B245" i="6"/>
  <c r="A246" i="6"/>
  <c r="B246" i="6"/>
  <c r="A247" i="6"/>
  <c r="B247" i="6"/>
  <c r="A248" i="6"/>
  <c r="B248" i="6"/>
  <c r="A386" i="2"/>
  <c r="B386" i="2"/>
  <c r="A387" i="2"/>
  <c r="B387" i="2"/>
  <c r="A388" i="2"/>
  <c r="B388" i="2"/>
  <c r="A389" i="2"/>
  <c r="B389" i="2"/>
  <c r="A390" i="2"/>
  <c r="B390" i="2"/>
  <c r="A391" i="2"/>
  <c r="B391" i="2"/>
  <c r="A392" i="2"/>
  <c r="B392" i="2"/>
  <c r="A393" i="2"/>
  <c r="B393" i="2"/>
  <c r="A394" i="2"/>
  <c r="B394" i="2"/>
  <c r="A395" i="2"/>
  <c r="B395" i="2"/>
  <c r="A396" i="2"/>
  <c r="B396" i="2"/>
  <c r="A397" i="2"/>
  <c r="B397" i="2"/>
  <c r="A398" i="2"/>
  <c r="B398" i="2"/>
  <c r="A399" i="2"/>
  <c r="B399" i="2"/>
  <c r="A400" i="2"/>
  <c r="B400" i="2"/>
  <c r="A401" i="2"/>
  <c r="B401" i="2"/>
  <c r="A402" i="2"/>
  <c r="B402" i="2"/>
  <c r="A403" i="2"/>
  <c r="B403" i="2"/>
  <c r="A404" i="2"/>
  <c r="B404" i="2"/>
  <c r="A405" i="2"/>
  <c r="B405" i="2"/>
  <c r="A406" i="2"/>
  <c r="B406" i="2"/>
  <c r="A407" i="2"/>
  <c r="B407" i="2"/>
  <c r="A408" i="2"/>
  <c r="B408" i="2"/>
  <c r="A409" i="2"/>
  <c r="B409" i="2"/>
  <c r="A410" i="2"/>
  <c r="B410" i="2"/>
  <c r="A411" i="2"/>
  <c r="B411" i="2"/>
  <c r="A412" i="2"/>
  <c r="B412" i="2"/>
  <c r="A413" i="2"/>
  <c r="B413" i="2"/>
  <c r="A414" i="2"/>
  <c r="B414" i="2"/>
  <c r="A415" i="2"/>
  <c r="B415" i="2"/>
  <c r="A416" i="2"/>
  <c r="B416" i="2"/>
  <c r="A417" i="2"/>
  <c r="B417" i="2"/>
  <c r="A418" i="2"/>
  <c r="B418" i="2"/>
  <c r="A419" i="2"/>
  <c r="B419" i="2"/>
  <c r="A420" i="2"/>
  <c r="B420" i="2"/>
  <c r="A421" i="2"/>
  <c r="B421" i="2"/>
  <c r="A422" i="2"/>
  <c r="B422" i="2"/>
  <c r="A423" i="2"/>
  <c r="B423" i="2"/>
  <c r="A424" i="2"/>
  <c r="B424" i="2"/>
  <c r="A425" i="2"/>
  <c r="B425" i="2"/>
  <c r="A426" i="2"/>
  <c r="B426" i="2"/>
  <c r="A427" i="2"/>
  <c r="B427" i="2"/>
  <c r="A428" i="2"/>
  <c r="B428" i="2"/>
  <c r="A429" i="2"/>
  <c r="B429" i="2"/>
  <c r="A430" i="2"/>
  <c r="B430" i="2"/>
  <c r="A431" i="2"/>
  <c r="B431" i="2"/>
  <c r="A432" i="2"/>
  <c r="B432" i="2"/>
  <c r="A433" i="2"/>
  <c r="B433" i="2"/>
  <c r="A434" i="2"/>
  <c r="A386" i="1"/>
  <c r="B386" i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187" i="6"/>
  <c r="B187" i="6"/>
  <c r="A188" i="6"/>
  <c r="B188" i="6"/>
  <c r="A189" i="6"/>
  <c r="B189" i="6"/>
  <c r="A190" i="6"/>
  <c r="B190" i="6"/>
  <c r="A191" i="6"/>
  <c r="B191" i="6"/>
  <c r="A192" i="6"/>
  <c r="B192" i="6"/>
  <c r="A193" i="6"/>
  <c r="B193" i="6"/>
  <c r="A194" i="6"/>
  <c r="B194" i="6"/>
  <c r="A195" i="6"/>
  <c r="B195" i="6"/>
  <c r="A196" i="6"/>
  <c r="B196" i="6"/>
  <c r="A197" i="6"/>
  <c r="B197" i="6"/>
  <c r="A198" i="6"/>
  <c r="B198" i="6"/>
  <c r="A199" i="6"/>
  <c r="B199" i="6"/>
  <c r="A200" i="6"/>
  <c r="B200" i="6"/>
  <c r="A201" i="6"/>
  <c r="B201" i="6"/>
  <c r="A202" i="6"/>
  <c r="B202" i="6"/>
  <c r="A203" i="6"/>
  <c r="B203" i="6"/>
  <c r="A204" i="6"/>
  <c r="B204" i="6"/>
  <c r="A205" i="6"/>
  <c r="B205" i="6"/>
  <c r="A206" i="6"/>
  <c r="B206" i="6"/>
  <c r="A207" i="6"/>
  <c r="B207" i="6"/>
  <c r="A208" i="6"/>
  <c r="B208" i="6"/>
  <c r="A182" i="6"/>
  <c r="B182" i="6"/>
  <c r="A183" i="6"/>
  <c r="B183" i="6"/>
  <c r="A184" i="6"/>
  <c r="B184" i="6"/>
  <c r="A185" i="6"/>
  <c r="B185" i="6"/>
  <c r="A186" i="6"/>
  <c r="B186" i="6"/>
  <c r="A242" i="2" l="1"/>
  <c r="B242" i="2"/>
  <c r="A243" i="2"/>
  <c r="B243" i="2"/>
  <c r="A244" i="2"/>
  <c r="B244" i="2"/>
  <c r="A245" i="2"/>
  <c r="B245" i="2"/>
  <c r="A246" i="2"/>
  <c r="B246" i="2"/>
  <c r="A247" i="2"/>
  <c r="B247" i="2"/>
  <c r="A248" i="2"/>
  <c r="B248" i="2"/>
  <c r="A249" i="2"/>
  <c r="B249" i="2"/>
  <c r="A250" i="2"/>
  <c r="B250" i="2"/>
  <c r="A251" i="2"/>
  <c r="B251" i="2"/>
  <c r="A252" i="2"/>
  <c r="B252" i="2"/>
  <c r="A253" i="2"/>
  <c r="B253" i="2"/>
  <c r="A254" i="2"/>
  <c r="B254" i="2"/>
  <c r="A255" i="2"/>
  <c r="B255" i="2"/>
  <c r="A256" i="2"/>
  <c r="B256" i="2"/>
  <c r="A257" i="2"/>
  <c r="B257" i="2"/>
  <c r="A258" i="2"/>
  <c r="B258" i="2"/>
  <c r="A259" i="2"/>
  <c r="B259" i="2"/>
  <c r="A260" i="2"/>
  <c r="B260" i="2"/>
  <c r="A261" i="2"/>
  <c r="B261" i="2"/>
  <c r="A262" i="2"/>
  <c r="B262" i="2"/>
  <c r="A263" i="2"/>
  <c r="B263" i="2"/>
  <c r="A264" i="2"/>
  <c r="B264" i="2"/>
  <c r="A265" i="2"/>
  <c r="B265" i="2"/>
  <c r="A266" i="2"/>
  <c r="B266" i="2"/>
  <c r="A267" i="2"/>
  <c r="B267" i="2"/>
  <c r="A268" i="2"/>
  <c r="B268" i="2"/>
  <c r="A269" i="2"/>
  <c r="B269" i="2"/>
  <c r="A270" i="2"/>
  <c r="B270" i="2"/>
  <c r="A271" i="2"/>
  <c r="B271" i="2"/>
  <c r="A272" i="2"/>
  <c r="B272" i="2"/>
  <c r="A273" i="2"/>
  <c r="B273" i="2"/>
  <c r="A274" i="2"/>
  <c r="B274" i="2"/>
  <c r="A275" i="2"/>
  <c r="B275" i="2"/>
  <c r="A276" i="2"/>
  <c r="B276" i="2"/>
  <c r="A277" i="2"/>
  <c r="B277" i="2"/>
  <c r="A278" i="2"/>
  <c r="B278" i="2"/>
  <c r="A279" i="2"/>
  <c r="B279" i="2"/>
  <c r="A280" i="2"/>
  <c r="B280" i="2"/>
  <c r="A281" i="2"/>
  <c r="B281" i="2"/>
  <c r="A282" i="2"/>
  <c r="B282" i="2"/>
  <c r="A283" i="2"/>
  <c r="B283" i="2"/>
  <c r="A284" i="2"/>
  <c r="B284" i="2"/>
  <c r="A285" i="2"/>
  <c r="B285" i="2"/>
  <c r="A286" i="2"/>
  <c r="B286" i="2"/>
  <c r="A287" i="2"/>
  <c r="B287" i="2"/>
  <c r="A288" i="2"/>
  <c r="B288" i="2"/>
  <c r="A289" i="2"/>
  <c r="B289" i="2"/>
  <c r="A290" i="2"/>
  <c r="B290" i="2"/>
  <c r="A291" i="2"/>
  <c r="B291" i="2"/>
  <c r="A292" i="2"/>
  <c r="B292" i="2"/>
  <c r="A293" i="2"/>
  <c r="B293" i="2"/>
  <c r="A294" i="2"/>
  <c r="B294" i="2"/>
  <c r="A295" i="2"/>
  <c r="B295" i="2"/>
  <c r="A296" i="2"/>
  <c r="B296" i="2"/>
  <c r="A297" i="2"/>
  <c r="B297" i="2"/>
  <c r="A298" i="2"/>
  <c r="B298" i="2"/>
  <c r="A299" i="2"/>
  <c r="B299" i="2"/>
  <c r="A300" i="2"/>
  <c r="B300" i="2"/>
  <c r="A301" i="2"/>
  <c r="B301" i="2"/>
  <c r="A302" i="2"/>
  <c r="B302" i="2"/>
  <c r="A303" i="2"/>
  <c r="B303" i="2"/>
  <c r="A304" i="2"/>
  <c r="B304" i="2"/>
  <c r="A305" i="2"/>
  <c r="B305" i="2"/>
  <c r="A306" i="2"/>
  <c r="B306" i="2"/>
  <c r="A307" i="2"/>
  <c r="B307" i="2"/>
  <c r="A308" i="2"/>
  <c r="B308" i="2"/>
  <c r="A309" i="2"/>
  <c r="B309" i="2"/>
  <c r="A310" i="2"/>
  <c r="B310" i="2"/>
  <c r="A311" i="2"/>
  <c r="B311" i="2"/>
  <c r="A312" i="2"/>
  <c r="B312" i="2"/>
  <c r="A313" i="2"/>
  <c r="B313" i="2"/>
  <c r="A314" i="2"/>
  <c r="B314" i="2"/>
  <c r="A315" i="2"/>
  <c r="B315" i="2"/>
  <c r="A316" i="2"/>
  <c r="B316" i="2"/>
  <c r="A317" i="2"/>
  <c r="B317" i="2"/>
  <c r="A318" i="2"/>
  <c r="B318" i="2"/>
  <c r="A319" i="2"/>
  <c r="B319" i="2"/>
  <c r="A320" i="2"/>
  <c r="B320" i="2"/>
  <c r="A321" i="2"/>
  <c r="B321" i="2"/>
  <c r="A322" i="2"/>
  <c r="B322" i="2"/>
  <c r="A323" i="2"/>
  <c r="B323" i="2"/>
  <c r="A324" i="2"/>
  <c r="B324" i="2"/>
  <c r="A325" i="2"/>
  <c r="B325" i="2"/>
  <c r="A326" i="2"/>
  <c r="B326" i="2"/>
  <c r="A327" i="2"/>
  <c r="B327" i="2"/>
  <c r="A328" i="2"/>
  <c r="B328" i="2"/>
  <c r="A329" i="2"/>
  <c r="B329" i="2"/>
  <c r="A330" i="2"/>
  <c r="B330" i="2"/>
  <c r="A331" i="2"/>
  <c r="B331" i="2"/>
  <c r="A332" i="2"/>
  <c r="B332" i="2"/>
  <c r="A333" i="2"/>
  <c r="B333" i="2"/>
  <c r="A334" i="2"/>
  <c r="B334" i="2"/>
  <c r="A335" i="2"/>
  <c r="B335" i="2"/>
  <c r="A336" i="2"/>
  <c r="B336" i="2"/>
  <c r="A337" i="2"/>
  <c r="B337" i="2"/>
  <c r="A338" i="2"/>
  <c r="B338" i="2"/>
  <c r="A339" i="2"/>
  <c r="B339" i="2"/>
  <c r="A340" i="2"/>
  <c r="B340" i="2"/>
  <c r="A341" i="2"/>
  <c r="B341" i="2"/>
  <c r="A342" i="2"/>
  <c r="B342" i="2"/>
  <c r="A343" i="2"/>
  <c r="B343" i="2"/>
  <c r="A344" i="2"/>
  <c r="B344" i="2"/>
  <c r="A345" i="2"/>
  <c r="B345" i="2"/>
  <c r="A346" i="2"/>
  <c r="B346" i="2"/>
  <c r="A347" i="2"/>
  <c r="B347" i="2"/>
  <c r="A348" i="2"/>
  <c r="B348" i="2"/>
  <c r="A349" i="2"/>
  <c r="B349" i="2"/>
  <c r="A350" i="2"/>
  <c r="B350" i="2"/>
  <c r="A351" i="2"/>
  <c r="B351" i="2"/>
  <c r="A352" i="2"/>
  <c r="B352" i="2"/>
  <c r="A353" i="2"/>
  <c r="B353" i="2"/>
  <c r="A354" i="2"/>
  <c r="B354" i="2"/>
  <c r="A355" i="2"/>
  <c r="B355" i="2"/>
  <c r="A356" i="2"/>
  <c r="B356" i="2"/>
  <c r="A357" i="2"/>
  <c r="B357" i="2"/>
  <c r="A358" i="2"/>
  <c r="B358" i="2"/>
  <c r="A359" i="2"/>
  <c r="B359" i="2"/>
  <c r="A360" i="2"/>
  <c r="B360" i="2"/>
  <c r="A361" i="2"/>
  <c r="B361" i="2"/>
  <c r="A362" i="2"/>
  <c r="B362" i="2"/>
  <c r="A363" i="2"/>
  <c r="B363" i="2"/>
  <c r="A364" i="2"/>
  <c r="B364" i="2"/>
  <c r="A365" i="2"/>
  <c r="B365" i="2"/>
  <c r="A366" i="2"/>
  <c r="B366" i="2"/>
  <c r="A367" i="2"/>
  <c r="B367" i="2"/>
  <c r="A368" i="2"/>
  <c r="B368" i="2"/>
  <c r="A369" i="2"/>
  <c r="B369" i="2"/>
  <c r="A370" i="2"/>
  <c r="B370" i="2"/>
  <c r="A371" i="2"/>
  <c r="B371" i="2"/>
  <c r="A372" i="2"/>
  <c r="B372" i="2"/>
  <c r="A373" i="2"/>
  <c r="B373" i="2"/>
  <c r="A374" i="2"/>
  <c r="B374" i="2"/>
  <c r="A375" i="2"/>
  <c r="B375" i="2"/>
  <c r="A376" i="2"/>
  <c r="B376" i="2"/>
  <c r="A377" i="2"/>
  <c r="B377" i="2"/>
  <c r="A378" i="2"/>
  <c r="B378" i="2"/>
  <c r="A379" i="2"/>
  <c r="B379" i="2"/>
  <c r="A380" i="2"/>
  <c r="B380" i="2"/>
  <c r="A381" i="2"/>
  <c r="B381" i="2"/>
  <c r="A382" i="2"/>
  <c r="B382" i="2"/>
  <c r="A383" i="2"/>
  <c r="B383" i="2"/>
  <c r="A384" i="2"/>
  <c r="B384" i="2"/>
  <c r="A385" i="2"/>
  <c r="B385" i="2"/>
  <c r="A289" i="7" l="1"/>
  <c r="B289" i="7"/>
  <c r="A279" i="7"/>
  <c r="B279" i="7"/>
  <c r="A280" i="7"/>
  <c r="B280" i="7"/>
  <c r="A281" i="7"/>
  <c r="B281" i="7"/>
  <c r="A282" i="7"/>
  <c r="B282" i="7"/>
  <c r="A283" i="7"/>
  <c r="B283" i="7"/>
  <c r="A284" i="7"/>
  <c r="B284" i="7"/>
  <c r="A285" i="7"/>
  <c r="B285" i="7"/>
  <c r="A286" i="7"/>
  <c r="B286" i="7"/>
  <c r="A287" i="7"/>
  <c r="B287" i="7"/>
  <c r="A288" i="7"/>
  <c r="B288" i="7"/>
  <c r="A262" i="7"/>
  <c r="B262" i="7"/>
  <c r="A263" i="7"/>
  <c r="B263" i="7"/>
  <c r="A264" i="7"/>
  <c r="B264" i="7"/>
  <c r="A265" i="7"/>
  <c r="B265" i="7"/>
  <c r="A266" i="7"/>
  <c r="B266" i="7"/>
  <c r="A267" i="7"/>
  <c r="B267" i="7"/>
  <c r="A268" i="7"/>
  <c r="B268" i="7"/>
  <c r="A269" i="7"/>
  <c r="B269" i="7"/>
  <c r="A270" i="7"/>
  <c r="B270" i="7"/>
  <c r="A271" i="7"/>
  <c r="B271" i="7"/>
  <c r="A272" i="7"/>
  <c r="B272" i="7"/>
  <c r="A273" i="7"/>
  <c r="B273" i="7"/>
  <c r="A274" i="7"/>
  <c r="B274" i="7"/>
  <c r="A275" i="7"/>
  <c r="B275" i="7"/>
  <c r="A276" i="7"/>
  <c r="B276" i="7"/>
  <c r="A277" i="7"/>
  <c r="B277" i="7"/>
  <c r="A278" i="7"/>
  <c r="B278" i="7"/>
  <c r="A146" i="7"/>
  <c r="B146" i="7"/>
  <c r="A147" i="7"/>
  <c r="B147" i="7"/>
  <c r="A148" i="7"/>
  <c r="B148" i="7"/>
  <c r="A149" i="7"/>
  <c r="B149" i="7"/>
  <c r="A150" i="7"/>
  <c r="B150" i="7"/>
  <c r="A151" i="7"/>
  <c r="B151" i="7"/>
  <c r="A152" i="7"/>
  <c r="B152" i="7"/>
  <c r="A153" i="7"/>
  <c r="B153" i="7"/>
  <c r="A154" i="7"/>
  <c r="B154" i="7"/>
  <c r="A155" i="7"/>
  <c r="B155" i="7"/>
  <c r="A156" i="7"/>
  <c r="B156" i="7"/>
  <c r="A157" i="7"/>
  <c r="B157" i="7"/>
  <c r="A158" i="7"/>
  <c r="B158" i="7"/>
  <c r="A159" i="7"/>
  <c r="B159" i="7"/>
  <c r="A160" i="7"/>
  <c r="B160" i="7"/>
  <c r="A161" i="7"/>
  <c r="B161" i="7"/>
  <c r="A162" i="7"/>
  <c r="B162" i="7"/>
  <c r="A163" i="7"/>
  <c r="B163" i="7"/>
  <c r="A164" i="7"/>
  <c r="B164" i="7"/>
  <c r="A165" i="7"/>
  <c r="B165" i="7"/>
  <c r="A166" i="7"/>
  <c r="B166" i="7"/>
  <c r="A167" i="7"/>
  <c r="B167" i="7"/>
  <c r="A168" i="7"/>
  <c r="B168" i="7"/>
  <c r="A169" i="7"/>
  <c r="B169" i="7"/>
  <c r="A170" i="7"/>
  <c r="B170" i="7"/>
  <c r="A171" i="7"/>
  <c r="B171" i="7"/>
  <c r="A172" i="7"/>
  <c r="B172" i="7"/>
  <c r="A173" i="7"/>
  <c r="B173" i="7"/>
  <c r="A174" i="7"/>
  <c r="B174" i="7"/>
  <c r="A175" i="7"/>
  <c r="B175" i="7"/>
  <c r="A176" i="7"/>
  <c r="B176" i="7"/>
  <c r="A177" i="7"/>
  <c r="B177" i="7"/>
  <c r="A178" i="7"/>
  <c r="B178" i="7"/>
  <c r="A179" i="7"/>
  <c r="B179" i="7"/>
  <c r="A180" i="7"/>
  <c r="B180" i="7"/>
  <c r="A181" i="7"/>
  <c r="B181" i="7"/>
  <c r="A182" i="7"/>
  <c r="B182" i="7"/>
  <c r="A183" i="7"/>
  <c r="B183" i="7"/>
  <c r="A184" i="7"/>
  <c r="B184" i="7"/>
  <c r="A185" i="7"/>
  <c r="B185" i="7"/>
  <c r="A186" i="7"/>
  <c r="B186" i="7"/>
  <c r="A187" i="7"/>
  <c r="B187" i="7"/>
  <c r="A188" i="7"/>
  <c r="B188" i="7"/>
  <c r="A189" i="7"/>
  <c r="B189" i="7"/>
  <c r="A190" i="7"/>
  <c r="B190" i="7"/>
  <c r="A191" i="7"/>
  <c r="B191" i="7"/>
  <c r="A192" i="7"/>
  <c r="B192" i="7"/>
  <c r="A193" i="7"/>
  <c r="B193" i="7"/>
  <c r="A194" i="7"/>
  <c r="B194" i="7"/>
  <c r="A195" i="7"/>
  <c r="B195" i="7"/>
  <c r="A196" i="7"/>
  <c r="B196" i="7"/>
  <c r="A197" i="7"/>
  <c r="B197" i="7"/>
  <c r="A198" i="7"/>
  <c r="B198" i="7"/>
  <c r="A199" i="7"/>
  <c r="B199" i="7"/>
  <c r="A200" i="7"/>
  <c r="B200" i="7"/>
  <c r="A201" i="7"/>
  <c r="B201" i="7"/>
  <c r="A202" i="7"/>
  <c r="B202" i="7"/>
  <c r="A203" i="7"/>
  <c r="B203" i="7"/>
  <c r="A204" i="7"/>
  <c r="B204" i="7"/>
  <c r="A205" i="7"/>
  <c r="B205" i="7"/>
  <c r="A206" i="7"/>
  <c r="B206" i="7"/>
  <c r="A207" i="7"/>
  <c r="B207" i="7"/>
  <c r="A208" i="7"/>
  <c r="B208" i="7"/>
  <c r="A209" i="7"/>
  <c r="B209" i="7"/>
  <c r="A210" i="7"/>
  <c r="B210" i="7"/>
  <c r="A211" i="7"/>
  <c r="B211" i="7"/>
  <c r="A212" i="7"/>
  <c r="B212" i="7"/>
  <c r="A213" i="7"/>
  <c r="B213" i="7"/>
  <c r="A214" i="7"/>
  <c r="B214" i="7"/>
  <c r="A215" i="7"/>
  <c r="B215" i="7"/>
  <c r="A216" i="7"/>
  <c r="B216" i="7"/>
  <c r="A217" i="7"/>
  <c r="B217" i="7"/>
  <c r="A218" i="7"/>
  <c r="B218" i="7"/>
  <c r="A219" i="7"/>
  <c r="B219" i="7"/>
  <c r="A220" i="7"/>
  <c r="B220" i="7"/>
  <c r="A221" i="7"/>
  <c r="B221" i="7"/>
  <c r="A222" i="7"/>
  <c r="B222" i="7"/>
  <c r="A223" i="7"/>
  <c r="B223" i="7"/>
  <c r="A224" i="7"/>
  <c r="B224" i="7"/>
  <c r="A225" i="7"/>
  <c r="B225" i="7"/>
  <c r="A226" i="7"/>
  <c r="B226" i="7"/>
  <c r="A227" i="7"/>
  <c r="B227" i="7"/>
  <c r="A228" i="7"/>
  <c r="B228" i="7"/>
  <c r="A229" i="7"/>
  <c r="B229" i="7"/>
  <c r="A230" i="7"/>
  <c r="B230" i="7"/>
  <c r="A231" i="7"/>
  <c r="B231" i="7"/>
  <c r="A232" i="7"/>
  <c r="B232" i="7"/>
  <c r="A233" i="7"/>
  <c r="B233" i="7"/>
  <c r="A234" i="7"/>
  <c r="B234" i="7"/>
  <c r="A235" i="7"/>
  <c r="B235" i="7"/>
  <c r="A236" i="7"/>
  <c r="B236" i="7"/>
  <c r="A237" i="7"/>
  <c r="B237" i="7"/>
  <c r="A238" i="7"/>
  <c r="B238" i="7"/>
  <c r="A239" i="7"/>
  <c r="B239" i="7"/>
  <c r="A240" i="7"/>
  <c r="B240" i="7"/>
  <c r="A241" i="7"/>
  <c r="B241" i="7"/>
  <c r="A242" i="7"/>
  <c r="B242" i="7"/>
  <c r="A243" i="7"/>
  <c r="B243" i="7"/>
  <c r="A244" i="7"/>
  <c r="B244" i="7"/>
  <c r="A245" i="7"/>
  <c r="B245" i="7"/>
  <c r="A246" i="7"/>
  <c r="B246" i="7"/>
  <c r="A247" i="7"/>
  <c r="B247" i="7"/>
  <c r="A248" i="7"/>
  <c r="B248" i="7"/>
  <c r="A249" i="7"/>
  <c r="B249" i="7"/>
  <c r="A250" i="7"/>
  <c r="B250" i="7"/>
  <c r="A251" i="7"/>
  <c r="B251" i="7"/>
  <c r="A252" i="7"/>
  <c r="B252" i="7"/>
  <c r="A253" i="7"/>
  <c r="B253" i="7"/>
  <c r="A254" i="7"/>
  <c r="B254" i="7"/>
  <c r="A255" i="7"/>
  <c r="B255" i="7"/>
  <c r="A256" i="7"/>
  <c r="B256" i="7"/>
  <c r="A257" i="7"/>
  <c r="B257" i="7"/>
  <c r="A258" i="7"/>
  <c r="B258" i="7"/>
  <c r="A259" i="7"/>
  <c r="B259" i="7"/>
  <c r="A260" i="7"/>
  <c r="B260" i="7"/>
  <c r="A261" i="7"/>
  <c r="B261" i="7"/>
  <c r="A380" i="1"/>
  <c r="B380" i="1"/>
  <c r="A381" i="1"/>
  <c r="B381" i="1"/>
  <c r="A382" i="1"/>
  <c r="B382" i="1"/>
  <c r="B383" i="1" s="1"/>
  <c r="B384" i="1" s="1"/>
  <c r="B385" i="1" s="1"/>
  <c r="A383" i="1"/>
  <c r="A384" i="1"/>
  <c r="A385" i="1"/>
  <c r="A290" i="1"/>
  <c r="B290" i="1"/>
  <c r="A291" i="1"/>
  <c r="B291" i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242" i="1"/>
  <c r="B242" i="1"/>
  <c r="A243" i="1"/>
  <c r="B243" i="1"/>
  <c r="A244" i="1"/>
  <c r="B244" i="1"/>
  <c r="A245" i="1"/>
  <c r="B245" i="1"/>
  <c r="A246" i="1"/>
  <c r="B246" i="1"/>
  <c r="A247" i="1"/>
  <c r="B247" i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178" i="6"/>
  <c r="B178" i="6"/>
  <c r="A179" i="6"/>
  <c r="B179" i="6"/>
  <c r="A180" i="6"/>
  <c r="B180" i="6"/>
  <c r="A181" i="6"/>
  <c r="B181" i="6"/>
  <c r="A150" i="6"/>
  <c r="B150" i="6"/>
  <c r="A151" i="6"/>
  <c r="B151" i="6"/>
  <c r="A152" i="6"/>
  <c r="A176" i="6" s="1"/>
  <c r="B152" i="6"/>
  <c r="B176" i="6" s="1"/>
  <c r="A153" i="6"/>
  <c r="B153" i="6"/>
  <c r="A154" i="6"/>
  <c r="B154" i="6"/>
  <c r="A155" i="6"/>
  <c r="B155" i="6"/>
  <c r="A156" i="6"/>
  <c r="B156" i="6"/>
  <c r="A157" i="6"/>
  <c r="B157" i="6"/>
  <c r="A158" i="6"/>
  <c r="B158" i="6"/>
  <c r="A159" i="6"/>
  <c r="B159" i="6"/>
  <c r="A160" i="6"/>
  <c r="B160" i="6"/>
  <c r="A161" i="6"/>
  <c r="B161" i="6"/>
  <c r="A162" i="6"/>
  <c r="B162" i="6"/>
  <c r="A163" i="6"/>
  <c r="B163" i="6"/>
  <c r="A164" i="6"/>
  <c r="B164" i="6"/>
  <c r="A165" i="6"/>
  <c r="B165" i="6"/>
  <c r="A166" i="6"/>
  <c r="B166" i="6"/>
  <c r="A167" i="6"/>
  <c r="B167" i="6"/>
  <c r="A168" i="6"/>
  <c r="B168" i="6"/>
  <c r="A169" i="6"/>
  <c r="B169" i="6"/>
  <c r="A170" i="6"/>
  <c r="B170" i="6"/>
  <c r="A171" i="6"/>
  <c r="B171" i="6"/>
  <c r="A172" i="6"/>
  <c r="B172" i="6"/>
  <c r="A173" i="6"/>
  <c r="B173" i="6"/>
  <c r="A174" i="6"/>
  <c r="B174" i="6"/>
  <c r="A175" i="6"/>
  <c r="B175" i="6"/>
  <c r="A177" i="6"/>
  <c r="B177" i="6"/>
  <c r="A124" i="6"/>
  <c r="B124" i="6"/>
  <c r="A125" i="6"/>
  <c r="B125" i="6"/>
  <c r="A126" i="6"/>
  <c r="B126" i="6"/>
  <c r="A127" i="6"/>
  <c r="B127" i="6"/>
  <c r="A128" i="6"/>
  <c r="B128" i="6"/>
  <c r="A129" i="6"/>
  <c r="B129" i="6"/>
  <c r="A130" i="6"/>
  <c r="B130" i="6"/>
  <c r="A131" i="6"/>
  <c r="B131" i="6"/>
  <c r="A132" i="6"/>
  <c r="B132" i="6"/>
  <c r="A133" i="6"/>
  <c r="B133" i="6"/>
  <c r="A134" i="6"/>
  <c r="B134" i="6"/>
  <c r="A135" i="6"/>
  <c r="B135" i="6"/>
  <c r="A136" i="6"/>
  <c r="B136" i="6"/>
  <c r="A137" i="6"/>
  <c r="B137" i="6"/>
  <c r="A138" i="6"/>
  <c r="B138" i="6"/>
  <c r="A139" i="6"/>
  <c r="B139" i="6"/>
  <c r="A140" i="6"/>
  <c r="B140" i="6"/>
  <c r="A141" i="6"/>
  <c r="B141" i="6"/>
  <c r="A142" i="6"/>
  <c r="B142" i="6"/>
  <c r="A143" i="6"/>
  <c r="B143" i="6"/>
  <c r="A144" i="6"/>
  <c r="B144" i="6"/>
  <c r="A145" i="6"/>
  <c r="B145" i="6"/>
  <c r="A146" i="6"/>
  <c r="B146" i="6"/>
  <c r="A147" i="6"/>
  <c r="B147" i="6"/>
  <c r="A148" i="6"/>
  <c r="B148" i="6"/>
  <c r="A149" i="6"/>
  <c r="B149" i="6"/>
  <c r="A113" i="6"/>
  <c r="B113" i="6"/>
  <c r="A114" i="6"/>
  <c r="B114" i="6"/>
  <c r="A115" i="6"/>
  <c r="B115" i="6"/>
  <c r="A116" i="6"/>
  <c r="B116" i="6"/>
  <c r="A117" i="6"/>
  <c r="B117" i="6"/>
  <c r="A118" i="6"/>
  <c r="B118" i="6"/>
  <c r="A119" i="6"/>
  <c r="B119" i="6"/>
  <c r="A120" i="6"/>
  <c r="B120" i="6"/>
  <c r="A121" i="6"/>
  <c r="B121" i="6"/>
  <c r="A122" i="6"/>
  <c r="B122" i="6"/>
  <c r="A123" i="6"/>
  <c r="B123" i="6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194" i="2"/>
  <c r="A232" i="1"/>
  <c r="B232" i="1"/>
  <c r="B233" i="1" s="1"/>
  <c r="A233" i="1"/>
  <c r="A234" i="1"/>
  <c r="A235" i="1"/>
  <c r="A236" i="1"/>
  <c r="A237" i="1"/>
  <c r="A238" i="1"/>
  <c r="A239" i="1"/>
  <c r="A240" i="1"/>
  <c r="A241" i="1"/>
  <c r="A194" i="1"/>
  <c r="B194" i="1"/>
  <c r="A195" i="1"/>
  <c r="B195" i="1"/>
  <c r="B196" i="1" s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B194" i="2"/>
  <c r="B195" i="2"/>
  <c r="B232" i="2"/>
  <c r="A106" i="6"/>
  <c r="B106" i="6"/>
  <c r="A107" i="6"/>
  <c r="B107" i="6"/>
  <c r="A108" i="6"/>
  <c r="B108" i="6"/>
  <c r="A109" i="6"/>
  <c r="B109" i="6"/>
  <c r="A110" i="6"/>
  <c r="B110" i="6"/>
  <c r="A111" i="6"/>
  <c r="B111" i="6"/>
  <c r="A112" i="6"/>
  <c r="B112" i="6"/>
  <c r="A104" i="6"/>
  <c r="B104" i="6"/>
  <c r="A105" i="6"/>
  <c r="B105" i="6"/>
  <c r="A89" i="6"/>
  <c r="B89" i="6"/>
  <c r="A90" i="6"/>
  <c r="B90" i="6"/>
  <c r="A91" i="6"/>
  <c r="B91" i="6"/>
  <c r="A92" i="6"/>
  <c r="B92" i="6"/>
  <c r="A93" i="6"/>
  <c r="B93" i="6"/>
  <c r="A94" i="6"/>
  <c r="B94" i="6"/>
  <c r="A95" i="6"/>
  <c r="B95" i="6"/>
  <c r="A96" i="6"/>
  <c r="B96" i="6"/>
  <c r="A97" i="6"/>
  <c r="B97" i="6"/>
  <c r="A98" i="6"/>
  <c r="B98" i="6"/>
  <c r="A99" i="6"/>
  <c r="B99" i="6"/>
  <c r="A100" i="6"/>
  <c r="B100" i="6"/>
  <c r="A101" i="6"/>
  <c r="B101" i="6"/>
  <c r="A102" i="6"/>
  <c r="B102" i="6"/>
  <c r="A103" i="6"/>
  <c r="B103" i="6"/>
  <c r="B86" i="6"/>
  <c r="B87" i="6"/>
  <c r="B88" i="6"/>
  <c r="A86" i="6"/>
  <c r="A87" i="6"/>
  <c r="A88" i="6"/>
  <c r="B234" i="1" l="1"/>
  <c r="B233" i="2"/>
  <c r="B196" i="2"/>
  <c r="B197" i="1"/>
  <c r="A193" i="1"/>
  <c r="A193" i="2" s="1"/>
  <c r="B193" i="1"/>
  <c r="A192" i="1"/>
  <c r="A192" i="2" s="1"/>
  <c r="B192" i="1"/>
  <c r="A190" i="1"/>
  <c r="B190" i="1"/>
  <c r="B190" i="2" s="1"/>
  <c r="A191" i="1"/>
  <c r="A191" i="2" s="1"/>
  <c r="B191" i="1"/>
  <c r="B191" i="2" s="1"/>
  <c r="A146" i="1"/>
  <c r="B146" i="1"/>
  <c r="B147" i="1" s="1"/>
  <c r="A147" i="1"/>
  <c r="A148" i="1"/>
  <c r="A149" i="1"/>
  <c r="A150" i="1"/>
  <c r="A150" i="2" s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45" i="2"/>
  <c r="B145" i="2"/>
  <c r="A146" i="2"/>
  <c r="B146" i="2"/>
  <c r="A147" i="2"/>
  <c r="A148" i="2"/>
  <c r="A149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B192" i="2"/>
  <c r="B193" i="2"/>
  <c r="A82" i="6"/>
  <c r="B82" i="6"/>
  <c r="A83" i="6"/>
  <c r="B83" i="6"/>
  <c r="A84" i="6"/>
  <c r="B84" i="6"/>
  <c r="A85" i="6"/>
  <c r="B85" i="6"/>
  <c r="A70" i="6"/>
  <c r="B70" i="6"/>
  <c r="A71" i="6"/>
  <c r="B71" i="6"/>
  <c r="A72" i="6"/>
  <c r="B72" i="6"/>
  <c r="A73" i="6"/>
  <c r="B73" i="6"/>
  <c r="A74" i="6"/>
  <c r="B74" i="6"/>
  <c r="A75" i="6"/>
  <c r="B75" i="6"/>
  <c r="A76" i="6"/>
  <c r="B76" i="6"/>
  <c r="A77" i="6"/>
  <c r="B77" i="6"/>
  <c r="A78" i="6"/>
  <c r="B78" i="6"/>
  <c r="A79" i="6"/>
  <c r="B79" i="6"/>
  <c r="A80" i="6"/>
  <c r="B80" i="6"/>
  <c r="A81" i="6"/>
  <c r="B81" i="6"/>
  <c r="B68" i="6"/>
  <c r="B69" i="6"/>
  <c r="A68" i="6"/>
  <c r="A69" i="6"/>
  <c r="B234" i="2" l="1"/>
  <c r="B235" i="1"/>
  <c r="B198" i="1"/>
  <c r="B197" i="2"/>
  <c r="B148" i="1"/>
  <c r="B147" i="2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I2" i="4"/>
  <c r="H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2" i="4"/>
  <c r="B145" i="7"/>
  <c r="A145" i="7"/>
  <c r="B144" i="7"/>
  <c r="A144" i="7"/>
  <c r="B143" i="7"/>
  <c r="A143" i="7"/>
  <c r="B142" i="7"/>
  <c r="A142" i="7"/>
  <c r="B141" i="7"/>
  <c r="A141" i="7"/>
  <c r="B140" i="7"/>
  <c r="A140" i="7"/>
  <c r="B139" i="7"/>
  <c r="A139" i="7"/>
  <c r="B138" i="7"/>
  <c r="A138" i="7"/>
  <c r="B137" i="7"/>
  <c r="A137" i="7"/>
  <c r="B136" i="7"/>
  <c r="A136" i="7"/>
  <c r="B135" i="7"/>
  <c r="A135" i="7"/>
  <c r="B134" i="7"/>
  <c r="A134" i="7"/>
  <c r="B133" i="7"/>
  <c r="A133" i="7"/>
  <c r="B132" i="7"/>
  <c r="A132" i="7"/>
  <c r="B131" i="7"/>
  <c r="A131" i="7"/>
  <c r="B130" i="7"/>
  <c r="A130" i="7"/>
  <c r="B129" i="7"/>
  <c r="A129" i="7"/>
  <c r="B128" i="7"/>
  <c r="A128" i="7"/>
  <c r="B127" i="7"/>
  <c r="A127" i="7"/>
  <c r="B126" i="7"/>
  <c r="A126" i="7"/>
  <c r="B125" i="7"/>
  <c r="A125" i="7"/>
  <c r="B124" i="7"/>
  <c r="A124" i="7"/>
  <c r="B123" i="7"/>
  <c r="A123" i="7"/>
  <c r="B122" i="7"/>
  <c r="A122" i="7"/>
  <c r="B121" i="7"/>
  <c r="A121" i="7"/>
  <c r="B120" i="7"/>
  <c r="A120" i="7"/>
  <c r="B119" i="7"/>
  <c r="A119" i="7"/>
  <c r="B118" i="7"/>
  <c r="A118" i="7"/>
  <c r="B117" i="7"/>
  <c r="A117" i="7"/>
  <c r="B116" i="7"/>
  <c r="A116" i="7"/>
  <c r="B115" i="7"/>
  <c r="A115" i="7"/>
  <c r="B114" i="7"/>
  <c r="A114" i="7"/>
  <c r="B113" i="7"/>
  <c r="A113" i="7"/>
  <c r="B112" i="7"/>
  <c r="A112" i="7"/>
  <c r="B111" i="7"/>
  <c r="A111" i="7"/>
  <c r="B110" i="7"/>
  <c r="A110" i="7"/>
  <c r="B109" i="7"/>
  <c r="A109" i="7"/>
  <c r="B108" i="7"/>
  <c r="A108" i="7"/>
  <c r="B107" i="7"/>
  <c r="A107" i="7"/>
  <c r="B106" i="7"/>
  <c r="A106" i="7"/>
  <c r="B105" i="7"/>
  <c r="A105" i="7"/>
  <c r="B104" i="7"/>
  <c r="A104" i="7"/>
  <c r="B103" i="7"/>
  <c r="A103" i="7"/>
  <c r="B102" i="7"/>
  <c r="A102" i="7"/>
  <c r="B101" i="7"/>
  <c r="A101" i="7"/>
  <c r="B100" i="7"/>
  <c r="A100" i="7"/>
  <c r="B99" i="7"/>
  <c r="A99" i="7"/>
  <c r="B98" i="7"/>
  <c r="A98" i="7"/>
  <c r="B97" i="7"/>
  <c r="A97" i="7"/>
  <c r="B96" i="7"/>
  <c r="A96" i="7"/>
  <c r="B95" i="7"/>
  <c r="A95" i="7"/>
  <c r="B94" i="7"/>
  <c r="A94" i="7"/>
  <c r="B93" i="7"/>
  <c r="A93" i="7"/>
  <c r="B92" i="7"/>
  <c r="A92" i="7"/>
  <c r="B91" i="7"/>
  <c r="A91" i="7"/>
  <c r="B90" i="7"/>
  <c r="A90" i="7"/>
  <c r="B89" i="7"/>
  <c r="A89" i="7"/>
  <c r="B88" i="7"/>
  <c r="A88" i="7"/>
  <c r="B87" i="7"/>
  <c r="A87" i="7"/>
  <c r="B86" i="7"/>
  <c r="A86" i="7"/>
  <c r="B85" i="7"/>
  <c r="A85" i="7"/>
  <c r="B84" i="7"/>
  <c r="A84" i="7"/>
  <c r="B83" i="7"/>
  <c r="A83" i="7"/>
  <c r="B82" i="7"/>
  <c r="A82" i="7"/>
  <c r="B81" i="7"/>
  <c r="A81" i="7"/>
  <c r="B80" i="7"/>
  <c r="A80" i="7"/>
  <c r="B79" i="7"/>
  <c r="A79" i="7"/>
  <c r="B78" i="7"/>
  <c r="A78" i="7"/>
  <c r="B77" i="7"/>
  <c r="A77" i="7"/>
  <c r="B76" i="7"/>
  <c r="A76" i="7"/>
  <c r="B75" i="7"/>
  <c r="A75" i="7"/>
  <c r="B74" i="7"/>
  <c r="A74" i="7"/>
  <c r="B73" i="7"/>
  <c r="A73" i="7"/>
  <c r="B72" i="7"/>
  <c r="A72" i="7"/>
  <c r="B71" i="7"/>
  <c r="A71" i="7"/>
  <c r="B70" i="7"/>
  <c r="A70" i="7"/>
  <c r="B69" i="7"/>
  <c r="A69" i="7"/>
  <c r="B68" i="7"/>
  <c r="A68" i="7"/>
  <c r="B67" i="7"/>
  <c r="A67" i="7"/>
  <c r="B66" i="7"/>
  <c r="A66" i="7"/>
  <c r="B65" i="7"/>
  <c r="A65" i="7"/>
  <c r="B64" i="7"/>
  <c r="A64" i="7"/>
  <c r="B63" i="7"/>
  <c r="A63" i="7"/>
  <c r="B62" i="7"/>
  <c r="A62" i="7"/>
  <c r="B61" i="7"/>
  <c r="A61" i="7"/>
  <c r="B60" i="7"/>
  <c r="A60" i="7"/>
  <c r="B59" i="7"/>
  <c r="A59" i="7"/>
  <c r="B58" i="7"/>
  <c r="A58" i="7"/>
  <c r="B57" i="7"/>
  <c r="A57" i="7"/>
  <c r="B56" i="7"/>
  <c r="A56" i="7"/>
  <c r="B55" i="7"/>
  <c r="A55" i="7"/>
  <c r="B54" i="7"/>
  <c r="A54" i="7"/>
  <c r="B53" i="7"/>
  <c r="A53" i="7"/>
  <c r="B52" i="7"/>
  <c r="A52" i="7"/>
  <c r="B51" i="7"/>
  <c r="A51" i="7"/>
  <c r="B50" i="7"/>
  <c r="A50" i="7"/>
  <c r="B59" i="6"/>
  <c r="B60" i="6"/>
  <c r="B61" i="6"/>
  <c r="B62" i="6"/>
  <c r="B63" i="6"/>
  <c r="B64" i="6"/>
  <c r="B65" i="6"/>
  <c r="B66" i="6"/>
  <c r="B67" i="6"/>
  <c r="A59" i="6"/>
  <c r="A60" i="6"/>
  <c r="A61" i="6"/>
  <c r="A62" i="6"/>
  <c r="A63" i="6"/>
  <c r="A64" i="6"/>
  <c r="A65" i="6"/>
  <c r="A66" i="6"/>
  <c r="A67" i="6"/>
  <c r="B235" i="2" l="1"/>
  <c r="B236" i="1"/>
  <c r="B198" i="2"/>
  <c r="B199" i="1"/>
  <c r="B149" i="1"/>
  <c r="B148" i="2"/>
  <c r="B27" i="6"/>
  <c r="B28" i="6"/>
  <c r="B29" i="6"/>
  <c r="B30" i="6"/>
  <c r="B31" i="6"/>
  <c r="B32" i="6"/>
  <c r="B33" i="6"/>
  <c r="B34" i="6"/>
  <c r="B58" i="6" s="1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26" i="6"/>
  <c r="A57" i="6"/>
  <c r="A58" i="6"/>
  <c r="B236" i="2" l="1"/>
  <c r="B237" i="1"/>
  <c r="B200" i="1"/>
  <c r="B199" i="2"/>
  <c r="B149" i="2"/>
  <c r="B150" i="1"/>
  <c r="A27" i="6"/>
  <c r="A28" i="6"/>
  <c r="A29" i="6"/>
  <c r="A53" i="6" s="1"/>
  <c r="A30" i="6"/>
  <c r="A31" i="6"/>
  <c r="A55" i="6" s="1"/>
  <c r="A32" i="6"/>
  <c r="A56" i="6" s="1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4" i="6"/>
  <c r="A26" i="6"/>
  <c r="B238" i="1" l="1"/>
  <c r="B237" i="2"/>
  <c r="B201" i="1"/>
  <c r="B200" i="2"/>
  <c r="B150" i="2"/>
  <c r="B151" i="1"/>
  <c r="A99" i="1"/>
  <c r="A100" i="1"/>
  <c r="A100" i="2" s="1"/>
  <c r="A101" i="1"/>
  <c r="A102" i="1"/>
  <c r="A103" i="1"/>
  <c r="A104" i="1"/>
  <c r="A104" i="2" s="1"/>
  <c r="A105" i="1"/>
  <c r="A105" i="2" s="1"/>
  <c r="A106" i="1"/>
  <c r="A106" i="2" s="1"/>
  <c r="A107" i="1"/>
  <c r="A107" i="2" s="1"/>
  <c r="A108" i="1"/>
  <c r="A108" i="2" s="1"/>
  <c r="A109" i="1"/>
  <c r="A109" i="2" s="1"/>
  <c r="A110" i="1"/>
  <c r="A110" i="2" s="1"/>
  <c r="A111" i="1"/>
  <c r="A111" i="2" s="1"/>
  <c r="A112" i="1"/>
  <c r="A112" i="2" s="1"/>
  <c r="A113" i="1"/>
  <c r="A113" i="2" s="1"/>
  <c r="A114" i="1"/>
  <c r="A114" i="2" s="1"/>
  <c r="A115" i="1"/>
  <c r="A115" i="2" s="1"/>
  <c r="A116" i="1"/>
  <c r="A116" i="2" s="1"/>
  <c r="A117" i="1"/>
  <c r="A117" i="2" s="1"/>
  <c r="A118" i="1"/>
  <c r="A118" i="2" s="1"/>
  <c r="A119" i="1"/>
  <c r="A119" i="2" s="1"/>
  <c r="A120" i="1"/>
  <c r="A120" i="2" s="1"/>
  <c r="A121" i="1"/>
  <c r="A121" i="2" s="1"/>
  <c r="A122" i="1"/>
  <c r="A122" i="2" s="1"/>
  <c r="A123" i="1"/>
  <c r="A123" i="2" s="1"/>
  <c r="A124" i="1"/>
  <c r="A124" i="2" s="1"/>
  <c r="A125" i="1"/>
  <c r="A125" i="2" s="1"/>
  <c r="A126" i="1"/>
  <c r="A126" i="2" s="1"/>
  <c r="A127" i="1"/>
  <c r="A127" i="2" s="1"/>
  <c r="A128" i="1"/>
  <c r="A128" i="2" s="1"/>
  <c r="A129" i="1"/>
  <c r="A129" i="2" s="1"/>
  <c r="A130" i="1"/>
  <c r="A130" i="2" s="1"/>
  <c r="A131" i="1"/>
  <c r="A131" i="2" s="1"/>
  <c r="A132" i="1"/>
  <c r="A132" i="2" s="1"/>
  <c r="A133" i="1"/>
  <c r="A133" i="2" s="1"/>
  <c r="A134" i="1"/>
  <c r="A134" i="2" s="1"/>
  <c r="A135" i="1"/>
  <c r="A135" i="2" s="1"/>
  <c r="A136" i="1"/>
  <c r="A136" i="2" s="1"/>
  <c r="A137" i="1"/>
  <c r="A137" i="2" s="1"/>
  <c r="A138" i="1"/>
  <c r="A138" i="2" s="1"/>
  <c r="A139" i="1"/>
  <c r="A139" i="2" s="1"/>
  <c r="A140" i="1"/>
  <c r="A140" i="2" s="1"/>
  <c r="A141" i="1"/>
  <c r="A141" i="2" s="1"/>
  <c r="A142" i="1"/>
  <c r="A142" i="2" s="1"/>
  <c r="A143" i="1"/>
  <c r="A143" i="2" s="1"/>
  <c r="A144" i="1"/>
  <c r="A144" i="2" s="1"/>
  <c r="A145" i="1"/>
  <c r="A98" i="1"/>
  <c r="A98" i="2" s="1"/>
  <c r="C3" i="4"/>
  <c r="D3" i="4"/>
  <c r="C4" i="4"/>
  <c r="D4" i="4"/>
  <c r="C5" i="4"/>
  <c r="D5" i="4"/>
  <c r="C6" i="4"/>
  <c r="D6" i="4"/>
  <c r="C7" i="4"/>
  <c r="D7" i="4"/>
  <c r="C8" i="4"/>
  <c r="D8" i="4"/>
  <c r="C9" i="4"/>
  <c r="D9" i="4"/>
  <c r="C10" i="4"/>
  <c r="D10" i="4"/>
  <c r="C11" i="4"/>
  <c r="D11" i="4"/>
  <c r="C12" i="4"/>
  <c r="D12" i="4"/>
  <c r="C13" i="4"/>
  <c r="D13" i="4"/>
  <c r="C14" i="4"/>
  <c r="D14" i="4"/>
  <c r="C15" i="4"/>
  <c r="D15" i="4"/>
  <c r="C16" i="4"/>
  <c r="D16" i="4"/>
  <c r="C17" i="4"/>
  <c r="D17" i="4"/>
  <c r="C18" i="4"/>
  <c r="D18" i="4"/>
  <c r="C19" i="4"/>
  <c r="D19" i="4"/>
  <c r="C20" i="4"/>
  <c r="D20" i="4"/>
  <c r="C21" i="4"/>
  <c r="D21" i="4"/>
  <c r="C22" i="4"/>
  <c r="D22" i="4"/>
  <c r="C23" i="4"/>
  <c r="D23" i="4"/>
  <c r="C24" i="4"/>
  <c r="D24" i="4"/>
  <c r="C25" i="4"/>
  <c r="D25" i="4"/>
  <c r="C26" i="4"/>
  <c r="D26" i="4"/>
  <c r="C27" i="4"/>
  <c r="D27" i="4"/>
  <c r="C28" i="4"/>
  <c r="D28" i="4"/>
  <c r="C29" i="4"/>
  <c r="D29" i="4"/>
  <c r="C30" i="4"/>
  <c r="D30" i="4"/>
  <c r="C31" i="4"/>
  <c r="D31" i="4"/>
  <c r="C32" i="4"/>
  <c r="D32" i="4"/>
  <c r="C33" i="4"/>
  <c r="D33" i="4"/>
  <c r="C34" i="4"/>
  <c r="D34" i="4"/>
  <c r="C35" i="4"/>
  <c r="D35" i="4"/>
  <c r="C36" i="4"/>
  <c r="D36" i="4"/>
  <c r="C37" i="4"/>
  <c r="D37" i="4"/>
  <c r="C38" i="4"/>
  <c r="D38" i="4"/>
  <c r="C39" i="4"/>
  <c r="D39" i="4"/>
  <c r="C40" i="4"/>
  <c r="D40" i="4"/>
  <c r="C41" i="4"/>
  <c r="D41" i="4"/>
  <c r="C42" i="4"/>
  <c r="D42" i="4"/>
  <c r="C43" i="4"/>
  <c r="D43" i="4"/>
  <c r="C44" i="4"/>
  <c r="D44" i="4"/>
  <c r="C45" i="4"/>
  <c r="D45" i="4"/>
  <c r="C46" i="4"/>
  <c r="D46" i="4"/>
  <c r="C47" i="4"/>
  <c r="D47" i="4"/>
  <c r="C48" i="4"/>
  <c r="D48" i="4"/>
  <c r="C49" i="4"/>
  <c r="D49" i="4"/>
  <c r="D2" i="4"/>
  <c r="C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2" i="4"/>
  <c r="A49" i="4"/>
  <c r="E49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2" i="4"/>
  <c r="A51" i="2"/>
  <c r="B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9" i="2"/>
  <c r="A101" i="2"/>
  <c r="A102" i="2"/>
  <c r="A103" i="2"/>
  <c r="B50" i="2"/>
  <c r="B52" i="1"/>
  <c r="B52" i="2" s="1"/>
  <c r="B53" i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51" i="1"/>
  <c r="A50" i="2"/>
  <c r="B238" i="2" l="1"/>
  <c r="B239" i="1"/>
  <c r="B201" i="2"/>
  <c r="B202" i="1"/>
  <c r="B152" i="1"/>
  <c r="B151" i="2"/>
  <c r="B99" i="1"/>
  <c r="B98" i="2"/>
  <c r="B63" i="2"/>
  <c r="B57" i="2"/>
  <c r="B75" i="2"/>
  <c r="B68" i="2"/>
  <c r="B85" i="2"/>
  <c r="B81" i="2"/>
  <c r="B69" i="2"/>
  <c r="B92" i="2"/>
  <c r="B80" i="2"/>
  <c r="B62" i="2"/>
  <c r="B97" i="2"/>
  <c r="B91" i="2"/>
  <c r="B79" i="2"/>
  <c r="B73" i="2"/>
  <c r="B67" i="2"/>
  <c r="B61" i="2"/>
  <c r="B55" i="2"/>
  <c r="B93" i="2"/>
  <c r="B56" i="2"/>
  <c r="B96" i="2"/>
  <c r="B90" i="2"/>
  <c r="B84" i="2"/>
  <c r="B78" i="2"/>
  <c r="B72" i="2"/>
  <c r="B66" i="2"/>
  <c r="B60" i="2"/>
  <c r="B54" i="2"/>
  <c r="B74" i="2"/>
  <c r="B87" i="2"/>
  <c r="B86" i="2"/>
  <c r="B95" i="2"/>
  <c r="B89" i="2"/>
  <c r="B83" i="2"/>
  <c r="B77" i="2"/>
  <c r="B71" i="2"/>
  <c r="B65" i="2"/>
  <c r="B59" i="2"/>
  <c r="B53" i="2"/>
  <c r="B94" i="2"/>
  <c r="B88" i="2"/>
  <c r="B82" i="2"/>
  <c r="B76" i="2"/>
  <c r="B70" i="2"/>
  <c r="B64" i="2"/>
  <c r="B58" i="2"/>
  <c r="B239" i="2" l="1"/>
  <c r="B240" i="1"/>
  <c r="B202" i="2"/>
  <c r="B203" i="1"/>
  <c r="B153" i="1"/>
  <c r="B152" i="2"/>
  <c r="B100" i="1"/>
  <c r="B99" i="2"/>
  <c r="B240" i="2" l="1"/>
  <c r="B241" i="1"/>
  <c r="B203" i="2"/>
  <c r="B204" i="1"/>
  <c r="B154" i="1"/>
  <c r="B153" i="2"/>
  <c r="B100" i="2"/>
  <c r="B101" i="1"/>
  <c r="B241" i="2" l="1"/>
  <c r="B204" i="2"/>
  <c r="B205" i="1"/>
  <c r="B155" i="1"/>
  <c r="B154" i="2"/>
  <c r="B101" i="2"/>
  <c r="B102" i="1"/>
  <c r="B206" i="1" l="1"/>
  <c r="B205" i="2"/>
  <c r="B155" i="2"/>
  <c r="B156" i="1"/>
  <c r="B102" i="2"/>
  <c r="B103" i="1"/>
  <c r="B206" i="2" l="1"/>
  <c r="B207" i="1"/>
  <c r="B156" i="2"/>
  <c r="B157" i="1"/>
  <c r="B103" i="2"/>
  <c r="B104" i="1"/>
  <c r="B208" i="1" l="1"/>
  <c r="B207" i="2"/>
  <c r="B158" i="1"/>
  <c r="B157" i="2"/>
  <c r="B104" i="2"/>
  <c r="B105" i="1"/>
  <c r="B208" i="2" l="1"/>
  <c r="B209" i="1"/>
  <c r="B159" i="1"/>
  <c r="B158" i="2"/>
  <c r="B106" i="1"/>
  <c r="B105" i="2"/>
  <c r="B210" i="1" l="1"/>
  <c r="B209" i="2"/>
  <c r="B160" i="1"/>
  <c r="B159" i="2"/>
  <c r="B107" i="1"/>
  <c r="B106" i="2"/>
  <c r="B211" i="1" l="1"/>
  <c r="B210" i="2"/>
  <c r="B161" i="1"/>
  <c r="B160" i="2"/>
  <c r="B108" i="1"/>
  <c r="B107" i="2"/>
  <c r="B212" i="1" l="1"/>
  <c r="B211" i="2"/>
  <c r="B161" i="2"/>
  <c r="B162" i="1"/>
  <c r="B109" i="1"/>
  <c r="B108" i="2"/>
  <c r="B213" i="1" l="1"/>
  <c r="B212" i="2"/>
  <c r="B162" i="2"/>
  <c r="B163" i="1"/>
  <c r="B110" i="1"/>
  <c r="B109" i="2"/>
  <c r="B213" i="2" l="1"/>
  <c r="B214" i="1"/>
  <c r="B164" i="1"/>
  <c r="B163" i="2"/>
  <c r="B111" i="1"/>
  <c r="B110" i="2"/>
  <c r="B214" i="2" l="1"/>
  <c r="B215" i="1"/>
  <c r="B165" i="1"/>
  <c r="B164" i="2"/>
  <c r="B112" i="1"/>
  <c r="B111" i="2"/>
  <c r="B216" i="1" l="1"/>
  <c r="B215" i="2"/>
  <c r="B166" i="1"/>
  <c r="B165" i="2"/>
  <c r="B113" i="1"/>
  <c r="B112" i="2"/>
  <c r="B217" i="1" l="1"/>
  <c r="B216" i="2"/>
  <c r="B167" i="1"/>
  <c r="B166" i="2"/>
  <c r="B114" i="1"/>
  <c r="B113" i="2"/>
  <c r="B218" i="1" l="1"/>
  <c r="B217" i="2"/>
  <c r="B167" i="2"/>
  <c r="B168" i="1"/>
  <c r="B115" i="1"/>
  <c r="B114" i="2"/>
  <c r="B219" i="1" l="1"/>
  <c r="B218" i="2"/>
  <c r="B168" i="2"/>
  <c r="B169" i="1"/>
  <c r="B116" i="1"/>
  <c r="B115" i="2"/>
  <c r="B219" i="2" l="1"/>
  <c r="B220" i="1"/>
  <c r="B170" i="1"/>
  <c r="B169" i="2"/>
  <c r="B117" i="1"/>
  <c r="B116" i="2"/>
  <c r="B220" i="2" l="1"/>
  <c r="B221" i="1"/>
  <c r="B171" i="1"/>
  <c r="B170" i="2"/>
  <c r="B118" i="1"/>
  <c r="B117" i="2"/>
  <c r="B221" i="2" l="1"/>
  <c r="B222" i="1"/>
  <c r="B172" i="1"/>
  <c r="B171" i="2"/>
  <c r="B119" i="1"/>
  <c r="B118" i="2"/>
  <c r="B223" i="1" l="1"/>
  <c r="B222" i="2"/>
  <c r="B173" i="1"/>
  <c r="B172" i="2"/>
  <c r="B120" i="1"/>
  <c r="B119" i="2"/>
  <c r="B223" i="2" l="1"/>
  <c r="B224" i="1"/>
  <c r="B173" i="2"/>
  <c r="B174" i="1"/>
  <c r="B121" i="1"/>
  <c r="B120" i="2"/>
  <c r="B225" i="1" l="1"/>
  <c r="B224" i="2"/>
  <c r="B174" i="2"/>
  <c r="B175" i="1"/>
  <c r="B122" i="1"/>
  <c r="B121" i="2"/>
  <c r="B225" i="2" l="1"/>
  <c r="B226" i="1"/>
  <c r="B176" i="1"/>
  <c r="B175" i="2"/>
  <c r="B123" i="1"/>
  <c r="B122" i="2"/>
  <c r="B226" i="2" l="1"/>
  <c r="B227" i="1"/>
  <c r="B177" i="1"/>
  <c r="B176" i="2"/>
  <c r="B124" i="1"/>
  <c r="B123" i="2"/>
  <c r="B227" i="2" l="1"/>
  <c r="B228" i="1"/>
  <c r="B178" i="1"/>
  <c r="B177" i="2"/>
  <c r="B125" i="1"/>
  <c r="B124" i="2"/>
  <c r="B229" i="1" l="1"/>
  <c r="B228" i="2"/>
  <c r="B179" i="1"/>
  <c r="B178" i="2"/>
  <c r="B126" i="1"/>
  <c r="B125" i="2"/>
  <c r="B230" i="1" l="1"/>
  <c r="B229" i="2"/>
  <c r="B179" i="2"/>
  <c r="B180" i="1"/>
  <c r="B127" i="1"/>
  <c r="B126" i="2"/>
  <c r="B231" i="1" l="1"/>
  <c r="B231" i="2" s="1"/>
  <c r="B230" i="2"/>
  <c r="B180" i="2"/>
  <c r="B181" i="1"/>
  <c r="B128" i="1"/>
  <c r="B127" i="2"/>
  <c r="B182" i="1" l="1"/>
  <c r="B181" i="2"/>
  <c r="B129" i="1"/>
  <c r="B128" i="2"/>
  <c r="B183" i="1" l="1"/>
  <c r="B182" i="2"/>
  <c r="B130" i="1"/>
  <c r="B129" i="2"/>
  <c r="B184" i="1" l="1"/>
  <c r="B183" i="2"/>
  <c r="B131" i="1"/>
  <c r="B130" i="2"/>
  <c r="B185" i="1" l="1"/>
  <c r="B184" i="2"/>
  <c r="B132" i="1"/>
  <c r="B131" i="2"/>
  <c r="B185" i="2" l="1"/>
  <c r="B186" i="1"/>
  <c r="B133" i="1"/>
  <c r="B132" i="2"/>
  <c r="B186" i="2" l="1"/>
  <c r="B187" i="1"/>
  <c r="B134" i="1"/>
  <c r="B133" i="2"/>
  <c r="B188" i="1" l="1"/>
  <c r="B187" i="2"/>
  <c r="B135" i="1"/>
  <c r="B134" i="2"/>
  <c r="B189" i="1" l="1"/>
  <c r="B189" i="2" s="1"/>
  <c r="B188" i="2"/>
  <c r="B136" i="1"/>
  <c r="B135" i="2"/>
  <c r="B137" i="1" l="1"/>
  <c r="B136" i="2"/>
  <c r="B138" i="1" l="1"/>
  <c r="B137" i="2"/>
  <c r="B139" i="1" l="1"/>
  <c r="B138" i="2"/>
  <c r="B140" i="1" l="1"/>
  <c r="B139" i="2"/>
  <c r="B141" i="1" l="1"/>
  <c r="B140" i="2"/>
  <c r="B142" i="1" l="1"/>
  <c r="B141" i="2"/>
  <c r="B143" i="1" l="1"/>
  <c r="B142" i="2"/>
  <c r="B144" i="1" l="1"/>
  <c r="B143" i="2"/>
  <c r="B145" i="1" l="1"/>
  <c r="B144" i="2"/>
</calcChain>
</file>

<file path=xl/sharedStrings.xml><?xml version="1.0" encoding="utf-8"?>
<sst xmlns="http://schemas.openxmlformats.org/spreadsheetml/2006/main" count="515" uniqueCount="402">
  <si>
    <t>Fecha</t>
  </si>
  <si>
    <t>Hora</t>
  </si>
  <si>
    <t>Santa Rosa</t>
  </si>
  <si>
    <t>Trujillo</t>
  </si>
  <si>
    <t>Socabaya</t>
  </si>
  <si>
    <t>Campo Armiño</t>
  </si>
  <si>
    <t>ETAPA \ BARRA</t>
  </si>
  <si>
    <t>AGUAYTIA 220</t>
  </si>
  <si>
    <t>BALNEARIO 220</t>
  </si>
  <si>
    <t>BALNEARIOS 60 A</t>
  </si>
  <si>
    <t>CALLAHUANCA 220</t>
  </si>
  <si>
    <t>CALLAHUANCA 60</t>
  </si>
  <si>
    <t>CARHUAMAYO 220</t>
  </si>
  <si>
    <t>CARHUAMAYO NUEVA 138</t>
  </si>
  <si>
    <t>CARHUAQUERO 220</t>
  </si>
  <si>
    <t>CHAVARRIA 220 A</t>
  </si>
  <si>
    <t>CHICLAYO OESTE 220</t>
  </si>
  <si>
    <t>CHIMBOTE 220</t>
  </si>
  <si>
    <t>GUADALUPE 220</t>
  </si>
  <si>
    <t>HUACHIPA 60</t>
  </si>
  <si>
    <t>HUACHO 220</t>
  </si>
  <si>
    <t>HUANCAVELICA 220</t>
  </si>
  <si>
    <t>HUAYUCACHI 220</t>
  </si>
  <si>
    <t>ICA 220</t>
  </si>
  <si>
    <t>INDEPENDENCIA 220</t>
  </si>
  <si>
    <t>MARCONA220</t>
  </si>
  <si>
    <t>MOYOPAMPA 60</t>
  </si>
  <si>
    <t>OROYA NUEVA 220</t>
  </si>
  <si>
    <t>OROYA NUEVA 138</t>
  </si>
  <si>
    <t>OROYA NUEVA 50</t>
  </si>
  <si>
    <t>PACHACHACA 220</t>
  </si>
  <si>
    <t>PARAGSHA2 220</t>
  </si>
  <si>
    <t>PARAGSHA 138</t>
  </si>
  <si>
    <t>PARAGSHA 50</t>
  </si>
  <si>
    <t>PARAMONGA NUEVA 220</t>
  </si>
  <si>
    <t>PIURA OESTE 220</t>
  </si>
  <si>
    <t>SAN JUAN 220</t>
  </si>
  <si>
    <t>SANTA ROSA 220 A</t>
  </si>
  <si>
    <t>SANTA ROSA EDS 60</t>
  </si>
  <si>
    <t>TALARA 220</t>
  </si>
  <si>
    <t>TINGO MARIA 138</t>
  </si>
  <si>
    <t>TINGO MARIA 220</t>
  </si>
  <si>
    <t>TRUJILLO 220</t>
  </si>
  <si>
    <t>VENTANILLA 220</t>
  </si>
  <si>
    <t>VIZCARRA 220</t>
  </si>
  <si>
    <t>ZAPALLAL 220</t>
  </si>
  <si>
    <t>AGUAYTIA 138</t>
  </si>
  <si>
    <t>PUCALLPA 138</t>
  </si>
  <si>
    <t>HUALLANCA 138</t>
  </si>
  <si>
    <t>CHIMBOTE 138</t>
  </si>
  <si>
    <t>PUCALLPA 60</t>
  </si>
  <si>
    <t>ZORRITOS 220</t>
  </si>
  <si>
    <t>ABANCAY NUEVA 138</t>
  </si>
  <si>
    <t>ARICOTA138</t>
  </si>
  <si>
    <t>ARICOTA II 66</t>
  </si>
  <si>
    <t>CAMPO ARMINO 220</t>
  </si>
  <si>
    <t>AYAVIRI138</t>
  </si>
  <si>
    <t>AZANGARO 138</t>
  </si>
  <si>
    <t>CACHIMAYO 138</t>
  </si>
  <si>
    <t>CALLALLI 138</t>
  </si>
  <si>
    <t>CERRO VERDE 138</t>
  </si>
  <si>
    <t>COMBAPATA 138</t>
  </si>
  <si>
    <t>DOLORESPATA 138</t>
  </si>
  <si>
    <t>DESIERTO220</t>
  </si>
  <si>
    <t>JULIACA 138</t>
  </si>
  <si>
    <t>MACHUPICCHU 138</t>
  </si>
  <si>
    <t>MOLLENDO 138</t>
  </si>
  <si>
    <t>MOQUEGUA 220</t>
  </si>
  <si>
    <t>MOQUEGUA 138</t>
  </si>
  <si>
    <t>PUNO 220</t>
  </si>
  <si>
    <t>PUNO 138</t>
  </si>
  <si>
    <t>SANTUARIO 138</t>
  </si>
  <si>
    <t>SOCABAYA 220</t>
  </si>
  <si>
    <t>SOCABAYA 138</t>
  </si>
  <si>
    <t>ILO 138</t>
  </si>
  <si>
    <t>LOS HEROES 220 A</t>
  </si>
  <si>
    <t>LOS HEROES 66</t>
  </si>
  <si>
    <t>TINTAYA 138</t>
  </si>
  <si>
    <t>TOMASIRI 66</t>
  </si>
  <si>
    <t>REPARTICION 138</t>
  </si>
  <si>
    <t>ILO2 220</t>
  </si>
  <si>
    <t>COTARUSE 220</t>
  </si>
  <si>
    <t>CHILCA REP 220</t>
  </si>
  <si>
    <t>CANTERA 220</t>
  </si>
  <si>
    <t>PIURA OESTE 60</t>
  </si>
  <si>
    <t>LA NINA 220</t>
  </si>
  <si>
    <t>CONOCOCHA 220</t>
  </si>
  <si>
    <t>HUINCO 220</t>
  </si>
  <si>
    <t>INDEPENDENCIA 60</t>
  </si>
  <si>
    <t>CHILLON 220</t>
  </si>
  <si>
    <t>CHILLON 60</t>
  </si>
  <si>
    <t>CHAVARRIA 60 A</t>
  </si>
  <si>
    <t>CHAVARRIA 60 B</t>
  </si>
  <si>
    <t>BARSI 60</t>
  </si>
  <si>
    <t>BARSI 220</t>
  </si>
  <si>
    <t>OQUENDO 60</t>
  </si>
  <si>
    <t>CAJAMARCA 220</t>
  </si>
  <si>
    <t>PLANICIE 220 A</t>
  </si>
  <si>
    <t>CARABAYLLO 220</t>
  </si>
  <si>
    <t>CARABAYLLO 500</t>
  </si>
  <si>
    <t>CHILCA CTM 500</t>
  </si>
  <si>
    <t>CHILCA CTM 220 A</t>
  </si>
  <si>
    <t>KIMAN AYLLU 138</t>
  </si>
  <si>
    <t>KIMAN AYLLU 220</t>
  </si>
  <si>
    <t>PARAMONGA EXISTENTE 138</t>
  </si>
  <si>
    <t>MACHALA 200</t>
  </si>
  <si>
    <t>CHIMBOTE 500</t>
  </si>
  <si>
    <t>TRUJILLO 500</t>
  </si>
  <si>
    <t>HUARANGAL 60</t>
  </si>
  <si>
    <t>POMACOCHA 220</t>
  </si>
  <si>
    <t>PIEDRA BLANCA 138</t>
  </si>
  <si>
    <t>POROMA 220</t>
  </si>
  <si>
    <t>POROMA500</t>
  </si>
  <si>
    <t>OCONA 500</t>
  </si>
  <si>
    <t>MONTALVO 500</t>
  </si>
  <si>
    <t>MONTALVO 220</t>
  </si>
  <si>
    <t>HUANZA 220</t>
  </si>
  <si>
    <t>INDUSTRIALES 220 A</t>
  </si>
  <si>
    <t>TINTAYA 220</t>
  </si>
  <si>
    <t>LA NINA 500</t>
  </si>
  <si>
    <t>INDUSTRIALES 60</t>
  </si>
  <si>
    <t>CARHUAMAYO 50</t>
  </si>
  <si>
    <t>CARIPA138</t>
  </si>
  <si>
    <t>HUAMPANI 60</t>
  </si>
  <si>
    <t>HUANUCO 138</t>
  </si>
  <si>
    <t>REFINERIA ZINC 220</t>
  </si>
  <si>
    <t>QUENCORO 138</t>
  </si>
  <si>
    <t>ILO 3 220</t>
  </si>
  <si>
    <t>MIRADOR 220</t>
  </si>
  <si>
    <t>MIRADOR 60</t>
  </si>
  <si>
    <t>ALTO PRADERA 220</t>
  </si>
  <si>
    <t>ABANCAY NUEVA 220</t>
  </si>
  <si>
    <t>LOMERA 220</t>
  </si>
  <si>
    <t>REQUE 220</t>
  </si>
  <si>
    <t>SAN JOSE 500</t>
  </si>
  <si>
    <t>SANTA TERESA 220</t>
  </si>
  <si>
    <t>SURIRAY 220</t>
  </si>
  <si>
    <t>ASIA 220</t>
  </si>
  <si>
    <t>CERRO DEL AGUILA 220</t>
  </si>
  <si>
    <t>CHAGLLA 220</t>
  </si>
  <si>
    <t>RAMADA 220</t>
  </si>
  <si>
    <t>SANTA ROSA LDS 60</t>
  </si>
  <si>
    <t>LOMERA 60</t>
  </si>
  <si>
    <t>ZAPALLAL 60</t>
  </si>
  <si>
    <t>MALVINAS 220</t>
  </si>
  <si>
    <t>MALVINAS 60</t>
  </si>
  <si>
    <t>ABANCAY 138</t>
  </si>
  <si>
    <t>YAUPI 138</t>
  </si>
  <si>
    <t>SANTA ISABEL 220</t>
  </si>
  <si>
    <t>YANANGO 220</t>
  </si>
  <si>
    <t>CHIMAY 220</t>
  </si>
  <si>
    <t>ILO3 138</t>
  </si>
  <si>
    <t>MATUCANA 220</t>
  </si>
  <si>
    <t>COLCABAMBA 500</t>
  </si>
  <si>
    <t>COLCABAMBA 220</t>
  </si>
  <si>
    <t>YARABAMBA 500</t>
  </si>
  <si>
    <t>YARABAMBA 220</t>
  </si>
  <si>
    <t>BELAUNDE 220</t>
  </si>
  <si>
    <t>BELAUNDE 138</t>
  </si>
  <si>
    <t>CACLIC 220</t>
  </si>
  <si>
    <t>INDUSTRIALES 220B</t>
  </si>
  <si>
    <t>PLANICIE60</t>
  </si>
  <si>
    <t>COBRIZAI 69</t>
  </si>
  <si>
    <t>MOLLEPATA 60</t>
  </si>
  <si>
    <t>MOLLEPATA220</t>
  </si>
  <si>
    <t>CARAPONGO 500</t>
  </si>
  <si>
    <t>CARAPONGO 220 A</t>
  </si>
  <si>
    <t>SAN JOSE 220</t>
  </si>
  <si>
    <t>MARCONA 60 A</t>
  </si>
  <si>
    <t>SAN NICOLAS 60</t>
  </si>
  <si>
    <t>CALLAHUANCA EDN 220</t>
  </si>
  <si>
    <t>PUMIRI138</t>
  </si>
  <si>
    <t>PUMIRI220</t>
  </si>
  <si>
    <t>SAN MIGUEL 220</t>
  </si>
  <si>
    <t>SAN MIGUEL 60</t>
  </si>
  <si>
    <t>FELAM 220</t>
  </si>
  <si>
    <t>MANCHAY 60</t>
  </si>
  <si>
    <t>MANCHAY 220</t>
  </si>
  <si>
    <t>SAN RAFAEL 138</t>
  </si>
  <si>
    <t>SAN GABAN 138</t>
  </si>
  <si>
    <t>MARCONA 60 B</t>
  </si>
  <si>
    <t>ANGEL 138</t>
  </si>
  <si>
    <t>PTO MALDONADO 138</t>
  </si>
  <si>
    <t>MEDIO MUNDO 220</t>
  </si>
  <si>
    <t>AUCAYACU 138</t>
  </si>
  <si>
    <t>BELLAVISTA 138</t>
  </si>
  <si>
    <t>TARAPOTO 138</t>
  </si>
  <si>
    <t>PARINAS 220</t>
  </si>
  <si>
    <t>PAMPA HONDA 220</t>
  </si>
  <si>
    <t>ORCOTUNA 220</t>
  </si>
  <si>
    <t>SAN ROMAN 138</t>
  </si>
  <si>
    <t>SAN ROMAN 220</t>
  </si>
  <si>
    <t>CHILOTA 220</t>
  </si>
  <si>
    <t>MAZUCO 138</t>
  </si>
  <si>
    <t>JESUS 138</t>
  </si>
  <si>
    <t>CARHUAMAYO 138</t>
  </si>
  <si>
    <t>CINCO MANANTIALES 138</t>
  </si>
  <si>
    <t>OXIDOS CERRO 138</t>
  </si>
  <si>
    <t>TOCACHE 138</t>
  </si>
  <si>
    <t>JUANJUI 138</t>
  </si>
  <si>
    <t>FRANCOISE 220</t>
  </si>
  <si>
    <t>BOTIFLACA 138</t>
  </si>
  <si>
    <t>MILL SITE 138</t>
  </si>
  <si>
    <t>PLAZA TOQUEPALA 138</t>
  </si>
  <si>
    <t>QUEBRADA HONDA 138</t>
  </si>
  <si>
    <t>PANAMERICANA SOLAR 138</t>
  </si>
  <si>
    <t>TOQUEPALA 138</t>
  </si>
  <si>
    <t>ILO ELS 138</t>
  </si>
  <si>
    <t>REFINERIA 138</t>
  </si>
  <si>
    <t>LIXIVIACION 138</t>
  </si>
  <si>
    <t>PUSHBACK 138</t>
  </si>
  <si>
    <t>INTIPAMPA 138</t>
  </si>
  <si>
    <t>PLANICIE 220 B</t>
  </si>
  <si>
    <t>CHILCA CTM 220 B</t>
  </si>
  <si>
    <t>CARAPONGO 220 B</t>
  </si>
  <si>
    <t>CHILCA 1 220</t>
  </si>
  <si>
    <t>DERIVACION 220</t>
  </si>
  <si>
    <t>CHAVARRIA 220 B</t>
  </si>
  <si>
    <t>DERIVACION 220  BARRA II</t>
  </si>
  <si>
    <t>CAMPAS 220</t>
  </si>
  <si>
    <t>CAMPAS 500</t>
  </si>
  <si>
    <t>PLANICIE 500</t>
  </si>
  <si>
    <t>NUEVA CHINCHA 220</t>
  </si>
  <si>
    <t>CAHUACHI 220</t>
  </si>
  <si>
    <t>VALLE DEL CHIRA 220</t>
  </si>
  <si>
    <t>SANTA ROSA 220 B</t>
  </si>
  <si>
    <t>ERSUR 220</t>
  </si>
  <si>
    <t>FLAMENCO220</t>
  </si>
  <si>
    <t>BARRA3HERMANAS</t>
  </si>
  <si>
    <t>BARRAPTALOMITAS</t>
  </si>
  <si>
    <t>PUERTO CHANCAY 220</t>
  </si>
  <si>
    <t>CHAPARRAL 138</t>
  </si>
  <si>
    <t>CHIRIBAMBA 220</t>
  </si>
  <si>
    <t>BARRAPTALOMITAS2</t>
  </si>
  <si>
    <t>YSHCAYUCRO 220</t>
  </si>
  <si>
    <t>PAQUILLUSI 220</t>
  </si>
  <si>
    <t>MIGUEL GRAU 500</t>
  </si>
  <si>
    <t>MIGUEL GRAU 220</t>
  </si>
  <si>
    <t>ALIPIO ROSALES 220</t>
  </si>
  <si>
    <t>SUNNY</t>
  </si>
  <si>
    <t>CUAJONE 138</t>
  </si>
  <si>
    <t>SAN MARTIN 220</t>
  </si>
  <si>
    <t>SAN LUIS 220</t>
  </si>
  <si>
    <t>CERRO VERDE 220</t>
  </si>
  <si>
    <t>FILA</t>
  </si>
  <si>
    <t>La Mejorada Medido</t>
  </si>
  <si>
    <t>La Mejorada Proyección</t>
  </si>
  <si>
    <t>S/./MWh</t>
  </si>
  <si>
    <t>AGROLMOS 60</t>
  </si>
  <si>
    <t>AGUAYTIA 13.8</t>
  </si>
  <si>
    <t>AGUAYTIA 22.9</t>
  </si>
  <si>
    <t>ALTO PRADERAS 220</t>
  </si>
  <si>
    <t>ARICOTA 66</t>
  </si>
  <si>
    <t>ARICOTA1 66</t>
  </si>
  <si>
    <t>ARICOTA2 138</t>
  </si>
  <si>
    <t>AYAVIRI 138</t>
  </si>
  <si>
    <t>BIOENERGIA 13.8</t>
  </si>
  <si>
    <t>CAHUA 10</t>
  </si>
  <si>
    <t>CAHUA 138</t>
  </si>
  <si>
    <t>CAJAMARQUILLA 220</t>
  </si>
  <si>
    <t>CALLAHUANCA EDEGEL 220</t>
  </si>
  <si>
    <t>CAMPO ARMIÑO 220</t>
  </si>
  <si>
    <t>CARAPONGO 220</t>
  </si>
  <si>
    <t>CARHUAQUERO 10</t>
  </si>
  <si>
    <t>CARHUAQUERO 10_S</t>
  </si>
  <si>
    <t>CARHUAQUERO 138</t>
  </si>
  <si>
    <t>CARIPA 138</t>
  </si>
  <si>
    <t>CERRO CORONA 220</t>
  </si>
  <si>
    <t>CERRO DEL AGUILA 13.8</t>
  </si>
  <si>
    <t>CH OROYA 50</t>
  </si>
  <si>
    <t>CHAGLLA 13.8</t>
  </si>
  <si>
    <t>CHARCANI I 33</t>
  </si>
  <si>
    <t>CHARCANI IV 33</t>
  </si>
  <si>
    <t>CHARCANI VI 33</t>
  </si>
  <si>
    <t>CHAVARRIA 220</t>
  </si>
  <si>
    <t>CHEVES 13.8</t>
  </si>
  <si>
    <t>CHEVES 220</t>
  </si>
  <si>
    <t>CHICLAYO 220</t>
  </si>
  <si>
    <t>CHILCA 500</t>
  </si>
  <si>
    <t>CHILCA CTM 220</t>
  </si>
  <si>
    <t>CHILCA DOS 13.8</t>
  </si>
  <si>
    <t>CHILCA I 16</t>
  </si>
  <si>
    <t>CHILCA UNO 220</t>
  </si>
  <si>
    <t>CHILINA 138</t>
  </si>
  <si>
    <t>CHILINA 33</t>
  </si>
  <si>
    <t>CHILINAD 10.5</t>
  </si>
  <si>
    <t>CHILINATG 13.8</t>
  </si>
  <si>
    <t>CHIMAY 13.8</t>
  </si>
  <si>
    <t>CHIMBOTE1 138</t>
  </si>
  <si>
    <t>CHIMBOTE1 220</t>
  </si>
  <si>
    <t>CHINCHA NUEVA 220</t>
  </si>
  <si>
    <t>CONDORCOCHA 138</t>
  </si>
  <si>
    <t>CONDORCOCHA 44</t>
  </si>
  <si>
    <t>CPATO 13.8</t>
  </si>
  <si>
    <t>CS COENERGY 22.9</t>
  </si>
  <si>
    <t>CT ETEN 220</t>
  </si>
  <si>
    <t>CT ILO2 17</t>
  </si>
  <si>
    <t>CT INDEPENDENCIA 60</t>
  </si>
  <si>
    <t>CT PISCO 60</t>
  </si>
  <si>
    <t>CT PLANTA PUCALLPA 60</t>
  </si>
  <si>
    <t>CUTERVO 138</t>
  </si>
  <si>
    <t>DESIERTO 220</t>
  </si>
  <si>
    <t>DOLORESPATA 10.5</t>
  </si>
  <si>
    <t>DUNA HUAMBOS 34.5</t>
  </si>
  <si>
    <t>ETEN 18</t>
  </si>
  <si>
    <t>FENIX 18</t>
  </si>
  <si>
    <t>FENIX 500</t>
  </si>
  <si>
    <t>FLAMENCO 220</t>
  </si>
  <si>
    <t>GALLITO CIEGO 10.5</t>
  </si>
  <si>
    <t>GALLITO CIEGO 60</t>
  </si>
  <si>
    <t>GE1 33</t>
  </si>
  <si>
    <t>GUADALUPE 60</t>
  </si>
  <si>
    <t>HUALLIN 60</t>
  </si>
  <si>
    <t>HUANCHOR 50</t>
  </si>
  <si>
    <t>HUAYLLACHO 15</t>
  </si>
  <si>
    <t>HUINCO 12.5</t>
  </si>
  <si>
    <t>ILO ELP 138</t>
  </si>
  <si>
    <t>ILO1 138</t>
  </si>
  <si>
    <t>ILO4 18</t>
  </si>
  <si>
    <t>INDUSTRIALES 220</t>
  </si>
  <si>
    <t>JAEN 138</t>
  </si>
  <si>
    <t>JULIACA 10</t>
  </si>
  <si>
    <t>KALLPA 16.5</t>
  </si>
  <si>
    <t>LA BREA 220</t>
  </si>
  <si>
    <t>LA NIÑA 220</t>
  </si>
  <si>
    <t>LA RAMADA 220</t>
  </si>
  <si>
    <t>LA VIRGEN 138</t>
  </si>
  <si>
    <t>LANIÑA 500</t>
  </si>
  <si>
    <t>LAS FLORES 16.5</t>
  </si>
  <si>
    <t>LAS FLORES 220</t>
  </si>
  <si>
    <t>LOS HEROES 220</t>
  </si>
  <si>
    <t>MALPASO 50</t>
  </si>
  <si>
    <t>MALPASO 6.9</t>
  </si>
  <si>
    <t>MARAÑON 60</t>
  </si>
  <si>
    <t>MARCONA 220</t>
  </si>
  <si>
    <t>MARCONA 60</t>
  </si>
  <si>
    <t>MATUCANA 12.5</t>
  </si>
  <si>
    <t>MISAPUQUIO 33</t>
  </si>
  <si>
    <t>MOLLENDO 13.8</t>
  </si>
  <si>
    <t>MOLLEPATA 220</t>
  </si>
  <si>
    <t>NAZCA NUEVA 220</t>
  </si>
  <si>
    <t>NCTUMBES 60</t>
  </si>
  <si>
    <t>OLLEROS 16.5</t>
  </si>
  <si>
    <t>OLLEROS 500</t>
  </si>
  <si>
    <t>PACHACHACA 50</t>
  </si>
  <si>
    <t>PARAGSHA2 138</t>
  </si>
  <si>
    <t>PARAMONGA NUEVA 138</t>
  </si>
  <si>
    <t>PARIAC 66</t>
  </si>
  <si>
    <t>PIEDRA BLANCA 34.5</t>
  </si>
  <si>
    <t>PLANICIE 220</t>
  </si>
  <si>
    <t>PLANTA CASA GRANDE 13.8</t>
  </si>
  <si>
    <t>PLANTA SAN JACINTO 13.8</t>
  </si>
  <si>
    <t>PLANTAETANOL 60</t>
  </si>
  <si>
    <t>PLATANAL 13.8</t>
  </si>
  <si>
    <t>PLATANAL 220</t>
  </si>
  <si>
    <t>PUCALLPA 0.5</t>
  </si>
  <si>
    <t>PUERTO BRAVO 18</t>
  </si>
  <si>
    <t>PUERTO BRAVO 500</t>
  </si>
  <si>
    <t>PUERTO MALDONADO 0.5</t>
  </si>
  <si>
    <t>PUERTO MALDONADO 10</t>
  </si>
  <si>
    <t>PUERTO MALDONADO 138</t>
  </si>
  <si>
    <t>PUNTA LOMITAS I</t>
  </si>
  <si>
    <t>PUNTA LOMITAS II</t>
  </si>
  <si>
    <t>PURMACANA 20</t>
  </si>
  <si>
    <t>QUITARACSA 220</t>
  </si>
  <si>
    <t>RECKA 18</t>
  </si>
  <si>
    <t>RECKA 220</t>
  </si>
  <si>
    <t>RESTITUCIÓN 220</t>
  </si>
  <si>
    <t>RUBI 220</t>
  </si>
  <si>
    <t>S.E. ILO4 500</t>
  </si>
  <si>
    <t>SAN ANTONIO 15</t>
  </si>
  <si>
    <t>SAN IGNACIO 15</t>
  </si>
  <si>
    <t>SAN NICOLAS 13.8</t>
  </si>
  <si>
    <t>SANTA ANA 138</t>
  </si>
  <si>
    <t>SANTA ROSA 220</t>
  </si>
  <si>
    <t>SANTIAGO DE CAO 138</t>
  </si>
  <si>
    <t>SROSATG7</t>
  </si>
  <si>
    <t>SROSATG8</t>
  </si>
  <si>
    <t>SROSAUTI</t>
  </si>
  <si>
    <t>SUNNY 220</t>
  </si>
  <si>
    <t>TALARA 13.2</t>
  </si>
  <si>
    <t>TALARA 13.8</t>
  </si>
  <si>
    <t>TG5 16.5</t>
  </si>
  <si>
    <t>TINTAYA EXISTENTE 138</t>
  </si>
  <si>
    <t>TINTAYA NUEVA 220</t>
  </si>
  <si>
    <t>TUPURI 22.9</t>
  </si>
  <si>
    <t>VENTANILLA 16</t>
  </si>
  <si>
    <t>YARUCAYA 13.8</t>
  </si>
  <si>
    <t>YAUPI 13.8</t>
  </si>
  <si>
    <t>ZAÑA 60</t>
  </si>
  <si>
    <t>ALTO LA LUNA 10</t>
  </si>
  <si>
    <t>ALTO LA LUNA 60</t>
  </si>
  <si>
    <t>FUNSUR 60</t>
  </si>
  <si>
    <t>HUARANGO 60</t>
  </si>
  <si>
    <t>INDEPENDENCIA 10</t>
  </si>
  <si>
    <t>LOMAS 60</t>
  </si>
  <si>
    <t>PARACAS 10</t>
  </si>
  <si>
    <t>PARACAS 22</t>
  </si>
  <si>
    <t>PISCO 10</t>
  </si>
  <si>
    <t>VILLACURI 22.9</t>
  </si>
  <si>
    <t>VILLACURI 60</t>
  </si>
  <si>
    <t>Dólar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</si>
</sst>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Arial Narrow"/>
      <family val="2"/>
    </font>
    <font>
      <b/>
      <sz val="11"/>
      <color theme="1"/>
      <name val="Arial Narrow"/>
      <family val="2"/>
    </font>
    <font>
      <b/>
      <sz val="10"/>
      <color rgb="FFFFFFFF"/>
      <name val="Calibri"/>
      <family val="2"/>
    </font>
    <font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980B9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F9F9F"/>
      </left>
      <right style="thin">
        <color rgb="FF9F9F9F"/>
      </right>
      <top style="thin">
        <color rgb="FF9F9F9F"/>
      </top>
      <bottom style="thin">
        <color rgb="FF9F9F9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14" fontId="1" fillId="0" borderId="0" xfId="0" applyNumberFormat="1" applyFont="1"/>
    <xf numFmtId="20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20" fontId="1" fillId="0" borderId="0" xfId="0" applyNumberFormat="1" applyFont="1" applyAlignment="1">
      <alignment horizontal="center"/>
    </xf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22" fontId="0" fillId="3" borderId="1" xfId="0" applyNumberFormat="1" applyFill="1" applyBorder="1" applyAlignment="1">
      <alignment horizontal="center" vertical="center" wrapText="1"/>
    </xf>
    <xf numFmtId="4" fontId="4" fillId="0" borderId="2" xfId="0" applyNumberFormat="1" applyFont="1" applyBorder="1" applyAlignment="1">
      <alignment horizontal="center"/>
    </xf>
    <xf numFmtId="2" fontId="1" fillId="0" borderId="0" xfId="0" applyNumberFormat="1" applyFont="1"/>
    <xf numFmtId="2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67"/>
  <sheetViews>
    <sheetView tabSelected="1" topLeftCell="A493" workbookViewId="0">
      <selection activeCell="C482" sqref="C482:F529"/>
    </sheetView>
  </sheetViews>
  <sheetFormatPr baseColWidth="10" defaultColWidth="9.140625" defaultRowHeight="16.5" x14ac:dyDescent="0.3"/>
  <cols>
    <col min="1" max="1" width="10.42578125" style="1" bestFit="1" customWidth="1"/>
    <col min="2" max="2" width="9.140625" style="1"/>
    <col min="3" max="3" width="10.7109375" style="1" bestFit="1" customWidth="1"/>
    <col min="4" max="4" width="7.42578125" style="1" bestFit="1" customWidth="1"/>
    <col min="5" max="5" width="9.42578125" style="1" bestFit="1" customWidth="1"/>
    <col min="6" max="6" width="14" style="1" bestFit="1" customWidth="1"/>
    <col min="7" max="16384" width="9.140625" style="1"/>
  </cols>
  <sheetData>
    <row r="1" spans="1:6" s="4" customFormat="1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29.481200000000001</v>
      </c>
      <c r="D2" s="7">
        <v>30.290900000000001</v>
      </c>
      <c r="E2" s="7">
        <v>31.632400000000001</v>
      </c>
      <c r="F2" s="7">
        <v>27.831</v>
      </c>
    </row>
    <row r="3" spans="1:6" s="4" customFormat="1" x14ac:dyDescent="0.3">
      <c r="A3" s="2">
        <v>46049</v>
      </c>
      <c r="B3" s="8">
        <v>4.1666666666666664E-2</v>
      </c>
      <c r="C3" s="7">
        <v>36.234400000000001</v>
      </c>
      <c r="D3" s="7">
        <v>34.570500000000003</v>
      </c>
      <c r="E3" s="7">
        <v>39.038899999999998</v>
      </c>
      <c r="F3" s="7">
        <v>34.666200000000003</v>
      </c>
    </row>
    <row r="4" spans="1:6" s="4" customFormat="1" x14ac:dyDescent="0.3">
      <c r="A4" s="2">
        <v>46049</v>
      </c>
      <c r="B4" s="8">
        <v>6.25E-2</v>
      </c>
      <c r="C4" s="7">
        <v>29.602399999999999</v>
      </c>
      <c r="D4" s="7">
        <v>30.330200000000001</v>
      </c>
      <c r="E4" s="7">
        <v>31.732199999999999</v>
      </c>
      <c r="F4" s="7">
        <v>27.967700000000001</v>
      </c>
    </row>
    <row r="5" spans="1:6" s="4" customFormat="1" x14ac:dyDescent="0.3">
      <c r="A5" s="2">
        <v>46049</v>
      </c>
      <c r="B5" s="8">
        <v>8.3333333333333301E-2</v>
      </c>
      <c r="C5" s="7">
        <v>29.3446</v>
      </c>
      <c r="D5" s="7">
        <v>30.053799999999999</v>
      </c>
      <c r="E5" s="7">
        <v>31.476299999999998</v>
      </c>
      <c r="F5" s="7">
        <v>27.746400000000001</v>
      </c>
    </row>
    <row r="6" spans="1:6" s="4" customFormat="1" x14ac:dyDescent="0.3">
      <c r="A6" s="2">
        <v>46049</v>
      </c>
      <c r="B6" s="8">
        <v>0.104166666666667</v>
      </c>
      <c r="C6" s="7">
        <v>23.722000000000001</v>
      </c>
      <c r="D6" s="7">
        <v>24.2775</v>
      </c>
      <c r="E6" s="7">
        <v>25.384899999999998</v>
      </c>
      <c r="F6" s="7">
        <v>22.4376</v>
      </c>
    </row>
    <row r="7" spans="1:6" s="4" customFormat="1" x14ac:dyDescent="0.3">
      <c r="A7" s="2">
        <v>46049</v>
      </c>
      <c r="B7" s="8">
        <v>0.125</v>
      </c>
      <c r="C7" s="7">
        <v>24.602399999999999</v>
      </c>
      <c r="D7" s="7">
        <v>25.168900000000001</v>
      </c>
      <c r="E7" s="7">
        <v>26.364699999999999</v>
      </c>
      <c r="F7" s="7">
        <v>23.2804</v>
      </c>
    </row>
    <row r="8" spans="1:6" s="4" customFormat="1" x14ac:dyDescent="0.3">
      <c r="A8" s="2">
        <v>46049</v>
      </c>
      <c r="B8" s="8">
        <v>0.14583333333333301</v>
      </c>
      <c r="C8" s="7">
        <v>23.680900000000001</v>
      </c>
      <c r="D8" s="7">
        <v>24.210799999999999</v>
      </c>
      <c r="E8" s="7">
        <v>25.374199999999998</v>
      </c>
      <c r="F8" s="7">
        <v>22.4148</v>
      </c>
    </row>
    <row r="9" spans="1:6" s="4" customFormat="1" x14ac:dyDescent="0.3">
      <c r="A9" s="2">
        <v>46049</v>
      </c>
      <c r="B9" s="8">
        <v>0.16666666666666599</v>
      </c>
      <c r="C9" s="7">
        <v>23.681799999999999</v>
      </c>
      <c r="D9" s="7">
        <v>24.206199999999999</v>
      </c>
      <c r="E9" s="7">
        <v>25.396699999999999</v>
      </c>
      <c r="F9" s="7">
        <v>22.4192</v>
      </c>
    </row>
    <row r="10" spans="1:6" s="4" customFormat="1" x14ac:dyDescent="0.3">
      <c r="A10" s="2">
        <v>46049</v>
      </c>
      <c r="B10" s="8">
        <v>0.1875</v>
      </c>
      <c r="C10" s="7">
        <v>23.6797</v>
      </c>
      <c r="D10" s="7">
        <v>24.204999999999998</v>
      </c>
      <c r="E10" s="7">
        <v>25.4255</v>
      </c>
      <c r="F10" s="7">
        <v>22.417400000000001</v>
      </c>
    </row>
    <row r="11" spans="1:6" s="4" customFormat="1" x14ac:dyDescent="0.3">
      <c r="A11" s="2">
        <v>46049</v>
      </c>
      <c r="B11" s="8">
        <v>0.20833333333333301</v>
      </c>
      <c r="C11" s="7">
        <v>23.679300000000001</v>
      </c>
      <c r="D11" s="7">
        <v>24.207999999999998</v>
      </c>
      <c r="E11" s="7">
        <v>25.392299999999999</v>
      </c>
      <c r="F11" s="7">
        <v>22.407800000000002</v>
      </c>
    </row>
    <row r="12" spans="1:6" s="4" customFormat="1" x14ac:dyDescent="0.3">
      <c r="A12" s="2">
        <v>46049</v>
      </c>
      <c r="B12" s="8">
        <v>0.22916666666666599</v>
      </c>
      <c r="C12" s="7">
        <v>36.028799999999997</v>
      </c>
      <c r="D12" s="7">
        <v>36.922699999999999</v>
      </c>
      <c r="E12" s="7">
        <v>38.709499999999998</v>
      </c>
      <c r="F12" s="7">
        <v>34.082999999999998</v>
      </c>
    </row>
    <row r="13" spans="1:6" s="4" customFormat="1" x14ac:dyDescent="0.3">
      <c r="A13" s="2">
        <v>46049</v>
      </c>
      <c r="B13" s="8">
        <v>0.25</v>
      </c>
      <c r="C13" s="7">
        <v>25.325199999999999</v>
      </c>
      <c r="D13" s="7">
        <v>25.960799999999999</v>
      </c>
      <c r="E13" s="7">
        <v>27.105499999999999</v>
      </c>
      <c r="F13" s="7">
        <v>23.957100000000001</v>
      </c>
    </row>
    <row r="14" spans="1:6" s="4" customFormat="1" x14ac:dyDescent="0.3">
      <c r="A14" s="2">
        <v>46049</v>
      </c>
      <c r="B14" s="8">
        <v>0.27083333333333298</v>
      </c>
      <c r="C14" s="7">
        <v>23.6783</v>
      </c>
      <c r="D14" s="7">
        <v>24.291899999999998</v>
      </c>
      <c r="E14" s="7">
        <v>25.255400000000002</v>
      </c>
      <c r="F14" s="7">
        <v>22.3733</v>
      </c>
    </row>
    <row r="15" spans="1:6" s="4" customFormat="1" x14ac:dyDescent="0.3">
      <c r="A15" s="2">
        <v>46049</v>
      </c>
      <c r="B15" s="8">
        <v>0.29166666666666602</v>
      </c>
      <c r="C15" s="7">
        <v>36.047699999999999</v>
      </c>
      <c r="D15" s="7">
        <v>37.098999999999997</v>
      </c>
      <c r="E15" s="7">
        <v>38.231299999999997</v>
      </c>
      <c r="F15" s="7">
        <v>34.015599999999999</v>
      </c>
    </row>
    <row r="16" spans="1:6" s="4" customFormat="1" x14ac:dyDescent="0.3">
      <c r="A16" s="2">
        <v>46049</v>
      </c>
      <c r="B16" s="8">
        <v>0.3125</v>
      </c>
      <c r="C16" s="7">
        <v>29.4771</v>
      </c>
      <c r="D16" s="7">
        <v>30.396599999999999</v>
      </c>
      <c r="E16" s="7">
        <v>30.9923</v>
      </c>
      <c r="F16" s="7">
        <v>27.786899999999999</v>
      </c>
    </row>
    <row r="17" spans="1:6" s="4" customFormat="1" x14ac:dyDescent="0.3">
      <c r="A17" s="2">
        <v>46049</v>
      </c>
      <c r="B17" s="8">
        <v>0.33333333333333298</v>
      </c>
      <c r="C17" s="7">
        <v>38.5867</v>
      </c>
      <c r="D17" s="7">
        <v>39.832700000000003</v>
      </c>
      <c r="E17" s="7">
        <v>40.090299999999999</v>
      </c>
      <c r="F17" s="7">
        <v>36.300899999999999</v>
      </c>
    </row>
    <row r="18" spans="1:6" s="4" customFormat="1" x14ac:dyDescent="0.3">
      <c r="A18" s="2">
        <v>46049</v>
      </c>
      <c r="B18" s="8">
        <v>0.35416666666666602</v>
      </c>
      <c r="C18" s="7">
        <v>30.0001</v>
      </c>
      <c r="D18" s="7">
        <v>31.123899999999999</v>
      </c>
      <c r="E18" s="7">
        <v>30.908000000000001</v>
      </c>
      <c r="F18" s="7">
        <v>28.2118</v>
      </c>
    </row>
    <row r="19" spans="1:6" s="4" customFormat="1" x14ac:dyDescent="0.3">
      <c r="A19" s="2">
        <v>46049</v>
      </c>
      <c r="B19" s="8">
        <v>0.375</v>
      </c>
      <c r="C19" s="7">
        <v>30.008099999999999</v>
      </c>
      <c r="D19" s="7">
        <v>31.1343</v>
      </c>
      <c r="E19" s="7">
        <v>30.573599999999999</v>
      </c>
      <c r="F19" s="7">
        <v>28.161000000000001</v>
      </c>
    </row>
    <row r="20" spans="1:6" s="4" customFormat="1" x14ac:dyDescent="0.3">
      <c r="A20" s="2">
        <v>46049</v>
      </c>
      <c r="B20" s="8">
        <v>0.39583333333333298</v>
      </c>
      <c r="C20" s="7">
        <v>36.0916</v>
      </c>
      <c r="D20" s="7">
        <v>37.5548</v>
      </c>
      <c r="E20" s="7">
        <v>36.421100000000003</v>
      </c>
      <c r="F20" s="7">
        <v>33.792400000000001</v>
      </c>
    </row>
    <row r="21" spans="1:6" s="4" customFormat="1" x14ac:dyDescent="0.3">
      <c r="A21" s="2">
        <v>46049</v>
      </c>
      <c r="B21" s="8">
        <v>0.41666666666666602</v>
      </c>
      <c r="C21" s="7">
        <v>30.0519</v>
      </c>
      <c r="D21" s="7">
        <v>31.280799999999999</v>
      </c>
      <c r="E21" s="7">
        <v>30.120100000000001</v>
      </c>
      <c r="F21" s="7">
        <v>28.1022</v>
      </c>
    </row>
    <row r="22" spans="1:6" s="4" customFormat="1" x14ac:dyDescent="0.3">
      <c r="A22" s="2">
        <v>46049</v>
      </c>
      <c r="B22" s="8">
        <v>0.4375</v>
      </c>
      <c r="C22" s="7">
        <v>30.0595</v>
      </c>
      <c r="D22" s="7">
        <v>31.305900000000001</v>
      </c>
      <c r="E22" s="7">
        <v>29.998799999999999</v>
      </c>
      <c r="F22" s="7">
        <v>28.0824</v>
      </c>
    </row>
    <row r="23" spans="1:6" s="4" customFormat="1" x14ac:dyDescent="0.3">
      <c r="A23" s="2">
        <v>46049</v>
      </c>
      <c r="B23" s="8">
        <v>0.45833333333333298</v>
      </c>
      <c r="C23" s="7">
        <v>30.127600000000001</v>
      </c>
      <c r="D23" s="7">
        <v>31.3977</v>
      </c>
      <c r="E23" s="7">
        <v>30.139099999999999</v>
      </c>
      <c r="F23" s="7">
        <v>28.1524</v>
      </c>
    </row>
    <row r="24" spans="1:6" s="4" customFormat="1" x14ac:dyDescent="0.3">
      <c r="A24" s="2">
        <v>46049</v>
      </c>
      <c r="B24" s="8">
        <v>0.47916666666666602</v>
      </c>
      <c r="C24" s="7">
        <v>29.800599999999999</v>
      </c>
      <c r="D24" s="7">
        <v>30.9055</v>
      </c>
      <c r="E24" s="7">
        <v>28.779199999999999</v>
      </c>
      <c r="F24" s="7">
        <v>27.821100000000001</v>
      </c>
    </row>
    <row r="25" spans="1:6" s="4" customFormat="1" x14ac:dyDescent="0.3">
      <c r="A25" s="2">
        <v>46049</v>
      </c>
      <c r="B25" s="8">
        <v>0.5</v>
      </c>
      <c r="C25" s="7">
        <v>29.901</v>
      </c>
      <c r="D25" s="7">
        <v>30.4832</v>
      </c>
      <c r="E25" s="7">
        <v>26.446300000000001</v>
      </c>
      <c r="F25" s="7">
        <v>27.804099999999998</v>
      </c>
    </row>
    <row r="26" spans="1:6" s="4" customFormat="1" x14ac:dyDescent="0.3">
      <c r="A26" s="2">
        <v>46049</v>
      </c>
      <c r="B26" s="8">
        <v>0.52083333333333304</v>
      </c>
      <c r="C26" s="7">
        <v>29.896100000000001</v>
      </c>
      <c r="D26" s="7">
        <v>30.440300000000001</v>
      </c>
      <c r="E26" s="7">
        <v>26.392900000000001</v>
      </c>
      <c r="F26" s="7">
        <v>27.802499999999998</v>
      </c>
    </row>
    <row r="27" spans="1:6" s="4" customFormat="1" x14ac:dyDescent="0.3">
      <c r="A27" s="2">
        <v>46049</v>
      </c>
      <c r="B27" s="8">
        <v>0.54166666666666596</v>
      </c>
      <c r="C27" s="7">
        <v>29.893599999999999</v>
      </c>
      <c r="D27" s="7">
        <v>30.389800000000001</v>
      </c>
      <c r="E27" s="7">
        <v>26.4832</v>
      </c>
      <c r="F27" s="7">
        <v>27.809100000000001</v>
      </c>
    </row>
    <row r="28" spans="1:6" s="4" customFormat="1" x14ac:dyDescent="0.3">
      <c r="A28" s="2">
        <v>46049</v>
      </c>
      <c r="B28" s="8">
        <v>0.5625</v>
      </c>
      <c r="C28" s="7">
        <v>29.874300000000002</v>
      </c>
      <c r="D28" s="7">
        <v>30.324000000000002</v>
      </c>
      <c r="E28" s="7">
        <v>26.551400000000001</v>
      </c>
      <c r="F28" s="7">
        <v>27.785299999999999</v>
      </c>
    </row>
    <row r="29" spans="1:6" s="4" customFormat="1" x14ac:dyDescent="0.3">
      <c r="A29" s="2">
        <v>46049</v>
      </c>
      <c r="B29" s="8">
        <v>0.58333333333333304</v>
      </c>
      <c r="C29" s="7">
        <v>29.877400000000002</v>
      </c>
      <c r="D29" s="7">
        <v>30.297599999999999</v>
      </c>
      <c r="E29" s="7">
        <v>26.640799999999999</v>
      </c>
      <c r="F29" s="7">
        <v>27.783200000000001</v>
      </c>
    </row>
    <row r="30" spans="1:6" s="4" customFormat="1" x14ac:dyDescent="0.3">
      <c r="A30" s="2">
        <v>46049</v>
      </c>
      <c r="B30" s="8">
        <v>0.60416666666666596</v>
      </c>
      <c r="C30" s="7">
        <v>29.9129</v>
      </c>
      <c r="D30" s="7">
        <v>30.3752</v>
      </c>
      <c r="E30" s="7">
        <v>26.8035</v>
      </c>
      <c r="F30" s="7">
        <v>27.8279</v>
      </c>
    </row>
    <row r="31" spans="1:6" s="4" customFormat="1" x14ac:dyDescent="0.3">
      <c r="A31" s="2">
        <v>46049</v>
      </c>
      <c r="B31" s="8">
        <v>0.625</v>
      </c>
      <c r="C31" s="7">
        <v>29.917100000000001</v>
      </c>
      <c r="D31" s="7">
        <v>30.2592</v>
      </c>
      <c r="E31" s="7">
        <v>26.951499999999999</v>
      </c>
      <c r="F31" s="7">
        <v>27.8613</v>
      </c>
    </row>
    <row r="32" spans="1:6" s="4" customFormat="1" x14ac:dyDescent="0.3">
      <c r="A32" s="2">
        <v>46049</v>
      </c>
      <c r="B32" s="8">
        <v>0.64583333333333304</v>
      </c>
      <c r="C32" s="7">
        <v>32.873699999999999</v>
      </c>
      <c r="D32" s="7">
        <v>33.4161</v>
      </c>
      <c r="E32" s="7">
        <v>29.717400000000001</v>
      </c>
      <c r="F32" s="7">
        <v>30.624500000000001</v>
      </c>
    </row>
    <row r="33" spans="1:6" s="4" customFormat="1" x14ac:dyDescent="0.3">
      <c r="A33" s="2">
        <v>46049</v>
      </c>
      <c r="B33" s="8">
        <v>0.66666666666666596</v>
      </c>
      <c r="C33" s="7">
        <v>32.8765</v>
      </c>
      <c r="D33" s="7">
        <v>33.382800000000003</v>
      </c>
      <c r="E33" s="7">
        <v>29.8642</v>
      </c>
      <c r="F33" s="7">
        <v>30.622199999999999</v>
      </c>
    </row>
    <row r="34" spans="1:6" s="4" customFormat="1" x14ac:dyDescent="0.3">
      <c r="A34" s="2">
        <v>46049</v>
      </c>
      <c r="B34" s="8">
        <v>0.6875</v>
      </c>
      <c r="C34" s="7">
        <v>30.0214</v>
      </c>
      <c r="D34" s="7">
        <v>30.394400000000001</v>
      </c>
      <c r="E34" s="7">
        <v>27.3888</v>
      </c>
      <c r="F34" s="7">
        <v>27.8582</v>
      </c>
    </row>
    <row r="35" spans="1:6" s="4" customFormat="1" x14ac:dyDescent="0.3">
      <c r="A35" s="2">
        <v>46049</v>
      </c>
      <c r="B35" s="8">
        <v>0.70833333333333304</v>
      </c>
      <c r="C35" s="7">
        <v>32.581400000000002</v>
      </c>
      <c r="D35" s="7">
        <v>34.035899999999998</v>
      </c>
      <c r="E35" s="7">
        <v>34.3108</v>
      </c>
      <c r="F35" s="7">
        <v>30.5703</v>
      </c>
    </row>
    <row r="36" spans="1:6" s="4" customFormat="1" x14ac:dyDescent="0.3">
      <c r="A36" s="2">
        <v>46049</v>
      </c>
      <c r="B36" s="8">
        <v>0.72916666666666596</v>
      </c>
      <c r="C36" s="7">
        <v>30.202200000000001</v>
      </c>
      <c r="D36" s="7">
        <v>31.4665</v>
      </c>
      <c r="E36" s="7">
        <v>31.980899999999998</v>
      </c>
      <c r="F36" s="7">
        <v>28.310199999999998</v>
      </c>
    </row>
    <row r="37" spans="1:6" s="4" customFormat="1" x14ac:dyDescent="0.3">
      <c r="A37" s="2">
        <v>46049</v>
      </c>
      <c r="B37" s="8">
        <v>0.75</v>
      </c>
      <c r="C37" s="7">
        <v>36.371899999999997</v>
      </c>
      <c r="D37" s="7">
        <v>37.568100000000001</v>
      </c>
      <c r="E37" s="7">
        <v>38.653199999999998</v>
      </c>
      <c r="F37" s="7">
        <v>34.093200000000003</v>
      </c>
    </row>
    <row r="38" spans="1:6" s="4" customFormat="1" x14ac:dyDescent="0.3">
      <c r="A38" s="2">
        <v>46049</v>
      </c>
      <c r="B38" s="8">
        <v>0.77083333333333304</v>
      </c>
      <c r="C38" s="7">
        <v>30.040500000000002</v>
      </c>
      <c r="D38" s="7">
        <v>31.116299999999999</v>
      </c>
      <c r="E38" s="7">
        <v>32.155700000000003</v>
      </c>
      <c r="F38" s="7">
        <v>28.223099999999999</v>
      </c>
    </row>
    <row r="39" spans="1:6" s="4" customFormat="1" x14ac:dyDescent="0.3">
      <c r="A39" s="2">
        <v>46049</v>
      </c>
      <c r="B39" s="8">
        <v>0.79166666666666596</v>
      </c>
      <c r="C39" s="7">
        <v>36.144199999999998</v>
      </c>
      <c r="D39" s="7">
        <v>37.815100000000001</v>
      </c>
      <c r="E39" s="7">
        <v>38.779299999999999</v>
      </c>
      <c r="F39" s="7">
        <v>33.982799999999997</v>
      </c>
    </row>
    <row r="40" spans="1:6" s="4" customFormat="1" x14ac:dyDescent="0.3">
      <c r="A40" s="2">
        <v>46049</v>
      </c>
      <c r="B40" s="8">
        <v>0.8125</v>
      </c>
      <c r="C40" s="7">
        <v>35.866</v>
      </c>
      <c r="D40" s="7">
        <v>37.650599999999997</v>
      </c>
      <c r="E40" s="7">
        <v>38.4589</v>
      </c>
      <c r="F40" s="7">
        <v>33.7423</v>
      </c>
    </row>
    <row r="41" spans="1:6" s="4" customFormat="1" x14ac:dyDescent="0.3">
      <c r="A41" s="2">
        <v>46049</v>
      </c>
      <c r="B41" s="8">
        <v>0.83333333333333304</v>
      </c>
      <c r="C41" s="7">
        <v>35.969200000000001</v>
      </c>
      <c r="D41" s="7">
        <v>37.754300000000001</v>
      </c>
      <c r="E41" s="7">
        <v>38.627400000000002</v>
      </c>
      <c r="F41" s="7">
        <v>33.847499999999997</v>
      </c>
    </row>
    <row r="42" spans="1:6" s="4" customFormat="1" x14ac:dyDescent="0.3">
      <c r="A42" s="2">
        <v>46049</v>
      </c>
      <c r="B42" s="8">
        <v>0.85416666666666596</v>
      </c>
      <c r="C42" s="7">
        <v>36.033799999999999</v>
      </c>
      <c r="D42" s="7">
        <v>37.774000000000001</v>
      </c>
      <c r="E42" s="7">
        <v>38.6798</v>
      </c>
      <c r="F42" s="7">
        <v>33.892000000000003</v>
      </c>
    </row>
    <row r="43" spans="1:6" s="4" customFormat="1" x14ac:dyDescent="0.3">
      <c r="A43" s="2">
        <v>46049</v>
      </c>
      <c r="B43" s="8">
        <v>0.875</v>
      </c>
      <c r="C43" s="7">
        <v>36.030099999999997</v>
      </c>
      <c r="D43" s="7">
        <v>37.812100000000001</v>
      </c>
      <c r="E43" s="7">
        <v>38.7682</v>
      </c>
      <c r="F43" s="7">
        <v>33.909599999999998</v>
      </c>
    </row>
    <row r="44" spans="1:6" s="4" customFormat="1" x14ac:dyDescent="0.3">
      <c r="A44" s="2">
        <v>46049</v>
      </c>
      <c r="B44" s="8">
        <v>0.89583333333333304</v>
      </c>
      <c r="C44" s="7">
        <v>35.840299999999999</v>
      </c>
      <c r="D44" s="7">
        <v>37.651499999999999</v>
      </c>
      <c r="E44" s="7">
        <v>38.487699999999997</v>
      </c>
      <c r="F44" s="7">
        <v>33.737499999999997</v>
      </c>
    </row>
    <row r="45" spans="1:6" s="4" customFormat="1" x14ac:dyDescent="0.3">
      <c r="A45" s="2">
        <v>46049</v>
      </c>
      <c r="B45" s="8">
        <v>0.91666666666666596</v>
      </c>
      <c r="C45" s="7">
        <v>38.457099999999997</v>
      </c>
      <c r="D45" s="7">
        <v>40.221200000000003</v>
      </c>
      <c r="E45" s="7">
        <v>41.268900000000002</v>
      </c>
      <c r="F45" s="7">
        <v>36.243699999999997</v>
      </c>
    </row>
    <row r="46" spans="1:6" s="4" customFormat="1" x14ac:dyDescent="0.3">
      <c r="A46" s="2">
        <v>46049</v>
      </c>
      <c r="B46" s="8">
        <v>0.9375</v>
      </c>
      <c r="C46" s="7">
        <v>36.277200000000001</v>
      </c>
      <c r="D46" s="7">
        <v>37.874000000000002</v>
      </c>
      <c r="E46" s="7">
        <v>38.931399999999996</v>
      </c>
      <c r="F46" s="7">
        <v>34.2151</v>
      </c>
    </row>
    <row r="47" spans="1:6" s="4" customFormat="1" x14ac:dyDescent="0.3">
      <c r="A47" s="2">
        <v>46049</v>
      </c>
      <c r="B47" s="8">
        <v>0.95833333333333304</v>
      </c>
      <c r="C47" s="7">
        <v>30.141200000000001</v>
      </c>
      <c r="D47" s="7">
        <v>31.355899999999998</v>
      </c>
      <c r="E47" s="7">
        <v>32.322000000000003</v>
      </c>
      <c r="F47" s="7">
        <v>28.46</v>
      </c>
    </row>
    <row r="48" spans="1:6" s="4" customFormat="1" x14ac:dyDescent="0.3">
      <c r="A48" s="2">
        <v>46049</v>
      </c>
      <c r="B48" s="8">
        <v>0.97916666666666596</v>
      </c>
      <c r="C48" s="7">
        <v>35.964399999999998</v>
      </c>
      <c r="D48" s="7">
        <v>37.304400000000001</v>
      </c>
      <c r="E48" s="7">
        <v>38.512700000000002</v>
      </c>
      <c r="F48" s="7">
        <v>33.931699999999999</v>
      </c>
    </row>
    <row r="49" spans="1:6" s="4" customFormat="1" x14ac:dyDescent="0.3">
      <c r="A49" s="2">
        <v>46049</v>
      </c>
      <c r="B49" s="8">
        <v>1</v>
      </c>
      <c r="C49" s="7">
        <v>36.195599999999999</v>
      </c>
      <c r="D49" s="7">
        <v>37.452800000000003</v>
      </c>
      <c r="E49" s="7">
        <v>38.757100000000001</v>
      </c>
      <c r="F49" s="7">
        <v>34.139000000000003</v>
      </c>
    </row>
    <row r="50" spans="1:6" x14ac:dyDescent="0.3">
      <c r="A50" s="2">
        <v>46050</v>
      </c>
      <c r="B50" s="3">
        <v>2.0833333333333332E-2</v>
      </c>
      <c r="C50" s="7">
        <v>29.509699999999999</v>
      </c>
      <c r="D50" s="7">
        <v>30.3992</v>
      </c>
      <c r="E50" s="7">
        <v>31.403600000000001</v>
      </c>
      <c r="F50" s="7">
        <v>27.763000000000002</v>
      </c>
    </row>
    <row r="51" spans="1:6" x14ac:dyDescent="0.3">
      <c r="A51" s="2">
        <v>46050</v>
      </c>
      <c r="B51" s="3">
        <f>+B50+1/48</f>
        <v>4.1666666666666664E-2</v>
      </c>
      <c r="C51" s="7">
        <v>36.540500000000002</v>
      </c>
      <c r="D51" s="7">
        <v>37.573399999999999</v>
      </c>
      <c r="E51" s="7">
        <v>38.9407</v>
      </c>
      <c r="F51" s="7">
        <v>34.358800000000002</v>
      </c>
    </row>
    <row r="52" spans="1:6" x14ac:dyDescent="0.3">
      <c r="A52" s="2">
        <v>46050</v>
      </c>
      <c r="B52" s="3">
        <f t="shared" ref="B52:B115" si="0">+B51+1/48</f>
        <v>6.25E-2</v>
      </c>
      <c r="C52" s="7">
        <v>29.557600000000001</v>
      </c>
      <c r="D52" s="7">
        <v>30.474900000000002</v>
      </c>
      <c r="E52" s="7">
        <v>31.456</v>
      </c>
      <c r="F52" s="7">
        <v>27.8278</v>
      </c>
    </row>
    <row r="53" spans="1:6" x14ac:dyDescent="0.3">
      <c r="A53" s="2">
        <v>46050</v>
      </c>
      <c r="B53" s="3">
        <f t="shared" si="0"/>
        <v>8.3333333333333329E-2</v>
      </c>
      <c r="C53" s="7">
        <v>24.592600000000001</v>
      </c>
      <c r="D53" s="7">
        <v>25.3003</v>
      </c>
      <c r="E53" s="7">
        <v>26.148800000000001</v>
      </c>
      <c r="F53" s="7">
        <v>23.150600000000001</v>
      </c>
    </row>
    <row r="54" spans="1:6" x14ac:dyDescent="0.3">
      <c r="A54" s="2">
        <v>46050</v>
      </c>
      <c r="B54" s="3">
        <f t="shared" si="0"/>
        <v>0.10416666666666666</v>
      </c>
      <c r="C54" s="7">
        <v>24.582899999999999</v>
      </c>
      <c r="D54" s="7">
        <v>25.2837</v>
      </c>
      <c r="E54" s="7">
        <v>26.1449</v>
      </c>
      <c r="F54" s="7">
        <v>23.1462</v>
      </c>
    </row>
    <row r="55" spans="1:6" x14ac:dyDescent="0.3">
      <c r="A55" s="2">
        <v>46050</v>
      </c>
      <c r="B55" s="3">
        <f t="shared" si="0"/>
        <v>0.12499999999999999</v>
      </c>
      <c r="C55" s="7">
        <v>24.5748</v>
      </c>
      <c r="D55" s="7">
        <v>25.2545</v>
      </c>
      <c r="E55" s="7">
        <v>26.1709</v>
      </c>
      <c r="F55" s="7">
        <v>23.141400000000001</v>
      </c>
    </row>
    <row r="56" spans="1:6" x14ac:dyDescent="0.3">
      <c r="A56" s="2">
        <v>46050</v>
      </c>
      <c r="B56" s="3">
        <f t="shared" si="0"/>
        <v>0.14583333333333331</v>
      </c>
      <c r="C56" s="7">
        <v>24.577300000000001</v>
      </c>
      <c r="D56" s="7">
        <v>25.246200000000002</v>
      </c>
      <c r="E56" s="7">
        <v>26.147500000000001</v>
      </c>
      <c r="F56" s="7">
        <v>23.136299999999999</v>
      </c>
    </row>
    <row r="57" spans="1:6" x14ac:dyDescent="0.3">
      <c r="A57" s="2">
        <v>46050</v>
      </c>
      <c r="B57" s="3">
        <f t="shared" si="0"/>
        <v>0.16666666666666666</v>
      </c>
      <c r="C57" s="7">
        <v>24.581399999999999</v>
      </c>
      <c r="D57" s="7">
        <v>25.263400000000001</v>
      </c>
      <c r="E57" s="7">
        <v>26.165700000000001</v>
      </c>
      <c r="F57" s="7">
        <v>23.142900000000001</v>
      </c>
    </row>
    <row r="58" spans="1:6" x14ac:dyDescent="0.3">
      <c r="A58" s="2">
        <v>46050</v>
      </c>
      <c r="B58" s="3">
        <f t="shared" si="0"/>
        <v>0.1875</v>
      </c>
      <c r="C58" s="7">
        <v>24.5901</v>
      </c>
      <c r="D58" s="7">
        <v>25.2608</v>
      </c>
      <c r="E58" s="7">
        <v>26.223600000000001</v>
      </c>
      <c r="F58" s="7">
        <v>23.163399999999999</v>
      </c>
    </row>
    <row r="59" spans="1:6" x14ac:dyDescent="0.3">
      <c r="A59" s="2">
        <v>46050</v>
      </c>
      <c r="B59" s="3">
        <f t="shared" si="0"/>
        <v>0.20833333333333334</v>
      </c>
      <c r="C59" s="7">
        <v>24.605599999999999</v>
      </c>
      <c r="D59" s="7">
        <v>25.297699999999999</v>
      </c>
      <c r="E59" s="7">
        <v>26.246099999999998</v>
      </c>
      <c r="F59" s="7">
        <v>23.1797</v>
      </c>
    </row>
    <row r="60" spans="1:6" x14ac:dyDescent="0.3">
      <c r="A60" s="2">
        <v>46050</v>
      </c>
      <c r="B60" s="3">
        <f t="shared" si="0"/>
        <v>0.22916666666666669</v>
      </c>
      <c r="C60" s="7">
        <v>29.700800000000001</v>
      </c>
      <c r="D60" s="7">
        <v>30.624400000000001</v>
      </c>
      <c r="E60" s="7">
        <v>31.698</v>
      </c>
      <c r="F60" s="7">
        <v>27.9512</v>
      </c>
    </row>
    <row r="61" spans="1:6" x14ac:dyDescent="0.3">
      <c r="A61" s="2">
        <v>46050</v>
      </c>
      <c r="B61" s="3">
        <f t="shared" si="0"/>
        <v>0.25</v>
      </c>
      <c r="C61" s="7">
        <v>28.6629</v>
      </c>
      <c r="D61" s="7">
        <v>29.572299999999998</v>
      </c>
      <c r="E61" s="7">
        <v>30.508299999999998</v>
      </c>
      <c r="F61" s="7">
        <v>26.979600000000001</v>
      </c>
    </row>
    <row r="62" spans="1:6" x14ac:dyDescent="0.3">
      <c r="A62" s="2">
        <v>46050</v>
      </c>
      <c r="B62" s="3">
        <f t="shared" si="0"/>
        <v>0.27083333333333331</v>
      </c>
      <c r="C62" s="7">
        <v>24.5974</v>
      </c>
      <c r="D62" s="7">
        <v>25.384399999999999</v>
      </c>
      <c r="E62" s="7">
        <v>26.0748</v>
      </c>
      <c r="F62" s="7">
        <v>23.138300000000001</v>
      </c>
    </row>
    <row r="63" spans="1:6" x14ac:dyDescent="0.3">
      <c r="A63" s="2">
        <v>46050</v>
      </c>
      <c r="B63" s="3">
        <f t="shared" si="0"/>
        <v>0.29166666666666663</v>
      </c>
      <c r="C63" s="7">
        <v>29.9404</v>
      </c>
      <c r="D63" s="7">
        <v>30.992799999999999</v>
      </c>
      <c r="E63" s="7">
        <v>31.586099999999998</v>
      </c>
      <c r="F63" s="7">
        <v>28.1492</v>
      </c>
    </row>
    <row r="64" spans="1:6" x14ac:dyDescent="0.3">
      <c r="A64" s="2">
        <v>46050</v>
      </c>
      <c r="B64" s="3">
        <f t="shared" si="0"/>
        <v>0.31249999999999994</v>
      </c>
      <c r="C64" s="7">
        <v>36.6265</v>
      </c>
      <c r="D64" s="7">
        <v>37.827199999999998</v>
      </c>
      <c r="E64" s="7">
        <v>38.294800000000002</v>
      </c>
      <c r="F64" s="7">
        <v>34.361899999999999</v>
      </c>
    </row>
    <row r="65" spans="1:6" x14ac:dyDescent="0.3">
      <c r="A65" s="2">
        <v>46050</v>
      </c>
      <c r="B65" s="3">
        <f t="shared" si="0"/>
        <v>0.33333333333333326</v>
      </c>
      <c r="C65" s="7">
        <v>29.912099999999999</v>
      </c>
      <c r="D65" s="7">
        <v>30.946400000000001</v>
      </c>
      <c r="E65" s="7">
        <v>30.9834</v>
      </c>
      <c r="F65" s="7">
        <v>28.058199999999999</v>
      </c>
    </row>
    <row r="66" spans="1:6" x14ac:dyDescent="0.3">
      <c r="A66" s="2">
        <v>46050</v>
      </c>
      <c r="B66" s="3">
        <f t="shared" si="0"/>
        <v>0.35416666666666657</v>
      </c>
      <c r="C66" s="7">
        <v>36.576000000000001</v>
      </c>
      <c r="D66" s="7">
        <v>38.028199999999998</v>
      </c>
      <c r="E66" s="7">
        <v>37.446199999999997</v>
      </c>
      <c r="F66" s="7">
        <v>34.241100000000003</v>
      </c>
    </row>
    <row r="67" spans="1:6" x14ac:dyDescent="0.3">
      <c r="A67" s="2">
        <v>46050</v>
      </c>
      <c r="B67" s="3">
        <f t="shared" si="0"/>
        <v>0.37499999999999989</v>
      </c>
      <c r="C67" s="7">
        <v>43.114800000000002</v>
      </c>
      <c r="D67" s="7">
        <v>44.887099999999997</v>
      </c>
      <c r="E67" s="7">
        <v>43.712400000000002</v>
      </c>
      <c r="F67" s="7">
        <v>40.288200000000003</v>
      </c>
    </row>
    <row r="68" spans="1:6" x14ac:dyDescent="0.3">
      <c r="A68" s="2">
        <v>46050</v>
      </c>
      <c r="B68" s="3">
        <f t="shared" si="0"/>
        <v>0.3958333333333332</v>
      </c>
      <c r="C68" s="7">
        <v>40.613</v>
      </c>
      <c r="D68" s="7">
        <v>42.411499999999997</v>
      </c>
      <c r="E68" s="7">
        <v>40.818800000000003</v>
      </c>
      <c r="F68" s="7">
        <v>37.894799999999996</v>
      </c>
    </row>
    <row r="69" spans="1:6" x14ac:dyDescent="0.3">
      <c r="A69" s="2">
        <v>46050</v>
      </c>
      <c r="B69" s="3">
        <f t="shared" si="0"/>
        <v>0.41666666666666652</v>
      </c>
      <c r="C69" s="7">
        <v>40.7941</v>
      </c>
      <c r="D69" s="7">
        <v>42.667299999999997</v>
      </c>
      <c r="E69" s="7">
        <v>40.832500000000003</v>
      </c>
      <c r="F69" s="7">
        <v>38.0167</v>
      </c>
    </row>
    <row r="70" spans="1:6" x14ac:dyDescent="0.3">
      <c r="A70" s="2">
        <v>46050</v>
      </c>
      <c r="B70" s="3">
        <f t="shared" si="0"/>
        <v>0.43749999999999983</v>
      </c>
      <c r="C70" s="7">
        <v>32.8127</v>
      </c>
      <c r="D70" s="7">
        <v>34.394399999999997</v>
      </c>
      <c r="E70" s="7">
        <v>32.802799999999998</v>
      </c>
      <c r="F70" s="7">
        <v>30.608000000000001</v>
      </c>
    </row>
    <row r="71" spans="1:6" x14ac:dyDescent="0.3">
      <c r="A71" s="2">
        <v>46050</v>
      </c>
      <c r="B71" s="3">
        <f t="shared" si="0"/>
        <v>0.45833333333333315</v>
      </c>
      <c r="C71" s="7">
        <v>33.011899999999997</v>
      </c>
      <c r="D71" s="7">
        <v>34.613700000000001</v>
      </c>
      <c r="E71" s="7">
        <v>33</v>
      </c>
      <c r="F71" s="7">
        <v>30.772600000000001</v>
      </c>
    </row>
    <row r="72" spans="1:6" x14ac:dyDescent="0.3">
      <c r="A72" s="2">
        <v>46050</v>
      </c>
      <c r="B72" s="3">
        <f t="shared" si="0"/>
        <v>0.47916666666666646</v>
      </c>
      <c r="C72" s="7">
        <v>32.917499999999997</v>
      </c>
      <c r="D72" s="7">
        <v>34.653500000000001</v>
      </c>
      <c r="E72" s="7">
        <v>33.135300000000001</v>
      </c>
      <c r="F72" s="7">
        <v>30.676600000000001</v>
      </c>
    </row>
    <row r="73" spans="1:6" x14ac:dyDescent="0.3">
      <c r="A73" s="2">
        <v>46050</v>
      </c>
      <c r="B73" s="3">
        <f t="shared" si="0"/>
        <v>0.49999999999999978</v>
      </c>
      <c r="C73" s="7">
        <v>32.973199999999999</v>
      </c>
      <c r="D73" s="7">
        <v>34.680199999999999</v>
      </c>
      <c r="E73" s="7">
        <v>33.316899999999997</v>
      </c>
      <c r="F73" s="7">
        <v>30.718</v>
      </c>
    </row>
    <row r="74" spans="1:6" x14ac:dyDescent="0.3">
      <c r="A74" s="2">
        <v>46050</v>
      </c>
      <c r="B74" s="3">
        <f t="shared" si="0"/>
        <v>0.52083333333333315</v>
      </c>
      <c r="C74" s="7">
        <v>31.730699999999999</v>
      </c>
      <c r="D74" s="7">
        <v>33.3262</v>
      </c>
      <c r="E74" s="7">
        <v>32.080399999999997</v>
      </c>
      <c r="F74" s="7">
        <v>29.573799999999999</v>
      </c>
    </row>
    <row r="75" spans="1:6" x14ac:dyDescent="0.3">
      <c r="A75" s="2">
        <v>46050</v>
      </c>
      <c r="B75" s="3">
        <f t="shared" si="0"/>
        <v>0.54166666666666652</v>
      </c>
      <c r="C75" s="7">
        <v>31.376799999999999</v>
      </c>
      <c r="D75" s="7">
        <v>32.1434</v>
      </c>
      <c r="E75" s="7">
        <v>27.9452</v>
      </c>
      <c r="F75" s="7">
        <v>29.186399999999999</v>
      </c>
    </row>
    <row r="76" spans="1:6" x14ac:dyDescent="0.3">
      <c r="A76" s="2">
        <v>46050</v>
      </c>
      <c r="B76" s="3">
        <f t="shared" si="0"/>
        <v>0.56249999999999989</v>
      </c>
      <c r="C76" s="7">
        <v>33.405999999999999</v>
      </c>
      <c r="D76" s="7">
        <v>34.191200000000002</v>
      </c>
      <c r="E76" s="7">
        <v>29.783100000000001</v>
      </c>
      <c r="F76" s="7">
        <v>31.057500000000001</v>
      </c>
    </row>
    <row r="77" spans="1:6" x14ac:dyDescent="0.3">
      <c r="A77" s="2">
        <v>46050</v>
      </c>
      <c r="B77" s="3">
        <f t="shared" si="0"/>
        <v>0.58333333333333326</v>
      </c>
      <c r="C77" s="7">
        <v>41.1066</v>
      </c>
      <c r="D77" s="7">
        <v>42.036299999999997</v>
      </c>
      <c r="E77" s="7">
        <v>36.873399999999997</v>
      </c>
      <c r="F77" s="7">
        <v>38.232399999999998</v>
      </c>
    </row>
    <row r="78" spans="1:6" x14ac:dyDescent="0.3">
      <c r="A78" s="2">
        <v>46050</v>
      </c>
      <c r="B78" s="3">
        <f t="shared" si="0"/>
        <v>0.60416666666666663</v>
      </c>
      <c r="C78" s="7">
        <v>32.479199999999999</v>
      </c>
      <c r="D78" s="7">
        <v>33.240499999999997</v>
      </c>
      <c r="E78" s="7">
        <v>29.265799999999999</v>
      </c>
      <c r="F78" s="7">
        <v>30.282699999999998</v>
      </c>
    </row>
    <row r="79" spans="1:6" x14ac:dyDescent="0.3">
      <c r="A79" s="2">
        <v>46050</v>
      </c>
      <c r="B79" s="3">
        <f t="shared" si="0"/>
        <v>0.625</v>
      </c>
      <c r="C79" s="7">
        <v>32.826500000000003</v>
      </c>
      <c r="D79" s="7">
        <v>34.230600000000003</v>
      </c>
      <c r="E79" s="7">
        <v>33.814</v>
      </c>
      <c r="F79" s="7">
        <v>30.681699999999999</v>
      </c>
    </row>
    <row r="80" spans="1:6" x14ac:dyDescent="0.3">
      <c r="A80" s="2">
        <v>46050</v>
      </c>
      <c r="B80" s="3">
        <f t="shared" si="0"/>
        <v>0.64583333333333337</v>
      </c>
      <c r="C80" s="7">
        <v>32.899099999999997</v>
      </c>
      <c r="D80" s="7">
        <v>34.49</v>
      </c>
      <c r="E80" s="7">
        <v>33.93</v>
      </c>
      <c r="F80" s="7">
        <v>30.729500000000002</v>
      </c>
    </row>
    <row r="81" spans="1:6" x14ac:dyDescent="0.3">
      <c r="A81" s="2">
        <v>46050</v>
      </c>
      <c r="B81" s="3">
        <f t="shared" si="0"/>
        <v>0.66666666666666674</v>
      </c>
      <c r="C81" s="7">
        <v>32.967199999999998</v>
      </c>
      <c r="D81" s="7">
        <v>34.521700000000003</v>
      </c>
      <c r="E81" s="7">
        <v>34.164900000000003</v>
      </c>
      <c r="F81" s="7">
        <v>30.792899999999999</v>
      </c>
    </row>
    <row r="82" spans="1:6" x14ac:dyDescent="0.3">
      <c r="A82" s="2">
        <v>46050</v>
      </c>
      <c r="B82" s="3">
        <f t="shared" si="0"/>
        <v>0.68750000000000011</v>
      </c>
      <c r="C82" s="7">
        <v>32.857300000000002</v>
      </c>
      <c r="D82" s="7">
        <v>34.536200000000001</v>
      </c>
      <c r="E82" s="7">
        <v>34.349200000000003</v>
      </c>
      <c r="F82" s="7">
        <v>30.762699999999999</v>
      </c>
    </row>
    <row r="83" spans="1:6" x14ac:dyDescent="0.3">
      <c r="A83" s="2">
        <v>46050</v>
      </c>
      <c r="B83" s="3">
        <f t="shared" si="0"/>
        <v>0.70833333333333348</v>
      </c>
      <c r="C83" s="7">
        <v>32.779299999999999</v>
      </c>
      <c r="D83" s="7">
        <v>34.4435</v>
      </c>
      <c r="E83" s="7">
        <v>34.453400000000002</v>
      </c>
      <c r="F83" s="7">
        <v>30.700700000000001</v>
      </c>
    </row>
    <row r="84" spans="1:6" x14ac:dyDescent="0.3">
      <c r="A84" s="2">
        <v>46050</v>
      </c>
      <c r="B84" s="3">
        <f t="shared" si="0"/>
        <v>0.72916666666666685</v>
      </c>
      <c r="C84" s="7">
        <v>42.963700000000003</v>
      </c>
      <c r="D84" s="7">
        <v>45.011899999999997</v>
      </c>
      <c r="E84" s="7">
        <v>45.4589</v>
      </c>
      <c r="F84" s="7">
        <v>40.173499999999997</v>
      </c>
    </row>
    <row r="85" spans="1:6" x14ac:dyDescent="0.3">
      <c r="A85" s="2">
        <v>46050</v>
      </c>
      <c r="B85" s="3">
        <f t="shared" si="0"/>
        <v>0.75000000000000022</v>
      </c>
      <c r="C85" s="7">
        <v>30.2804</v>
      </c>
      <c r="D85" s="7">
        <v>31.518999999999998</v>
      </c>
      <c r="E85" s="7">
        <v>32.190199999999997</v>
      </c>
      <c r="F85" s="7">
        <v>28.414300000000001</v>
      </c>
    </row>
    <row r="86" spans="1:6" x14ac:dyDescent="0.3">
      <c r="A86" s="2">
        <v>46050</v>
      </c>
      <c r="B86" s="3">
        <f t="shared" si="0"/>
        <v>0.77083333333333359</v>
      </c>
      <c r="C86" s="7">
        <v>30.1769</v>
      </c>
      <c r="D86" s="7">
        <v>31.4862</v>
      </c>
      <c r="E86" s="7">
        <v>32.304299999999998</v>
      </c>
      <c r="F86" s="7">
        <v>28.371099999999998</v>
      </c>
    </row>
    <row r="87" spans="1:6" x14ac:dyDescent="0.3">
      <c r="A87" s="2">
        <v>46050</v>
      </c>
      <c r="B87" s="3">
        <f t="shared" si="0"/>
        <v>0.79166666666666696</v>
      </c>
      <c r="C87" s="7">
        <v>32.683399999999999</v>
      </c>
      <c r="D87" s="7">
        <v>34.387900000000002</v>
      </c>
      <c r="E87" s="7">
        <v>35.110799999999998</v>
      </c>
      <c r="F87" s="7">
        <v>30.7379</v>
      </c>
    </row>
    <row r="88" spans="1:6" x14ac:dyDescent="0.3">
      <c r="A88" s="2">
        <v>46050</v>
      </c>
      <c r="B88" s="3">
        <f t="shared" si="0"/>
        <v>0.81250000000000033</v>
      </c>
      <c r="C88" s="7">
        <v>37.256999999999998</v>
      </c>
      <c r="D88" s="7">
        <v>39.348199999999999</v>
      </c>
      <c r="E88" s="7">
        <v>40.002400000000002</v>
      </c>
      <c r="F88" s="7">
        <v>35.038699999999999</v>
      </c>
    </row>
    <row r="89" spans="1:6" x14ac:dyDescent="0.3">
      <c r="A89" s="2">
        <v>46050</v>
      </c>
      <c r="B89" s="3">
        <f t="shared" si="0"/>
        <v>0.8333333333333337</v>
      </c>
      <c r="C89" s="7">
        <v>37.2729</v>
      </c>
      <c r="D89" s="7">
        <v>39.355600000000003</v>
      </c>
      <c r="E89" s="7">
        <v>40.084499999999998</v>
      </c>
      <c r="F89" s="7">
        <v>35.069200000000002</v>
      </c>
    </row>
    <row r="90" spans="1:6" x14ac:dyDescent="0.3">
      <c r="A90" s="2">
        <v>46050</v>
      </c>
      <c r="B90" s="3">
        <f t="shared" si="0"/>
        <v>0.85416666666666707</v>
      </c>
      <c r="C90" s="7">
        <v>37.149500000000003</v>
      </c>
      <c r="D90" s="7">
        <v>39.185400000000001</v>
      </c>
      <c r="E90" s="7">
        <v>39.963500000000003</v>
      </c>
      <c r="F90" s="7">
        <v>34.975700000000003</v>
      </c>
    </row>
    <row r="91" spans="1:6" x14ac:dyDescent="0.3">
      <c r="A91" s="2">
        <v>46050</v>
      </c>
      <c r="B91" s="3">
        <f t="shared" si="0"/>
        <v>0.87500000000000044</v>
      </c>
      <c r="C91" s="7">
        <v>37.228900000000003</v>
      </c>
      <c r="D91" s="7">
        <v>39.277700000000003</v>
      </c>
      <c r="E91" s="7">
        <v>40.112200000000001</v>
      </c>
      <c r="F91" s="7">
        <v>35.0608</v>
      </c>
    </row>
    <row r="92" spans="1:6" x14ac:dyDescent="0.3">
      <c r="A92" s="2">
        <v>46050</v>
      </c>
      <c r="B92" s="3">
        <f t="shared" si="0"/>
        <v>0.89583333333333381</v>
      </c>
      <c r="C92" s="7">
        <v>37.242800000000003</v>
      </c>
      <c r="D92" s="7">
        <v>39.293100000000003</v>
      </c>
      <c r="E92" s="7">
        <v>40.034300000000002</v>
      </c>
      <c r="F92" s="7">
        <v>35.047800000000002</v>
      </c>
    </row>
    <row r="93" spans="1:6" x14ac:dyDescent="0.3">
      <c r="A93" s="2">
        <v>46050</v>
      </c>
      <c r="B93" s="3">
        <f t="shared" si="0"/>
        <v>0.91666666666666718</v>
      </c>
      <c r="C93" s="7">
        <v>37.189799999999998</v>
      </c>
      <c r="D93" s="7">
        <v>39.0871</v>
      </c>
      <c r="E93" s="7">
        <v>39.931399999999996</v>
      </c>
      <c r="F93" s="7">
        <v>35.061100000000003</v>
      </c>
    </row>
    <row r="94" spans="1:6" x14ac:dyDescent="0.3">
      <c r="A94" s="2">
        <v>46050</v>
      </c>
      <c r="B94" s="3">
        <f t="shared" si="0"/>
        <v>0.93750000000000056</v>
      </c>
      <c r="C94" s="7">
        <v>32.566400000000002</v>
      </c>
      <c r="D94" s="7">
        <v>34.162999999999997</v>
      </c>
      <c r="E94" s="7">
        <v>34.958100000000002</v>
      </c>
      <c r="F94" s="7">
        <v>30.7119</v>
      </c>
    </row>
    <row r="95" spans="1:6" x14ac:dyDescent="0.3">
      <c r="A95" s="2">
        <v>46050</v>
      </c>
      <c r="B95" s="3">
        <f t="shared" si="0"/>
        <v>0.95833333333333393</v>
      </c>
      <c r="C95" s="7">
        <v>37.286000000000001</v>
      </c>
      <c r="D95" s="7">
        <v>38.942500000000003</v>
      </c>
      <c r="E95" s="7">
        <v>39.969900000000003</v>
      </c>
      <c r="F95" s="7">
        <v>35.139400000000002</v>
      </c>
    </row>
    <row r="96" spans="1:6" x14ac:dyDescent="0.3">
      <c r="A96" s="2">
        <v>46050</v>
      </c>
      <c r="B96" s="3">
        <f t="shared" si="0"/>
        <v>0.9791666666666673</v>
      </c>
      <c r="C96" s="7">
        <v>37.433</v>
      </c>
      <c r="D96" s="7">
        <v>38.949300000000001</v>
      </c>
      <c r="E96" s="7">
        <v>40.044400000000003</v>
      </c>
      <c r="F96" s="7">
        <v>35.243000000000002</v>
      </c>
    </row>
    <row r="97" spans="1:6" x14ac:dyDescent="0.3">
      <c r="A97" s="2">
        <v>46050</v>
      </c>
      <c r="B97" s="3">
        <f t="shared" si="0"/>
        <v>1.0000000000000007</v>
      </c>
      <c r="C97" s="7">
        <v>29.964300000000001</v>
      </c>
      <c r="D97" s="7">
        <v>31.095199999999998</v>
      </c>
      <c r="E97" s="7">
        <v>32.037100000000002</v>
      </c>
      <c r="F97" s="7">
        <v>28.248999999999999</v>
      </c>
    </row>
    <row r="98" spans="1:6" x14ac:dyDescent="0.3">
      <c r="A98" s="2">
        <f>+A50+1</f>
        <v>46051</v>
      </c>
      <c r="B98" s="3">
        <f t="shared" si="0"/>
        <v>1.0208333333333339</v>
      </c>
      <c r="C98" s="7">
        <v>32.571100000000001</v>
      </c>
      <c r="D98" s="7">
        <v>33.697899999999997</v>
      </c>
      <c r="E98" s="7">
        <v>34.126300000000001</v>
      </c>
      <c r="F98" s="7">
        <v>31.0566</v>
      </c>
    </row>
    <row r="99" spans="1:6" x14ac:dyDescent="0.3">
      <c r="A99" s="2">
        <f t="shared" ref="A99:A162" si="1">+A51+1</f>
        <v>46051</v>
      </c>
      <c r="B99" s="3">
        <f t="shared" si="0"/>
        <v>1.0416666666666672</v>
      </c>
      <c r="C99" s="7">
        <v>32.711599999999997</v>
      </c>
      <c r="D99" s="7">
        <v>33.779800000000002</v>
      </c>
      <c r="E99" s="7">
        <v>34.2759</v>
      </c>
      <c r="F99" s="7">
        <v>31.1922</v>
      </c>
    </row>
    <row r="100" spans="1:6" x14ac:dyDescent="0.3">
      <c r="A100" s="2">
        <f t="shared" si="1"/>
        <v>46051</v>
      </c>
      <c r="B100" s="3">
        <f t="shared" si="0"/>
        <v>1.0625000000000004</v>
      </c>
      <c r="C100" s="7">
        <v>32.551299999999998</v>
      </c>
      <c r="D100" s="7">
        <v>33.557000000000002</v>
      </c>
      <c r="E100" s="7">
        <v>34.0792</v>
      </c>
      <c r="F100" s="7">
        <v>31.035399999999999</v>
      </c>
    </row>
    <row r="101" spans="1:6" x14ac:dyDescent="0.3">
      <c r="A101" s="2">
        <f t="shared" si="1"/>
        <v>46051</v>
      </c>
      <c r="B101" s="3">
        <f t="shared" si="0"/>
        <v>1.0833333333333337</v>
      </c>
      <c r="C101" s="7">
        <v>32.499899999999997</v>
      </c>
      <c r="D101" s="7">
        <v>33.582999999999998</v>
      </c>
      <c r="E101" s="7">
        <v>34.002200000000002</v>
      </c>
      <c r="F101" s="7">
        <v>30.9922</v>
      </c>
    </row>
    <row r="102" spans="1:6" x14ac:dyDescent="0.3">
      <c r="A102" s="2">
        <f t="shared" si="1"/>
        <v>46051</v>
      </c>
      <c r="B102" s="3">
        <f t="shared" si="0"/>
        <v>1.104166666666667</v>
      </c>
      <c r="C102" s="7">
        <v>25.363700000000001</v>
      </c>
      <c r="D102" s="7">
        <v>26.193999999999999</v>
      </c>
      <c r="E102" s="7">
        <v>26.5335</v>
      </c>
      <c r="F102" s="7">
        <v>24.1952</v>
      </c>
    </row>
    <row r="103" spans="1:6" x14ac:dyDescent="0.3">
      <c r="A103" s="2">
        <f t="shared" si="1"/>
        <v>46051</v>
      </c>
      <c r="B103" s="3">
        <f t="shared" si="0"/>
        <v>1.1250000000000002</v>
      </c>
      <c r="C103" s="7">
        <v>25.3626</v>
      </c>
      <c r="D103" s="7">
        <v>26.1814</v>
      </c>
      <c r="E103" s="7">
        <v>26.545999999999999</v>
      </c>
      <c r="F103" s="7">
        <v>24.197399999999998</v>
      </c>
    </row>
    <row r="104" spans="1:6" x14ac:dyDescent="0.3">
      <c r="A104" s="2">
        <f t="shared" si="1"/>
        <v>46051</v>
      </c>
      <c r="B104" s="3">
        <f t="shared" si="0"/>
        <v>1.1458333333333335</v>
      </c>
      <c r="C104" s="7">
        <v>21.788499999999999</v>
      </c>
      <c r="D104" s="7">
        <v>22.483799999999999</v>
      </c>
      <c r="E104" s="7">
        <v>22.825900000000001</v>
      </c>
      <c r="F104" s="7">
        <v>20.796399999999998</v>
      </c>
    </row>
    <row r="105" spans="1:6" x14ac:dyDescent="0.3">
      <c r="A105" s="2">
        <f t="shared" si="1"/>
        <v>46051</v>
      </c>
      <c r="B105" s="3">
        <f t="shared" si="0"/>
        <v>1.1666666666666667</v>
      </c>
      <c r="C105" s="7">
        <v>24.543399999999998</v>
      </c>
      <c r="D105" s="7">
        <v>25.337399999999999</v>
      </c>
      <c r="E105" s="7">
        <v>25.706600000000002</v>
      </c>
      <c r="F105" s="7">
        <v>23.4297</v>
      </c>
    </row>
    <row r="106" spans="1:6" x14ac:dyDescent="0.3">
      <c r="A106" s="2">
        <f t="shared" si="1"/>
        <v>46051</v>
      </c>
      <c r="B106" s="3">
        <f t="shared" si="0"/>
        <v>1.1875</v>
      </c>
      <c r="C106" s="7">
        <v>25.356300000000001</v>
      </c>
      <c r="D106" s="7">
        <v>26.183199999999999</v>
      </c>
      <c r="E106" s="7">
        <v>26.572900000000001</v>
      </c>
      <c r="F106" s="7">
        <v>24.208300000000001</v>
      </c>
    </row>
    <row r="107" spans="1:6" x14ac:dyDescent="0.3">
      <c r="A107" s="2">
        <f t="shared" si="1"/>
        <v>46051</v>
      </c>
      <c r="B107" s="3">
        <f t="shared" si="0"/>
        <v>1.2083333333333333</v>
      </c>
      <c r="C107" s="7">
        <v>25.363800000000001</v>
      </c>
      <c r="D107" s="7">
        <v>26.188700000000001</v>
      </c>
      <c r="E107" s="7">
        <v>26.599599999999999</v>
      </c>
      <c r="F107" s="7">
        <v>24.214500000000001</v>
      </c>
    </row>
    <row r="108" spans="1:6" x14ac:dyDescent="0.3">
      <c r="A108" s="2">
        <f t="shared" si="1"/>
        <v>46051</v>
      </c>
      <c r="B108" s="3">
        <f t="shared" si="0"/>
        <v>1.2291666666666665</v>
      </c>
      <c r="C108" s="7">
        <v>32.489400000000003</v>
      </c>
      <c r="D108" s="7">
        <v>33.589700000000001</v>
      </c>
      <c r="E108" s="7">
        <v>34.050400000000003</v>
      </c>
      <c r="F108" s="7">
        <v>30.996200000000002</v>
      </c>
    </row>
    <row r="109" spans="1:6" x14ac:dyDescent="0.3">
      <c r="A109" s="2">
        <f t="shared" si="1"/>
        <v>46051</v>
      </c>
      <c r="B109" s="3">
        <f t="shared" si="0"/>
        <v>1.2499999999999998</v>
      </c>
      <c r="C109" s="7">
        <v>25.485700000000001</v>
      </c>
      <c r="D109" s="7">
        <v>26.3689</v>
      </c>
      <c r="E109" s="7">
        <v>26.671399999999998</v>
      </c>
      <c r="F109" s="7">
        <v>24.302099999999999</v>
      </c>
    </row>
    <row r="110" spans="1:6" x14ac:dyDescent="0.3">
      <c r="A110" s="2">
        <f t="shared" si="1"/>
        <v>46051</v>
      </c>
      <c r="B110" s="3">
        <f t="shared" si="0"/>
        <v>1.270833333333333</v>
      </c>
      <c r="C110" s="7">
        <v>25.421800000000001</v>
      </c>
      <c r="D110" s="7">
        <v>26.348600000000001</v>
      </c>
      <c r="E110" s="7">
        <v>26.5549</v>
      </c>
      <c r="F110" s="7">
        <v>24.2363</v>
      </c>
    </row>
    <row r="111" spans="1:6" x14ac:dyDescent="0.3">
      <c r="A111" s="2">
        <f t="shared" si="1"/>
        <v>46051</v>
      </c>
      <c r="B111" s="3">
        <f t="shared" si="0"/>
        <v>1.2916666666666663</v>
      </c>
      <c r="C111" s="7">
        <v>32.5777</v>
      </c>
      <c r="D111" s="7">
        <v>33.796399999999998</v>
      </c>
      <c r="E111" s="7">
        <v>33.819200000000002</v>
      </c>
      <c r="F111" s="7">
        <v>31.008700000000001</v>
      </c>
    </row>
    <row r="112" spans="1:6" x14ac:dyDescent="0.3">
      <c r="A112" s="2">
        <f t="shared" si="1"/>
        <v>46051</v>
      </c>
      <c r="B112" s="3">
        <f t="shared" si="0"/>
        <v>1.3124999999999996</v>
      </c>
      <c r="C112" s="7">
        <v>32.563800000000001</v>
      </c>
      <c r="D112" s="7">
        <v>33.907600000000002</v>
      </c>
      <c r="E112" s="7">
        <v>33.562800000000003</v>
      </c>
      <c r="F112" s="7">
        <v>30.992999999999999</v>
      </c>
    </row>
    <row r="113" spans="1:6" x14ac:dyDescent="0.3">
      <c r="A113" s="2">
        <f t="shared" si="1"/>
        <v>46051</v>
      </c>
      <c r="B113" s="3">
        <f t="shared" si="0"/>
        <v>1.3333333333333328</v>
      </c>
      <c r="C113" s="7">
        <v>32.609499999999997</v>
      </c>
      <c r="D113" s="7">
        <v>33.811599999999999</v>
      </c>
      <c r="E113" s="7">
        <v>33.325099999999999</v>
      </c>
      <c r="F113" s="7">
        <v>30.982700000000001</v>
      </c>
    </row>
    <row r="114" spans="1:6" x14ac:dyDescent="0.3">
      <c r="A114" s="2">
        <f t="shared" si="1"/>
        <v>46051</v>
      </c>
      <c r="B114" s="3">
        <f t="shared" si="0"/>
        <v>1.3541666666666661</v>
      </c>
      <c r="C114" s="7">
        <v>32.595399999999998</v>
      </c>
      <c r="D114" s="7">
        <v>33.965899999999998</v>
      </c>
      <c r="E114" s="7">
        <v>33.047600000000003</v>
      </c>
      <c r="F114" s="7">
        <v>30.9178</v>
      </c>
    </row>
    <row r="115" spans="1:6" x14ac:dyDescent="0.3">
      <c r="A115" s="2">
        <f t="shared" si="1"/>
        <v>46051</v>
      </c>
      <c r="B115" s="3">
        <f t="shared" si="0"/>
        <v>1.3749999999999993</v>
      </c>
      <c r="C115" s="7">
        <v>32.627099999999999</v>
      </c>
      <c r="D115" s="7">
        <v>34.053199999999997</v>
      </c>
      <c r="E115" s="7">
        <v>32.793199999999999</v>
      </c>
      <c r="F115" s="7">
        <v>30.877800000000001</v>
      </c>
    </row>
    <row r="116" spans="1:6" x14ac:dyDescent="0.3">
      <c r="A116" s="2">
        <f t="shared" si="1"/>
        <v>46051</v>
      </c>
      <c r="B116" s="3">
        <f t="shared" ref="B116:B179" si="2">+B115+1/48</f>
        <v>1.3958333333333326</v>
      </c>
      <c r="C116" s="7">
        <v>32.657499999999999</v>
      </c>
      <c r="D116" s="7">
        <v>34.188000000000002</v>
      </c>
      <c r="E116" s="7">
        <v>32.618400000000001</v>
      </c>
      <c r="F116" s="7">
        <v>30.872399999999999</v>
      </c>
    </row>
    <row r="117" spans="1:6" x14ac:dyDescent="0.3">
      <c r="A117" s="2">
        <f t="shared" si="1"/>
        <v>46051</v>
      </c>
      <c r="B117" s="3">
        <f t="shared" si="2"/>
        <v>1.4166666666666659</v>
      </c>
      <c r="C117" s="7">
        <v>32.594200000000001</v>
      </c>
      <c r="D117" s="7">
        <v>34.172899999999998</v>
      </c>
      <c r="E117" s="7">
        <v>32.417000000000002</v>
      </c>
      <c r="F117" s="7">
        <v>30.7807</v>
      </c>
    </row>
    <row r="118" spans="1:6" x14ac:dyDescent="0.3">
      <c r="A118" s="2">
        <f t="shared" si="1"/>
        <v>46051</v>
      </c>
      <c r="B118" s="3">
        <f t="shared" si="2"/>
        <v>1.4374999999999991</v>
      </c>
      <c r="C118" s="7">
        <v>32.697400000000002</v>
      </c>
      <c r="D118" s="7">
        <v>34.407499999999999</v>
      </c>
      <c r="E118" s="7">
        <v>32.569600000000001</v>
      </c>
      <c r="F118" s="7">
        <v>30.8809</v>
      </c>
    </row>
    <row r="119" spans="1:6" x14ac:dyDescent="0.3">
      <c r="A119" s="2">
        <f t="shared" si="1"/>
        <v>46051</v>
      </c>
      <c r="B119" s="3">
        <f t="shared" si="2"/>
        <v>1.4583333333333324</v>
      </c>
      <c r="C119" s="7">
        <v>32.626199999999997</v>
      </c>
      <c r="D119" s="7">
        <v>34.311599999999999</v>
      </c>
      <c r="E119" s="7">
        <v>32.516800000000003</v>
      </c>
      <c r="F119" s="7">
        <v>30.8203</v>
      </c>
    </row>
    <row r="120" spans="1:6" x14ac:dyDescent="0.3">
      <c r="A120" s="2">
        <f t="shared" si="1"/>
        <v>46051</v>
      </c>
      <c r="B120" s="3">
        <f t="shared" si="2"/>
        <v>1.4791666666666656</v>
      </c>
      <c r="C120" s="7">
        <v>32.7438</v>
      </c>
      <c r="D120" s="7">
        <v>34.493000000000002</v>
      </c>
      <c r="E120" s="7">
        <v>32.869300000000003</v>
      </c>
      <c r="F120" s="7">
        <v>30.971599999999999</v>
      </c>
    </row>
    <row r="121" spans="1:6" x14ac:dyDescent="0.3">
      <c r="A121" s="2">
        <f t="shared" si="1"/>
        <v>46051</v>
      </c>
      <c r="B121" s="3">
        <f t="shared" si="2"/>
        <v>1.4999999999999989</v>
      </c>
      <c r="C121" s="7">
        <v>32.742199999999997</v>
      </c>
      <c r="D121" s="7">
        <v>34.438099999999999</v>
      </c>
      <c r="E121" s="7">
        <v>32.963099999999997</v>
      </c>
      <c r="F121" s="7">
        <v>30.982199999999999</v>
      </c>
    </row>
    <row r="122" spans="1:6" x14ac:dyDescent="0.3">
      <c r="A122" s="2">
        <f t="shared" si="1"/>
        <v>46051</v>
      </c>
      <c r="B122" s="3">
        <f t="shared" si="2"/>
        <v>1.5208333333333321</v>
      </c>
      <c r="C122" s="7">
        <v>32.756100000000004</v>
      </c>
      <c r="D122" s="7">
        <v>34.403700000000001</v>
      </c>
      <c r="E122" s="7">
        <v>32.978499999999997</v>
      </c>
      <c r="F122" s="7">
        <v>30.960799999999999</v>
      </c>
    </row>
    <row r="123" spans="1:6" x14ac:dyDescent="0.3">
      <c r="A123" s="2">
        <f t="shared" si="1"/>
        <v>46051</v>
      </c>
      <c r="B123" s="3">
        <f t="shared" si="2"/>
        <v>1.5416666666666654</v>
      </c>
      <c r="C123" s="7">
        <v>32.738999999999997</v>
      </c>
      <c r="D123" s="7">
        <v>34.265599999999999</v>
      </c>
      <c r="E123" s="7">
        <v>32.940899999999999</v>
      </c>
      <c r="F123" s="7">
        <v>30.9283</v>
      </c>
    </row>
    <row r="124" spans="1:6" x14ac:dyDescent="0.3">
      <c r="A124" s="2">
        <f t="shared" si="1"/>
        <v>46051</v>
      </c>
      <c r="B124" s="3">
        <f t="shared" si="2"/>
        <v>1.5624999999999987</v>
      </c>
      <c r="C124" s="7">
        <v>32.723599999999998</v>
      </c>
      <c r="D124" s="7">
        <v>34.213299999999997</v>
      </c>
      <c r="E124" s="7">
        <v>33.018300000000004</v>
      </c>
      <c r="F124" s="7">
        <v>30.9344</v>
      </c>
    </row>
    <row r="125" spans="1:6" x14ac:dyDescent="0.3">
      <c r="A125" s="2">
        <f t="shared" si="1"/>
        <v>46051</v>
      </c>
      <c r="B125" s="3">
        <f t="shared" si="2"/>
        <v>1.5833333333333319</v>
      </c>
      <c r="C125" s="7">
        <v>32.743499999999997</v>
      </c>
      <c r="D125" s="7">
        <v>34.218000000000004</v>
      </c>
      <c r="E125" s="7">
        <v>33.227800000000002</v>
      </c>
      <c r="F125" s="7">
        <v>30.9953</v>
      </c>
    </row>
    <row r="126" spans="1:6" x14ac:dyDescent="0.3">
      <c r="A126" s="2">
        <f t="shared" si="1"/>
        <v>46051</v>
      </c>
      <c r="B126" s="3">
        <f t="shared" si="2"/>
        <v>1.6041666666666652</v>
      </c>
      <c r="C126" s="7">
        <v>32.758600000000001</v>
      </c>
      <c r="D126" s="7">
        <v>34.332099999999997</v>
      </c>
      <c r="E126" s="7">
        <v>33.366100000000003</v>
      </c>
      <c r="F126" s="7">
        <v>31.064599999999999</v>
      </c>
    </row>
    <row r="127" spans="1:6" x14ac:dyDescent="0.3">
      <c r="A127" s="2">
        <f t="shared" si="1"/>
        <v>46051</v>
      </c>
      <c r="B127" s="3">
        <f t="shared" si="2"/>
        <v>1.6249999999999984</v>
      </c>
      <c r="C127" s="7">
        <v>32.795699999999997</v>
      </c>
      <c r="D127" s="7">
        <v>34.387500000000003</v>
      </c>
      <c r="E127" s="7">
        <v>33.548200000000001</v>
      </c>
      <c r="F127" s="7">
        <v>31.134</v>
      </c>
    </row>
    <row r="128" spans="1:6" x14ac:dyDescent="0.3">
      <c r="A128" s="2">
        <f t="shared" si="1"/>
        <v>46051</v>
      </c>
      <c r="B128" s="3">
        <f t="shared" si="2"/>
        <v>1.6458333333333317</v>
      </c>
      <c r="C128" s="7">
        <v>32.767400000000002</v>
      </c>
      <c r="D128" s="7">
        <v>34.404899999999998</v>
      </c>
      <c r="E128" s="7">
        <v>33.690199999999997</v>
      </c>
      <c r="F128" s="7">
        <v>31.143899999999999</v>
      </c>
    </row>
    <row r="129" spans="1:6" x14ac:dyDescent="0.3">
      <c r="A129" s="2">
        <f t="shared" si="1"/>
        <v>46051</v>
      </c>
      <c r="B129" s="3">
        <f t="shared" si="2"/>
        <v>1.666666666666665</v>
      </c>
      <c r="C129" s="7">
        <v>32.806600000000003</v>
      </c>
      <c r="D129" s="7">
        <v>34.388399999999997</v>
      </c>
      <c r="E129" s="7">
        <v>33.846600000000002</v>
      </c>
      <c r="F129" s="7">
        <v>31.197800000000001</v>
      </c>
    </row>
    <row r="130" spans="1:6" x14ac:dyDescent="0.3">
      <c r="A130" s="2">
        <f t="shared" si="1"/>
        <v>46051</v>
      </c>
      <c r="B130" s="3">
        <f t="shared" si="2"/>
        <v>1.6874999999999982</v>
      </c>
      <c r="C130" s="7">
        <v>32.653700000000001</v>
      </c>
      <c r="D130" s="7">
        <v>34.182499999999997</v>
      </c>
      <c r="E130" s="7">
        <v>33.756399999999999</v>
      </c>
      <c r="F130" s="7">
        <v>31.038900000000002</v>
      </c>
    </row>
    <row r="131" spans="1:6" x14ac:dyDescent="0.3">
      <c r="A131" s="2">
        <f t="shared" si="1"/>
        <v>46051</v>
      </c>
      <c r="B131" s="3">
        <f t="shared" si="2"/>
        <v>1.7083333333333315</v>
      </c>
      <c r="C131" s="7">
        <v>32.5276</v>
      </c>
      <c r="D131" s="7">
        <v>34.020400000000002</v>
      </c>
      <c r="E131" s="7">
        <v>33.682400000000001</v>
      </c>
      <c r="F131" s="7">
        <v>30.9009</v>
      </c>
    </row>
    <row r="132" spans="1:6" x14ac:dyDescent="0.3">
      <c r="A132" s="2">
        <f t="shared" si="1"/>
        <v>46051</v>
      </c>
      <c r="B132" s="3">
        <f t="shared" si="2"/>
        <v>1.7291666666666647</v>
      </c>
      <c r="C132" s="7">
        <v>29.698599999999999</v>
      </c>
      <c r="D132" s="7">
        <v>31.035299999999999</v>
      </c>
      <c r="E132" s="7">
        <v>30.931999999999999</v>
      </c>
      <c r="F132" s="7">
        <v>28.258400000000002</v>
      </c>
    </row>
    <row r="133" spans="1:6" x14ac:dyDescent="0.3">
      <c r="A133" s="2">
        <f t="shared" si="1"/>
        <v>46051</v>
      </c>
      <c r="B133" s="3">
        <f t="shared" si="2"/>
        <v>1.749999999999998</v>
      </c>
      <c r="C133" s="7">
        <v>32.521000000000001</v>
      </c>
      <c r="D133" s="7">
        <v>33.790500000000002</v>
      </c>
      <c r="E133" s="7">
        <v>33.999299999999998</v>
      </c>
      <c r="F133" s="7">
        <v>30.8947</v>
      </c>
    </row>
    <row r="134" spans="1:6" x14ac:dyDescent="0.3">
      <c r="A134" s="2">
        <f t="shared" si="1"/>
        <v>46051</v>
      </c>
      <c r="B134" s="3">
        <f t="shared" si="2"/>
        <v>1.7708333333333313</v>
      </c>
      <c r="C134" s="7">
        <v>32.358199999999997</v>
      </c>
      <c r="D134" s="7">
        <v>33.776899999999998</v>
      </c>
      <c r="E134" s="7">
        <v>34.048299999999998</v>
      </c>
      <c r="F134" s="7">
        <v>30.814499999999999</v>
      </c>
    </row>
    <row r="135" spans="1:6" x14ac:dyDescent="0.3">
      <c r="A135" s="2">
        <f t="shared" si="1"/>
        <v>46051</v>
      </c>
      <c r="B135" s="3">
        <f t="shared" si="2"/>
        <v>1.7916666666666645</v>
      </c>
      <c r="C135" s="7">
        <v>32.622500000000002</v>
      </c>
      <c r="D135" s="7">
        <v>34.281999999999996</v>
      </c>
      <c r="E135" s="7">
        <v>34.390999999999998</v>
      </c>
      <c r="F135" s="7">
        <v>31.090699999999998</v>
      </c>
    </row>
    <row r="136" spans="1:6" x14ac:dyDescent="0.3">
      <c r="A136" s="2">
        <f t="shared" si="1"/>
        <v>46051</v>
      </c>
      <c r="B136" s="3">
        <f t="shared" si="2"/>
        <v>1.8124999999999978</v>
      </c>
      <c r="C136" s="7">
        <v>32.582799999999999</v>
      </c>
      <c r="D136" s="7">
        <v>34.306800000000003</v>
      </c>
      <c r="E136" s="7">
        <v>34.347200000000001</v>
      </c>
      <c r="F136" s="7">
        <v>31.058499999999999</v>
      </c>
    </row>
    <row r="137" spans="1:6" x14ac:dyDescent="0.3">
      <c r="A137" s="2">
        <f t="shared" si="1"/>
        <v>46051</v>
      </c>
      <c r="B137" s="3">
        <f t="shared" si="2"/>
        <v>1.833333333333331</v>
      </c>
      <c r="C137" s="7">
        <v>41.372500000000002</v>
      </c>
      <c r="D137" s="7">
        <v>43.576900000000002</v>
      </c>
      <c r="E137" s="7">
        <v>43.704599999999999</v>
      </c>
      <c r="F137" s="7">
        <v>39.473999999999997</v>
      </c>
    </row>
    <row r="138" spans="1:6" x14ac:dyDescent="0.3">
      <c r="A138" s="2">
        <f t="shared" si="1"/>
        <v>46051</v>
      </c>
      <c r="B138" s="3">
        <f t="shared" si="2"/>
        <v>1.8541666666666643</v>
      </c>
      <c r="C138" s="7">
        <v>33.618400000000001</v>
      </c>
      <c r="D138" s="7">
        <v>35.369999999999997</v>
      </c>
      <c r="E138" s="7">
        <v>35.556800000000003</v>
      </c>
      <c r="F138" s="7">
        <v>32.092500000000001</v>
      </c>
    </row>
    <row r="139" spans="1:6" x14ac:dyDescent="0.3">
      <c r="A139" s="2">
        <f t="shared" si="1"/>
        <v>46051</v>
      </c>
      <c r="B139" s="3">
        <f t="shared" si="2"/>
        <v>1.8749999999999976</v>
      </c>
      <c r="C139" s="7">
        <v>33.621899999999997</v>
      </c>
      <c r="D139" s="7">
        <v>35.381500000000003</v>
      </c>
      <c r="E139" s="7">
        <v>35.592700000000001</v>
      </c>
      <c r="F139" s="7">
        <v>32.106099999999998</v>
      </c>
    </row>
    <row r="140" spans="1:6" x14ac:dyDescent="0.3">
      <c r="A140" s="2">
        <f t="shared" si="1"/>
        <v>46051</v>
      </c>
      <c r="B140" s="3">
        <f t="shared" si="2"/>
        <v>1.8958333333333308</v>
      </c>
      <c r="C140" s="7">
        <v>33.599499999999999</v>
      </c>
      <c r="D140" s="7">
        <v>35.396999999999998</v>
      </c>
      <c r="E140" s="7">
        <v>35.542299999999997</v>
      </c>
      <c r="F140" s="7">
        <v>32.082599999999999</v>
      </c>
    </row>
    <row r="141" spans="1:6" x14ac:dyDescent="0.3">
      <c r="A141" s="2">
        <f t="shared" si="1"/>
        <v>46051</v>
      </c>
      <c r="B141" s="3">
        <f t="shared" si="2"/>
        <v>1.9166666666666641</v>
      </c>
      <c r="C141" s="7">
        <v>41.251199999999997</v>
      </c>
      <c r="D141" s="7">
        <v>43.316600000000001</v>
      </c>
      <c r="E141" s="7">
        <v>43.640500000000003</v>
      </c>
      <c r="F141" s="7">
        <v>39.43</v>
      </c>
    </row>
    <row r="142" spans="1:6" x14ac:dyDescent="0.3">
      <c r="A142" s="2">
        <f t="shared" si="1"/>
        <v>46051</v>
      </c>
      <c r="B142" s="3">
        <f t="shared" si="2"/>
        <v>1.9374999999999973</v>
      </c>
      <c r="C142" s="7">
        <v>41.345300000000002</v>
      </c>
      <c r="D142" s="7">
        <v>43.293700000000001</v>
      </c>
      <c r="E142" s="7">
        <v>43.781599999999997</v>
      </c>
      <c r="F142" s="7">
        <v>39.57</v>
      </c>
    </row>
    <row r="143" spans="1:6" x14ac:dyDescent="0.3">
      <c r="A143" s="2">
        <f t="shared" si="1"/>
        <v>46051</v>
      </c>
      <c r="B143" s="3">
        <f t="shared" si="2"/>
        <v>1.9583333333333306</v>
      </c>
      <c r="C143" s="7">
        <v>33.591000000000001</v>
      </c>
      <c r="D143" s="7">
        <v>35.025799999999997</v>
      </c>
      <c r="E143" s="7">
        <v>35.502299999999998</v>
      </c>
      <c r="F143" s="7">
        <v>32.137900000000002</v>
      </c>
    </row>
    <row r="144" spans="1:6" x14ac:dyDescent="0.3">
      <c r="A144" s="2">
        <f t="shared" si="1"/>
        <v>46051</v>
      </c>
      <c r="B144" s="3">
        <f t="shared" si="2"/>
        <v>1.9791666666666639</v>
      </c>
      <c r="C144" s="7">
        <v>24.329599999999999</v>
      </c>
      <c r="D144" s="7">
        <v>25.411899999999999</v>
      </c>
      <c r="E144" s="7">
        <v>25.646899999999999</v>
      </c>
      <c r="F144" s="7">
        <v>23.2651</v>
      </c>
    </row>
    <row r="145" spans="1:6" x14ac:dyDescent="0.3">
      <c r="A145" s="2">
        <f t="shared" si="1"/>
        <v>46051</v>
      </c>
      <c r="B145" s="3">
        <f t="shared" si="2"/>
        <v>1.9999999999999971</v>
      </c>
      <c r="C145" s="7">
        <v>21.601900000000001</v>
      </c>
      <c r="D145" s="7">
        <v>22.533899999999999</v>
      </c>
      <c r="E145" s="7">
        <v>22.761700000000001</v>
      </c>
      <c r="F145" s="7">
        <v>20.659099999999999</v>
      </c>
    </row>
    <row r="146" spans="1:6" x14ac:dyDescent="0.3">
      <c r="A146" s="2">
        <f t="shared" si="1"/>
        <v>46052</v>
      </c>
      <c r="B146" s="3">
        <f t="shared" si="2"/>
        <v>2.0208333333333304</v>
      </c>
      <c r="C146" s="7">
        <v>21.476900000000001</v>
      </c>
      <c r="D146" s="7">
        <v>22.322800000000001</v>
      </c>
      <c r="E146" s="7">
        <v>22.473800000000001</v>
      </c>
      <c r="F146" s="7">
        <v>20.506399999999999</v>
      </c>
    </row>
    <row r="147" spans="1:6" x14ac:dyDescent="0.3">
      <c r="A147" s="2">
        <f t="shared" si="1"/>
        <v>46052</v>
      </c>
      <c r="B147" s="3">
        <f t="shared" si="2"/>
        <v>2.0416666666666639</v>
      </c>
      <c r="C147" s="7">
        <v>0.73750000000000004</v>
      </c>
      <c r="D147" s="7">
        <v>0.76590000000000003</v>
      </c>
      <c r="E147" s="7">
        <v>0.77280000000000004</v>
      </c>
      <c r="F147" s="7">
        <v>0.70489999999999997</v>
      </c>
    </row>
    <row r="148" spans="1:6" x14ac:dyDescent="0.3">
      <c r="A148" s="2">
        <f t="shared" si="1"/>
        <v>46052</v>
      </c>
      <c r="B148" s="3">
        <f t="shared" si="2"/>
        <v>2.0624999999999973</v>
      </c>
      <c r="C148" s="7">
        <v>0.69669999999999999</v>
      </c>
      <c r="D148" s="7">
        <v>0.72470000000000001</v>
      </c>
      <c r="E148" s="7">
        <v>0.73280000000000001</v>
      </c>
      <c r="F148" s="7">
        <v>0.66820000000000002</v>
      </c>
    </row>
    <row r="149" spans="1:6" x14ac:dyDescent="0.3">
      <c r="A149" s="2">
        <f t="shared" si="1"/>
        <v>46052</v>
      </c>
      <c r="B149" s="3">
        <f t="shared" si="2"/>
        <v>2.0833333333333308</v>
      </c>
      <c r="C149" s="7">
        <v>0.68989999999999996</v>
      </c>
      <c r="D149" s="7">
        <v>0.71709999999999996</v>
      </c>
      <c r="E149" s="7">
        <v>0.72599999999999998</v>
      </c>
      <c r="F149" s="7">
        <v>0.66210000000000002</v>
      </c>
    </row>
    <row r="150" spans="1:6" x14ac:dyDescent="0.3">
      <c r="A150" s="2">
        <f t="shared" si="1"/>
        <v>46052</v>
      </c>
      <c r="B150" s="3">
        <f t="shared" si="2"/>
        <v>2.1041666666666643</v>
      </c>
      <c r="C150" s="7">
        <v>0.68679999999999997</v>
      </c>
      <c r="D150" s="7">
        <v>0.71379999999999999</v>
      </c>
      <c r="E150" s="7">
        <v>0.72289999999999999</v>
      </c>
      <c r="F150" s="7">
        <v>0.65969999999999995</v>
      </c>
    </row>
    <row r="151" spans="1:6" x14ac:dyDescent="0.3">
      <c r="A151" s="2">
        <f t="shared" si="1"/>
        <v>46052</v>
      </c>
      <c r="B151" s="3">
        <f t="shared" si="2"/>
        <v>2.1249999999999978</v>
      </c>
      <c r="C151" s="7">
        <v>0.68640000000000001</v>
      </c>
      <c r="D151" s="7">
        <v>0.71260000000000001</v>
      </c>
      <c r="E151" s="7">
        <v>0.72319999999999995</v>
      </c>
      <c r="F151" s="7">
        <v>0.65969999999999995</v>
      </c>
    </row>
    <row r="152" spans="1:6" x14ac:dyDescent="0.3">
      <c r="A152" s="2">
        <f t="shared" si="1"/>
        <v>46052</v>
      </c>
      <c r="B152" s="3">
        <f t="shared" si="2"/>
        <v>2.1458333333333313</v>
      </c>
      <c r="C152" s="7">
        <v>0.68440000000000001</v>
      </c>
      <c r="D152" s="7">
        <v>0.70989999999999998</v>
      </c>
      <c r="E152" s="7">
        <v>0.72119999999999995</v>
      </c>
      <c r="F152" s="7">
        <v>0.65969999999999995</v>
      </c>
    </row>
    <row r="153" spans="1:6" x14ac:dyDescent="0.3">
      <c r="A153" s="2">
        <f t="shared" si="1"/>
        <v>46052</v>
      </c>
      <c r="B153" s="3">
        <f t="shared" si="2"/>
        <v>2.1666666666666647</v>
      </c>
      <c r="C153" s="7">
        <v>0.68530000000000002</v>
      </c>
      <c r="D153" s="7">
        <v>0.71150000000000002</v>
      </c>
      <c r="E153" s="7">
        <v>0.72260000000000002</v>
      </c>
      <c r="F153" s="7">
        <v>0.65969999999999995</v>
      </c>
    </row>
    <row r="154" spans="1:6" x14ac:dyDescent="0.3">
      <c r="A154" s="2">
        <f t="shared" si="1"/>
        <v>46052</v>
      </c>
      <c r="B154" s="3">
        <f t="shared" si="2"/>
        <v>2.1874999999999982</v>
      </c>
      <c r="C154" s="7">
        <v>0.68589999999999995</v>
      </c>
      <c r="D154" s="7">
        <v>0.71260000000000001</v>
      </c>
      <c r="E154" s="7">
        <v>0.72409999999999997</v>
      </c>
      <c r="F154" s="7">
        <v>0.65969999999999995</v>
      </c>
    </row>
    <row r="155" spans="1:6" x14ac:dyDescent="0.3">
      <c r="A155" s="2">
        <f t="shared" si="1"/>
        <v>46052</v>
      </c>
      <c r="B155" s="3">
        <f t="shared" si="2"/>
        <v>2.2083333333333317</v>
      </c>
      <c r="C155" s="7">
        <v>0.68669999999999998</v>
      </c>
      <c r="D155" s="7">
        <v>0.71379999999999999</v>
      </c>
      <c r="E155" s="7">
        <v>0.72460000000000002</v>
      </c>
      <c r="F155" s="7">
        <v>0.65990000000000004</v>
      </c>
    </row>
    <row r="156" spans="1:6" x14ac:dyDescent="0.3">
      <c r="A156" s="2">
        <f t="shared" si="1"/>
        <v>46052</v>
      </c>
      <c r="B156" s="3">
        <f t="shared" si="2"/>
        <v>2.2291666666666652</v>
      </c>
      <c r="C156" s="7">
        <v>0.69569999999999999</v>
      </c>
      <c r="D156" s="7">
        <v>0.72409999999999997</v>
      </c>
      <c r="E156" s="7">
        <v>0.73409999999999997</v>
      </c>
      <c r="F156" s="7">
        <v>0.66810000000000003</v>
      </c>
    </row>
    <row r="157" spans="1:6" x14ac:dyDescent="0.3">
      <c r="A157" s="2">
        <f t="shared" si="1"/>
        <v>46052</v>
      </c>
      <c r="B157" s="3">
        <f t="shared" si="2"/>
        <v>2.2499999999999987</v>
      </c>
      <c r="C157" s="7">
        <v>0.68730000000000002</v>
      </c>
      <c r="D157" s="7">
        <v>0.71579999999999999</v>
      </c>
      <c r="E157" s="7">
        <v>0.72199999999999998</v>
      </c>
      <c r="F157" s="7">
        <v>0.65969999999999995</v>
      </c>
    </row>
    <row r="158" spans="1:6" x14ac:dyDescent="0.3">
      <c r="A158" s="2">
        <f t="shared" si="1"/>
        <v>46052</v>
      </c>
      <c r="B158" s="3">
        <f t="shared" si="2"/>
        <v>2.2708333333333321</v>
      </c>
      <c r="C158" s="7">
        <v>0.68510000000000004</v>
      </c>
      <c r="D158" s="7">
        <v>0.71450000000000002</v>
      </c>
      <c r="E158" s="7">
        <v>0.71650000000000003</v>
      </c>
      <c r="F158" s="7">
        <v>0.65969999999999995</v>
      </c>
    </row>
    <row r="159" spans="1:6" x14ac:dyDescent="0.3">
      <c r="A159" s="2">
        <f t="shared" si="1"/>
        <v>46052</v>
      </c>
      <c r="B159" s="3">
        <f t="shared" si="2"/>
        <v>2.2916666666666656</v>
      </c>
      <c r="C159" s="7">
        <v>0.72</v>
      </c>
      <c r="D159" s="7">
        <v>0.74880000000000002</v>
      </c>
      <c r="E159" s="7">
        <v>0.73960000000000004</v>
      </c>
      <c r="F159" s="7">
        <v>0.68500000000000005</v>
      </c>
    </row>
    <row r="160" spans="1:6" x14ac:dyDescent="0.3">
      <c r="A160" s="2">
        <f t="shared" si="1"/>
        <v>46052</v>
      </c>
      <c r="B160" s="3">
        <f t="shared" si="2"/>
        <v>2.3124999999999991</v>
      </c>
      <c r="C160" s="7">
        <v>0.74760000000000004</v>
      </c>
      <c r="D160" s="7">
        <v>0.77829999999999999</v>
      </c>
      <c r="E160" s="7">
        <v>0.75870000000000004</v>
      </c>
      <c r="F160" s="7">
        <v>0.70860000000000001</v>
      </c>
    </row>
    <row r="161" spans="1:6" x14ac:dyDescent="0.3">
      <c r="A161" s="2">
        <f t="shared" si="1"/>
        <v>46052</v>
      </c>
      <c r="B161" s="3">
        <f t="shared" si="2"/>
        <v>2.3333333333333326</v>
      </c>
      <c r="C161" s="7">
        <v>21.545300000000001</v>
      </c>
      <c r="D161" s="7">
        <v>22.450199999999999</v>
      </c>
      <c r="E161" s="7">
        <v>21.587399999999999</v>
      </c>
      <c r="F161" s="7">
        <v>20.350100000000001</v>
      </c>
    </row>
    <row r="162" spans="1:6" x14ac:dyDescent="0.3">
      <c r="A162" s="2">
        <f t="shared" si="1"/>
        <v>46052</v>
      </c>
      <c r="B162" s="3">
        <f t="shared" si="2"/>
        <v>2.3541666666666661</v>
      </c>
      <c r="C162" s="7">
        <v>21.581700000000001</v>
      </c>
      <c r="D162" s="7">
        <v>22.588899999999999</v>
      </c>
      <c r="E162" s="7">
        <v>21.3643</v>
      </c>
      <c r="F162" s="7">
        <v>20.328900000000001</v>
      </c>
    </row>
    <row r="163" spans="1:6" x14ac:dyDescent="0.3">
      <c r="A163" s="2">
        <f t="shared" ref="A163:A226" si="3">+A115+1</f>
        <v>46052</v>
      </c>
      <c r="B163" s="3">
        <f t="shared" si="2"/>
        <v>2.3749999999999996</v>
      </c>
      <c r="C163" s="7">
        <v>22.9328</v>
      </c>
      <c r="D163" s="7">
        <v>24.059899999999999</v>
      </c>
      <c r="E163" s="7">
        <v>22.596499999999999</v>
      </c>
      <c r="F163" s="7">
        <v>21.578299999999999</v>
      </c>
    </row>
    <row r="164" spans="1:6" x14ac:dyDescent="0.3">
      <c r="A164" s="2">
        <f t="shared" si="3"/>
        <v>46052</v>
      </c>
      <c r="B164" s="3">
        <f t="shared" si="2"/>
        <v>2.395833333333333</v>
      </c>
      <c r="C164" s="7">
        <v>23.410499999999999</v>
      </c>
      <c r="D164" s="7">
        <v>24.6431</v>
      </c>
      <c r="E164" s="7">
        <v>22.971800000000002</v>
      </c>
      <c r="F164" s="7">
        <v>21.996300000000002</v>
      </c>
    </row>
    <row r="165" spans="1:6" x14ac:dyDescent="0.3">
      <c r="A165" s="2">
        <f t="shared" si="3"/>
        <v>46052</v>
      </c>
      <c r="B165" s="3">
        <f t="shared" si="2"/>
        <v>2.4166666666666665</v>
      </c>
      <c r="C165" s="7">
        <v>23.385999999999999</v>
      </c>
      <c r="D165" s="7">
        <v>24.644300000000001</v>
      </c>
      <c r="E165" s="7">
        <v>22.851900000000001</v>
      </c>
      <c r="F165" s="7">
        <v>21.943999999999999</v>
      </c>
    </row>
    <row r="166" spans="1:6" x14ac:dyDescent="0.3">
      <c r="A166" s="2">
        <f t="shared" si="3"/>
        <v>46052</v>
      </c>
      <c r="B166" s="3">
        <f t="shared" si="2"/>
        <v>2.4375</v>
      </c>
      <c r="C166" s="7">
        <v>23.409700000000001</v>
      </c>
      <c r="D166" s="7">
        <v>24.696200000000001</v>
      </c>
      <c r="E166" s="7">
        <v>22.7271</v>
      </c>
      <c r="F166" s="7">
        <v>21.9527</v>
      </c>
    </row>
    <row r="167" spans="1:6" x14ac:dyDescent="0.3">
      <c r="A167" s="2">
        <f t="shared" si="3"/>
        <v>46052</v>
      </c>
      <c r="B167" s="3">
        <f t="shared" si="2"/>
        <v>2.4583333333333335</v>
      </c>
      <c r="C167" s="7">
        <v>23.962499999999999</v>
      </c>
      <c r="D167" s="7">
        <v>24.5091</v>
      </c>
      <c r="E167" s="7">
        <v>20.327000000000002</v>
      </c>
      <c r="F167" s="7">
        <v>22.297499999999999</v>
      </c>
    </row>
    <row r="168" spans="1:6" x14ac:dyDescent="0.3">
      <c r="A168" s="2">
        <f t="shared" si="3"/>
        <v>46052</v>
      </c>
      <c r="B168" s="3">
        <f t="shared" si="2"/>
        <v>2.479166666666667</v>
      </c>
      <c r="C168" s="7">
        <v>24.068300000000001</v>
      </c>
      <c r="D168" s="7">
        <v>24.7</v>
      </c>
      <c r="E168" s="7">
        <v>20.480499999999999</v>
      </c>
      <c r="F168" s="7">
        <v>22.3918</v>
      </c>
    </row>
    <row r="169" spans="1:6" x14ac:dyDescent="0.3">
      <c r="A169" s="2">
        <f t="shared" si="3"/>
        <v>46052</v>
      </c>
      <c r="B169" s="3">
        <f t="shared" si="2"/>
        <v>2.5000000000000004</v>
      </c>
      <c r="C169" s="7">
        <v>24.040600000000001</v>
      </c>
      <c r="D169" s="7">
        <v>24.662099999999999</v>
      </c>
      <c r="E169" s="7">
        <v>20.458300000000001</v>
      </c>
      <c r="F169" s="7">
        <v>22.3597</v>
      </c>
    </row>
    <row r="170" spans="1:6" x14ac:dyDescent="0.3">
      <c r="A170" s="2">
        <f t="shared" si="3"/>
        <v>46052</v>
      </c>
      <c r="B170" s="3">
        <f t="shared" si="2"/>
        <v>2.5208333333333339</v>
      </c>
      <c r="C170" s="7">
        <v>24.0075</v>
      </c>
      <c r="D170" s="7">
        <v>24.584499999999998</v>
      </c>
      <c r="E170" s="7">
        <v>20.433900000000001</v>
      </c>
      <c r="F170" s="7">
        <v>22.329499999999999</v>
      </c>
    </row>
    <row r="171" spans="1:6" x14ac:dyDescent="0.3">
      <c r="A171" s="2">
        <f t="shared" si="3"/>
        <v>46052</v>
      </c>
      <c r="B171" s="3">
        <f t="shared" si="2"/>
        <v>2.5416666666666674</v>
      </c>
      <c r="C171" s="7">
        <v>24.0168</v>
      </c>
      <c r="D171" s="7">
        <v>24.547699999999999</v>
      </c>
      <c r="E171" s="7">
        <v>20.5044</v>
      </c>
      <c r="F171" s="7">
        <v>22.349</v>
      </c>
    </row>
    <row r="172" spans="1:6" x14ac:dyDescent="0.3">
      <c r="A172" s="2">
        <f t="shared" si="3"/>
        <v>46052</v>
      </c>
      <c r="B172" s="3">
        <f t="shared" si="2"/>
        <v>2.5625000000000009</v>
      </c>
      <c r="C172" s="7">
        <v>23.965599999999998</v>
      </c>
      <c r="D172" s="7">
        <v>24.4587</v>
      </c>
      <c r="E172" s="7">
        <v>20.5319</v>
      </c>
      <c r="F172" s="7">
        <v>22.318899999999999</v>
      </c>
    </row>
    <row r="173" spans="1:6" x14ac:dyDescent="0.3">
      <c r="A173" s="2">
        <f t="shared" si="3"/>
        <v>46052</v>
      </c>
      <c r="B173" s="3">
        <f t="shared" si="2"/>
        <v>2.5833333333333344</v>
      </c>
      <c r="C173" s="7">
        <v>24.921199999999999</v>
      </c>
      <c r="D173" s="7">
        <v>25.427900000000001</v>
      </c>
      <c r="E173" s="7">
        <v>21.546600000000002</v>
      </c>
      <c r="F173" s="7">
        <v>23.244499999999999</v>
      </c>
    </row>
    <row r="174" spans="1:6" x14ac:dyDescent="0.3">
      <c r="A174" s="2">
        <f t="shared" si="3"/>
        <v>46052</v>
      </c>
      <c r="B174" s="3">
        <f t="shared" si="2"/>
        <v>2.6041666666666679</v>
      </c>
      <c r="C174" s="7">
        <v>25.604099999999999</v>
      </c>
      <c r="D174" s="7">
        <v>26.165299999999998</v>
      </c>
      <c r="E174" s="7">
        <v>22.296700000000001</v>
      </c>
      <c r="F174" s="7">
        <v>23.9282</v>
      </c>
    </row>
    <row r="175" spans="1:6" x14ac:dyDescent="0.3">
      <c r="A175" s="2">
        <f t="shared" si="3"/>
        <v>46052</v>
      </c>
      <c r="B175" s="3">
        <f t="shared" si="2"/>
        <v>2.6250000000000013</v>
      </c>
      <c r="C175" s="7">
        <v>25.557300000000001</v>
      </c>
      <c r="D175" s="7">
        <v>26.150500000000001</v>
      </c>
      <c r="E175" s="7">
        <v>22.419499999999999</v>
      </c>
      <c r="F175" s="7">
        <v>23.934699999999999</v>
      </c>
    </row>
    <row r="176" spans="1:6" x14ac:dyDescent="0.3">
      <c r="A176" s="2">
        <f t="shared" si="3"/>
        <v>46052</v>
      </c>
      <c r="B176" s="3">
        <f t="shared" si="2"/>
        <v>2.6458333333333348</v>
      </c>
      <c r="C176" s="7">
        <v>29.584700000000002</v>
      </c>
      <c r="D176" s="7">
        <v>30.1922</v>
      </c>
      <c r="E176" s="7">
        <v>26.0748</v>
      </c>
      <c r="F176" s="7">
        <v>27.725999999999999</v>
      </c>
    </row>
    <row r="177" spans="1:6" x14ac:dyDescent="0.3">
      <c r="A177" s="2">
        <f t="shared" si="3"/>
        <v>46052</v>
      </c>
      <c r="B177" s="3">
        <f t="shared" si="2"/>
        <v>2.6666666666666683</v>
      </c>
      <c r="C177" s="7">
        <v>25.543500000000002</v>
      </c>
      <c r="D177" s="7">
        <v>26.017900000000001</v>
      </c>
      <c r="E177" s="7">
        <v>22.610099999999999</v>
      </c>
      <c r="F177" s="7">
        <v>23.9558</v>
      </c>
    </row>
    <row r="178" spans="1:6" x14ac:dyDescent="0.3">
      <c r="A178" s="2">
        <f t="shared" si="3"/>
        <v>46052</v>
      </c>
      <c r="B178" s="3">
        <f t="shared" si="2"/>
        <v>2.6875000000000018</v>
      </c>
      <c r="C178" s="7">
        <v>28.745999999999999</v>
      </c>
      <c r="D178" s="7">
        <v>30.306899999999999</v>
      </c>
      <c r="E178" s="7">
        <v>29.603999999999999</v>
      </c>
      <c r="F178" s="7">
        <v>27.195799999999998</v>
      </c>
    </row>
    <row r="179" spans="1:6" x14ac:dyDescent="0.3">
      <c r="A179" s="2">
        <f t="shared" si="3"/>
        <v>46052</v>
      </c>
      <c r="B179" s="3">
        <f t="shared" si="2"/>
        <v>2.7083333333333353</v>
      </c>
      <c r="C179" s="7">
        <v>25.142199999999999</v>
      </c>
      <c r="D179" s="7">
        <v>26.481100000000001</v>
      </c>
      <c r="E179" s="7">
        <v>26.091899999999999</v>
      </c>
      <c r="F179" s="7">
        <v>23.8246</v>
      </c>
    </row>
    <row r="180" spans="1:6" x14ac:dyDescent="0.3">
      <c r="A180" s="2">
        <f t="shared" si="3"/>
        <v>46052</v>
      </c>
      <c r="B180" s="3">
        <f t="shared" ref="B180:B243" si="4">+B179+1/48</f>
        <v>2.7291666666666687</v>
      </c>
      <c r="C180" s="7">
        <v>25.103100000000001</v>
      </c>
      <c r="D180" s="7">
        <v>26.372199999999999</v>
      </c>
      <c r="E180" s="7">
        <v>26.1919</v>
      </c>
      <c r="F180" s="7">
        <v>23.779800000000002</v>
      </c>
    </row>
    <row r="181" spans="1:6" x14ac:dyDescent="0.3">
      <c r="A181" s="2">
        <f t="shared" si="3"/>
        <v>46052</v>
      </c>
      <c r="B181" s="3">
        <f t="shared" si="4"/>
        <v>2.7500000000000022</v>
      </c>
      <c r="C181" s="7">
        <v>23.857900000000001</v>
      </c>
      <c r="D181" s="7">
        <v>24.911000000000001</v>
      </c>
      <c r="E181" s="7">
        <v>25.052700000000002</v>
      </c>
      <c r="F181" s="7">
        <v>22.654</v>
      </c>
    </row>
    <row r="182" spans="1:6" x14ac:dyDescent="0.3">
      <c r="A182" s="2">
        <f t="shared" si="3"/>
        <v>46052</v>
      </c>
      <c r="B182" s="3">
        <f t="shared" si="4"/>
        <v>2.7708333333333357</v>
      </c>
      <c r="C182" s="7">
        <v>24.3294</v>
      </c>
      <c r="D182" s="7">
        <v>25.4376</v>
      </c>
      <c r="E182" s="7">
        <v>25.6355</v>
      </c>
      <c r="F182" s="7">
        <v>23.129300000000001</v>
      </c>
    </row>
    <row r="183" spans="1:6" x14ac:dyDescent="0.3">
      <c r="A183" s="2">
        <f t="shared" si="3"/>
        <v>46052</v>
      </c>
      <c r="B183" s="3">
        <f t="shared" si="4"/>
        <v>2.7916666666666692</v>
      </c>
      <c r="C183" s="7">
        <v>28.7043</v>
      </c>
      <c r="D183" s="7">
        <v>30.288799999999998</v>
      </c>
      <c r="E183" s="7">
        <v>30.338999999999999</v>
      </c>
      <c r="F183" s="7">
        <v>27.333600000000001</v>
      </c>
    </row>
    <row r="184" spans="1:6" x14ac:dyDescent="0.3">
      <c r="A184" s="2">
        <f t="shared" si="3"/>
        <v>46052</v>
      </c>
      <c r="B184" s="3">
        <f t="shared" si="4"/>
        <v>2.8125000000000027</v>
      </c>
      <c r="C184" s="7">
        <v>25.104600000000001</v>
      </c>
      <c r="D184" s="7">
        <v>26.590800000000002</v>
      </c>
      <c r="E184" s="7">
        <v>26.546600000000002</v>
      </c>
      <c r="F184" s="7">
        <v>23.927099999999999</v>
      </c>
    </row>
    <row r="185" spans="1:6" x14ac:dyDescent="0.3">
      <c r="A185" s="2">
        <f t="shared" si="3"/>
        <v>46052</v>
      </c>
      <c r="B185" s="3">
        <f t="shared" si="4"/>
        <v>2.8333333333333361</v>
      </c>
      <c r="C185" s="7">
        <v>25.1022</v>
      </c>
      <c r="D185" s="7">
        <v>26.5717</v>
      </c>
      <c r="E185" s="7">
        <v>26.563199999999998</v>
      </c>
      <c r="F185" s="7">
        <v>23.936299999999999</v>
      </c>
    </row>
    <row r="186" spans="1:6" x14ac:dyDescent="0.3">
      <c r="A186" s="2">
        <f t="shared" si="3"/>
        <v>46052</v>
      </c>
      <c r="B186" s="3">
        <f t="shared" si="4"/>
        <v>2.8541666666666696</v>
      </c>
      <c r="C186" s="7">
        <v>25.0989</v>
      </c>
      <c r="D186" s="7">
        <v>26.544699999999999</v>
      </c>
      <c r="E186" s="7">
        <v>26.593599999999999</v>
      </c>
      <c r="F186" s="7">
        <v>23.9466</v>
      </c>
    </row>
    <row r="187" spans="1:6" x14ac:dyDescent="0.3">
      <c r="A187" s="2">
        <f t="shared" si="3"/>
        <v>46052</v>
      </c>
      <c r="B187" s="3">
        <f t="shared" si="4"/>
        <v>2.8750000000000031</v>
      </c>
      <c r="C187" s="7">
        <v>25.1051</v>
      </c>
      <c r="D187" s="7">
        <v>26.533899999999999</v>
      </c>
      <c r="E187" s="7">
        <v>26.5976</v>
      </c>
      <c r="F187" s="7">
        <v>23.952000000000002</v>
      </c>
    </row>
    <row r="188" spans="1:6" x14ac:dyDescent="0.3">
      <c r="A188" s="2">
        <f t="shared" si="3"/>
        <v>46052</v>
      </c>
      <c r="B188" s="3">
        <f t="shared" si="4"/>
        <v>2.8958333333333366</v>
      </c>
      <c r="C188" s="7">
        <v>25.094100000000001</v>
      </c>
      <c r="D188" s="7">
        <v>26.546399999999998</v>
      </c>
      <c r="E188" s="7">
        <v>26.584</v>
      </c>
      <c r="F188" s="7">
        <v>23.9434</v>
      </c>
    </row>
    <row r="189" spans="1:6" x14ac:dyDescent="0.3">
      <c r="A189" s="2">
        <f t="shared" si="3"/>
        <v>46052</v>
      </c>
      <c r="B189" s="3">
        <f t="shared" si="4"/>
        <v>2.9166666666666701</v>
      </c>
      <c r="C189" s="7">
        <v>25.077100000000002</v>
      </c>
      <c r="D189" s="7">
        <v>26.4254</v>
      </c>
      <c r="E189" s="7">
        <v>26.574200000000001</v>
      </c>
      <c r="F189" s="7">
        <v>23.971299999999999</v>
      </c>
    </row>
    <row r="190" spans="1:6" x14ac:dyDescent="0.3">
      <c r="A190" s="2">
        <f t="shared" si="3"/>
        <v>46052</v>
      </c>
      <c r="B190" s="3">
        <f t="shared" si="4"/>
        <v>2.9375000000000036</v>
      </c>
      <c r="C190" s="7">
        <v>28.639600000000002</v>
      </c>
      <c r="D190" s="7">
        <v>30.0825</v>
      </c>
      <c r="E190" s="7">
        <v>30.342400000000001</v>
      </c>
      <c r="F190" s="7">
        <v>27.381399999999999</v>
      </c>
    </row>
    <row r="191" spans="1:6" x14ac:dyDescent="0.3">
      <c r="A191" s="2">
        <f t="shared" si="3"/>
        <v>46052</v>
      </c>
      <c r="B191" s="3">
        <f t="shared" si="4"/>
        <v>2.958333333333337</v>
      </c>
      <c r="C191" s="7">
        <v>25.033899999999999</v>
      </c>
      <c r="D191" s="7">
        <v>26.165900000000001</v>
      </c>
      <c r="E191" s="7">
        <v>26.512599999999999</v>
      </c>
      <c r="F191" s="7">
        <v>23.929200000000002</v>
      </c>
    </row>
    <row r="192" spans="1:6" x14ac:dyDescent="0.3">
      <c r="A192" s="2">
        <f t="shared" si="3"/>
        <v>46052</v>
      </c>
      <c r="B192" s="3">
        <f t="shared" si="4"/>
        <v>2.9791666666666705</v>
      </c>
      <c r="C192" s="7">
        <v>24.350300000000001</v>
      </c>
      <c r="D192" s="7">
        <v>25.401599999999998</v>
      </c>
      <c r="E192" s="7">
        <v>25.733699999999999</v>
      </c>
      <c r="F192" s="7">
        <v>23.242999999999999</v>
      </c>
    </row>
    <row r="193" spans="1:6" x14ac:dyDescent="0.3">
      <c r="A193" s="2">
        <f t="shared" si="3"/>
        <v>46052</v>
      </c>
      <c r="B193" s="3">
        <f t="shared" si="4"/>
        <v>3.000000000000004</v>
      </c>
      <c r="C193" s="7">
        <v>23.8294</v>
      </c>
      <c r="D193" s="7">
        <v>24.7729</v>
      </c>
      <c r="E193" s="7">
        <v>25.178100000000001</v>
      </c>
      <c r="F193" s="7">
        <v>22.748699999999999</v>
      </c>
    </row>
    <row r="194" spans="1:6" x14ac:dyDescent="0.3">
      <c r="A194" s="2">
        <f t="shared" si="3"/>
        <v>46053</v>
      </c>
      <c r="B194" s="3">
        <f t="shared" si="4"/>
        <v>3.0208333333333375</v>
      </c>
      <c r="C194" s="7">
        <v>23.761299999999999</v>
      </c>
      <c r="D194" s="7">
        <v>24.886800000000001</v>
      </c>
      <c r="E194" s="7">
        <v>25.305599999999998</v>
      </c>
      <c r="F194" s="7">
        <v>22.802</v>
      </c>
    </row>
    <row r="195" spans="1:6" x14ac:dyDescent="0.3">
      <c r="A195" s="2">
        <f t="shared" si="3"/>
        <v>46053</v>
      </c>
      <c r="B195" s="3">
        <f t="shared" si="4"/>
        <v>3.041666666666671</v>
      </c>
      <c r="C195" s="7">
        <v>21.442499999999999</v>
      </c>
      <c r="D195" s="7">
        <v>22.3733</v>
      </c>
      <c r="E195" s="7">
        <v>22.787500000000001</v>
      </c>
      <c r="F195" s="7">
        <v>20.575900000000001</v>
      </c>
    </row>
    <row r="196" spans="1:6" x14ac:dyDescent="0.3">
      <c r="A196" s="2">
        <f t="shared" si="3"/>
        <v>46053</v>
      </c>
      <c r="B196" s="3">
        <f t="shared" si="4"/>
        <v>3.0625000000000044</v>
      </c>
      <c r="C196" s="7">
        <v>23.491499999999998</v>
      </c>
      <c r="D196" s="7">
        <v>24.499099999999999</v>
      </c>
      <c r="E196" s="7">
        <v>24.999500000000001</v>
      </c>
      <c r="F196" s="7">
        <v>22.554400000000001</v>
      </c>
    </row>
    <row r="197" spans="1:6" x14ac:dyDescent="0.3">
      <c r="A197" s="2">
        <f t="shared" si="3"/>
        <v>46053</v>
      </c>
      <c r="B197" s="3">
        <f t="shared" si="4"/>
        <v>3.0833333333333379</v>
      </c>
      <c r="C197" s="7">
        <v>23.6328</v>
      </c>
      <c r="D197" s="7">
        <v>24.634799999999998</v>
      </c>
      <c r="E197" s="7">
        <v>25.190799999999999</v>
      </c>
      <c r="F197" s="7">
        <v>22.7072</v>
      </c>
    </row>
    <row r="198" spans="1:6" x14ac:dyDescent="0.3">
      <c r="A198" s="2">
        <f t="shared" si="3"/>
        <v>46053</v>
      </c>
      <c r="B198" s="3">
        <f t="shared" si="4"/>
        <v>3.1041666666666714</v>
      </c>
      <c r="C198" s="7">
        <v>3.6412</v>
      </c>
      <c r="D198" s="7">
        <v>3.7948</v>
      </c>
      <c r="E198" s="7">
        <v>3.8824000000000001</v>
      </c>
      <c r="F198" s="7">
        <v>3.5015999999999998</v>
      </c>
    </row>
    <row r="199" spans="1:6" x14ac:dyDescent="0.3">
      <c r="A199" s="2">
        <f t="shared" si="3"/>
        <v>46053</v>
      </c>
      <c r="B199" s="3">
        <f t="shared" si="4"/>
        <v>3.1250000000000049</v>
      </c>
      <c r="C199" s="7">
        <v>21.4114</v>
      </c>
      <c r="D199" s="7">
        <v>22.2882</v>
      </c>
      <c r="E199" s="7">
        <v>22.8323</v>
      </c>
      <c r="F199" s="7">
        <v>20.5867</v>
      </c>
    </row>
    <row r="200" spans="1:6" x14ac:dyDescent="0.3">
      <c r="A200" s="2">
        <f t="shared" si="3"/>
        <v>46053</v>
      </c>
      <c r="B200" s="3">
        <f t="shared" si="4"/>
        <v>3.1458333333333384</v>
      </c>
      <c r="C200" s="7">
        <v>1.8589</v>
      </c>
      <c r="D200" s="7">
        <v>1.9371</v>
      </c>
      <c r="E200" s="7">
        <v>1.9845999999999999</v>
      </c>
      <c r="F200" s="7">
        <v>1.7888999999999999</v>
      </c>
    </row>
    <row r="201" spans="1:6" x14ac:dyDescent="0.3">
      <c r="A201" s="2">
        <f t="shared" si="3"/>
        <v>46053</v>
      </c>
      <c r="B201" s="3">
        <f t="shared" si="4"/>
        <v>3.1666666666666718</v>
      </c>
      <c r="C201" s="7">
        <v>1.8581000000000001</v>
      </c>
      <c r="D201" s="7">
        <v>1.9366000000000001</v>
      </c>
      <c r="E201" s="7">
        <v>1.984</v>
      </c>
      <c r="F201" s="7">
        <v>1.7882</v>
      </c>
    </row>
    <row r="202" spans="1:6" x14ac:dyDescent="0.3">
      <c r="A202" s="2">
        <f t="shared" si="3"/>
        <v>46053</v>
      </c>
      <c r="B202" s="3">
        <f t="shared" si="4"/>
        <v>3.1875000000000053</v>
      </c>
      <c r="C202" s="7">
        <v>3.6394000000000002</v>
      </c>
      <c r="D202" s="7">
        <v>3.7890000000000001</v>
      </c>
      <c r="E202" s="7">
        <v>3.8834</v>
      </c>
      <c r="F202" s="7">
        <v>3.5002</v>
      </c>
    </row>
    <row r="203" spans="1:6" x14ac:dyDescent="0.3">
      <c r="A203" s="2">
        <f t="shared" si="3"/>
        <v>46053</v>
      </c>
      <c r="B203" s="3">
        <f t="shared" si="4"/>
        <v>3.2083333333333388</v>
      </c>
      <c r="C203" s="7">
        <v>1.8572</v>
      </c>
      <c r="D203" s="7">
        <v>1.9322999999999999</v>
      </c>
      <c r="E203" s="7">
        <v>1.9801</v>
      </c>
      <c r="F203" s="7">
        <v>1.7857000000000001</v>
      </c>
    </row>
    <row r="204" spans="1:6" x14ac:dyDescent="0.3">
      <c r="A204" s="2">
        <f t="shared" si="3"/>
        <v>46053</v>
      </c>
      <c r="B204" s="3">
        <f t="shared" si="4"/>
        <v>3.2291666666666723</v>
      </c>
      <c r="C204" s="7">
        <v>21.456800000000001</v>
      </c>
      <c r="D204" s="7">
        <v>22.3795</v>
      </c>
      <c r="E204" s="7">
        <v>22.937000000000001</v>
      </c>
      <c r="F204" s="7">
        <v>20.6448</v>
      </c>
    </row>
    <row r="205" spans="1:6" x14ac:dyDescent="0.3">
      <c r="A205" s="2">
        <f t="shared" si="3"/>
        <v>46053</v>
      </c>
      <c r="B205" s="3">
        <f t="shared" si="4"/>
        <v>3.2500000000000058</v>
      </c>
      <c r="C205" s="7">
        <v>22.7363</v>
      </c>
      <c r="D205" s="7">
        <v>23.726800000000001</v>
      </c>
      <c r="E205" s="7">
        <v>24.2056</v>
      </c>
      <c r="F205" s="7">
        <v>21.8447</v>
      </c>
    </row>
    <row r="206" spans="1:6" x14ac:dyDescent="0.3">
      <c r="A206" s="2">
        <f t="shared" si="3"/>
        <v>46053</v>
      </c>
      <c r="B206" s="3">
        <f t="shared" si="4"/>
        <v>3.2708333333333393</v>
      </c>
      <c r="C206" s="7">
        <v>3.6541000000000001</v>
      </c>
      <c r="D206" s="7">
        <v>3.8142</v>
      </c>
      <c r="E206" s="7">
        <v>3.8563000000000001</v>
      </c>
      <c r="F206" s="7">
        <v>3.5034999999999998</v>
      </c>
    </row>
    <row r="207" spans="1:6" x14ac:dyDescent="0.3">
      <c r="A207" s="2">
        <f t="shared" si="3"/>
        <v>46053</v>
      </c>
      <c r="B207" s="3">
        <f t="shared" si="4"/>
        <v>3.2916666666666727</v>
      </c>
      <c r="C207" s="7">
        <v>1.8389</v>
      </c>
      <c r="D207" s="7">
        <v>1.9151</v>
      </c>
      <c r="E207" s="7">
        <v>1.9098999999999999</v>
      </c>
      <c r="F207" s="7">
        <v>1.756</v>
      </c>
    </row>
    <row r="208" spans="1:6" x14ac:dyDescent="0.3">
      <c r="A208" s="2">
        <f t="shared" si="3"/>
        <v>46053</v>
      </c>
      <c r="B208" s="3">
        <f t="shared" si="4"/>
        <v>3.3125000000000062</v>
      </c>
      <c r="C208" s="7">
        <v>1.8526</v>
      </c>
      <c r="D208" s="7">
        <v>1.9339999999999999</v>
      </c>
      <c r="E208" s="7">
        <v>1.8945000000000001</v>
      </c>
      <c r="F208" s="7">
        <v>1.7674000000000001</v>
      </c>
    </row>
    <row r="209" spans="1:6" x14ac:dyDescent="0.3">
      <c r="A209" s="2">
        <f t="shared" si="3"/>
        <v>46053</v>
      </c>
      <c r="B209" s="3">
        <f t="shared" si="4"/>
        <v>3.3333333333333397</v>
      </c>
      <c r="C209" s="7">
        <v>21.497699999999998</v>
      </c>
      <c r="D209" s="7">
        <v>22.526499999999999</v>
      </c>
      <c r="E209" s="7">
        <v>21.8644</v>
      </c>
      <c r="F209" s="7">
        <v>20.4861</v>
      </c>
    </row>
    <row r="210" spans="1:6" x14ac:dyDescent="0.3">
      <c r="A210" s="2">
        <f t="shared" si="3"/>
        <v>46053</v>
      </c>
      <c r="B210" s="3">
        <f t="shared" si="4"/>
        <v>3.3541666666666732</v>
      </c>
      <c r="C210" s="7">
        <v>21.5549</v>
      </c>
      <c r="D210" s="7">
        <v>22.6539</v>
      </c>
      <c r="E210" s="7">
        <v>21.731300000000001</v>
      </c>
      <c r="F210" s="7">
        <v>20.4983</v>
      </c>
    </row>
    <row r="211" spans="1:6" x14ac:dyDescent="0.3">
      <c r="A211" s="2">
        <f t="shared" si="3"/>
        <v>46053</v>
      </c>
      <c r="B211" s="3">
        <f t="shared" si="4"/>
        <v>3.3750000000000067</v>
      </c>
      <c r="C211" s="7">
        <v>21.5564</v>
      </c>
      <c r="D211" s="7">
        <v>22.776599999999998</v>
      </c>
      <c r="E211" s="7">
        <v>21.647400000000001</v>
      </c>
      <c r="F211" s="7">
        <v>20.502600000000001</v>
      </c>
    </row>
    <row r="212" spans="1:6" x14ac:dyDescent="0.3">
      <c r="A212" s="2">
        <f t="shared" si="3"/>
        <v>46053</v>
      </c>
      <c r="B212" s="3">
        <f t="shared" si="4"/>
        <v>3.3958333333333401</v>
      </c>
      <c r="C212" s="7">
        <v>23.7882</v>
      </c>
      <c r="D212" s="7">
        <v>25.1724</v>
      </c>
      <c r="E212" s="7">
        <v>23.737100000000002</v>
      </c>
      <c r="F212" s="7">
        <v>22.586500000000001</v>
      </c>
    </row>
    <row r="213" spans="1:6" x14ac:dyDescent="0.3">
      <c r="A213" s="2">
        <f t="shared" si="3"/>
        <v>46053</v>
      </c>
      <c r="B213" s="3">
        <f t="shared" si="4"/>
        <v>3.4166666666666736</v>
      </c>
      <c r="C213" s="7">
        <v>24.042200000000001</v>
      </c>
      <c r="D213" s="7">
        <v>25.488199999999999</v>
      </c>
      <c r="E213" s="7">
        <v>24.086300000000001</v>
      </c>
      <c r="F213" s="7">
        <v>22.822700000000001</v>
      </c>
    </row>
    <row r="214" spans="1:6" x14ac:dyDescent="0.3">
      <c r="A214" s="2">
        <f t="shared" si="3"/>
        <v>46053</v>
      </c>
      <c r="B214" s="3">
        <f t="shared" si="4"/>
        <v>3.4375000000000071</v>
      </c>
      <c r="C214" s="7">
        <v>24.365500000000001</v>
      </c>
      <c r="D214" s="7">
        <v>25.808800000000002</v>
      </c>
      <c r="E214" s="7">
        <v>24.607500000000002</v>
      </c>
      <c r="F214" s="7">
        <v>23.164400000000001</v>
      </c>
    </row>
    <row r="215" spans="1:6" x14ac:dyDescent="0.3">
      <c r="A215" s="2">
        <f t="shared" si="3"/>
        <v>46053</v>
      </c>
      <c r="B215" s="3">
        <f t="shared" si="4"/>
        <v>3.4583333333333406</v>
      </c>
      <c r="C215" s="7">
        <v>24.398299999999999</v>
      </c>
      <c r="D215" s="7">
        <v>25.882100000000001</v>
      </c>
      <c r="E215" s="7">
        <v>24.6022</v>
      </c>
      <c r="F215" s="7">
        <v>23.180499999999999</v>
      </c>
    </row>
    <row r="216" spans="1:6" x14ac:dyDescent="0.3">
      <c r="A216" s="2">
        <f t="shared" si="3"/>
        <v>46053</v>
      </c>
      <c r="B216" s="3">
        <f t="shared" si="4"/>
        <v>3.4791666666666741</v>
      </c>
      <c r="C216" s="7">
        <v>24.3887</v>
      </c>
      <c r="D216" s="7">
        <v>25.872499999999999</v>
      </c>
      <c r="E216" s="7">
        <v>24.5444</v>
      </c>
      <c r="F216" s="7">
        <v>23.155200000000001</v>
      </c>
    </row>
    <row r="217" spans="1:6" x14ac:dyDescent="0.3">
      <c r="A217" s="2">
        <f t="shared" si="3"/>
        <v>46053</v>
      </c>
      <c r="B217" s="3">
        <f t="shared" si="4"/>
        <v>3.5000000000000075</v>
      </c>
      <c r="C217" s="7">
        <v>24.365500000000001</v>
      </c>
      <c r="D217" s="7">
        <v>25.846900000000002</v>
      </c>
      <c r="E217" s="7">
        <v>24.501000000000001</v>
      </c>
      <c r="F217" s="7">
        <v>23.113900000000001</v>
      </c>
    </row>
    <row r="218" spans="1:6" x14ac:dyDescent="0.3">
      <c r="A218" s="2">
        <f t="shared" si="3"/>
        <v>46053</v>
      </c>
      <c r="B218" s="3">
        <f t="shared" si="4"/>
        <v>3.520833333333341</v>
      </c>
      <c r="C218" s="7">
        <v>24.384499999999999</v>
      </c>
      <c r="D218" s="7">
        <v>25.8552</v>
      </c>
      <c r="E218" s="7">
        <v>24.613499999999998</v>
      </c>
      <c r="F218" s="7">
        <v>23.135999999999999</v>
      </c>
    </row>
    <row r="219" spans="1:6" x14ac:dyDescent="0.3">
      <c r="A219" s="2">
        <f t="shared" si="3"/>
        <v>46053</v>
      </c>
      <c r="B219" s="3">
        <f t="shared" si="4"/>
        <v>3.5416666666666745</v>
      </c>
      <c r="C219" s="7">
        <v>24.081600000000002</v>
      </c>
      <c r="D219" s="7">
        <v>25.464700000000001</v>
      </c>
      <c r="E219" s="7">
        <v>24.273399999999999</v>
      </c>
      <c r="F219" s="7">
        <v>22.8232</v>
      </c>
    </row>
    <row r="220" spans="1:6" x14ac:dyDescent="0.3">
      <c r="A220" s="2">
        <f t="shared" si="3"/>
        <v>46053</v>
      </c>
      <c r="B220" s="3">
        <f t="shared" si="4"/>
        <v>3.562500000000008</v>
      </c>
      <c r="C220" s="7">
        <v>23.881599999999999</v>
      </c>
      <c r="D220" s="7">
        <v>25.172999999999998</v>
      </c>
      <c r="E220" s="7">
        <v>23.936900000000001</v>
      </c>
      <c r="F220" s="7">
        <v>22.6129</v>
      </c>
    </row>
    <row r="221" spans="1:6" x14ac:dyDescent="0.3">
      <c r="A221" s="2">
        <f t="shared" si="3"/>
        <v>46053</v>
      </c>
      <c r="B221" s="3">
        <f t="shared" si="4"/>
        <v>3.5833333333333415</v>
      </c>
      <c r="C221" s="7">
        <v>23.984200000000001</v>
      </c>
      <c r="D221" s="7">
        <v>25.267600000000002</v>
      </c>
      <c r="E221" s="7">
        <v>24.196899999999999</v>
      </c>
      <c r="F221" s="7">
        <v>22.713799999999999</v>
      </c>
    </row>
    <row r="222" spans="1:6" x14ac:dyDescent="0.3">
      <c r="A222" s="2">
        <f t="shared" si="3"/>
        <v>46053</v>
      </c>
      <c r="B222" s="3">
        <f t="shared" si="4"/>
        <v>3.604166666666675</v>
      </c>
      <c r="C222" s="7">
        <v>24.062000000000001</v>
      </c>
      <c r="D222" s="7">
        <v>25.3508</v>
      </c>
      <c r="E222" s="7">
        <v>24.510100000000001</v>
      </c>
      <c r="F222" s="7">
        <v>22.841899999999999</v>
      </c>
    </row>
    <row r="223" spans="1:6" x14ac:dyDescent="0.3">
      <c r="A223" s="2">
        <f t="shared" si="3"/>
        <v>46053</v>
      </c>
      <c r="B223" s="3">
        <f t="shared" si="4"/>
        <v>3.6250000000000084</v>
      </c>
      <c r="C223" s="7">
        <v>24.381</v>
      </c>
      <c r="D223" s="7">
        <v>25.6814</v>
      </c>
      <c r="E223" s="7">
        <v>24.893899999999999</v>
      </c>
      <c r="F223" s="7">
        <v>23.1568</v>
      </c>
    </row>
    <row r="224" spans="1:6" x14ac:dyDescent="0.3">
      <c r="A224" s="2">
        <f t="shared" si="3"/>
        <v>46053</v>
      </c>
      <c r="B224" s="3">
        <f t="shared" si="4"/>
        <v>3.6458333333333419</v>
      </c>
      <c r="C224" s="7">
        <v>24.0566</v>
      </c>
      <c r="D224" s="7">
        <v>25.326799999999999</v>
      </c>
      <c r="E224" s="7">
        <v>24.6357</v>
      </c>
      <c r="F224" s="7">
        <v>22.872900000000001</v>
      </c>
    </row>
    <row r="225" spans="1:6" x14ac:dyDescent="0.3">
      <c r="A225" s="2">
        <f t="shared" si="3"/>
        <v>46053</v>
      </c>
      <c r="B225" s="3">
        <f t="shared" si="4"/>
        <v>3.6666666666666754</v>
      </c>
      <c r="C225" s="7">
        <v>24.042400000000001</v>
      </c>
      <c r="D225" s="7">
        <v>25.279199999999999</v>
      </c>
      <c r="E225" s="7">
        <v>24.686199999999999</v>
      </c>
      <c r="F225" s="7">
        <v>22.8672</v>
      </c>
    </row>
    <row r="226" spans="1:6" x14ac:dyDescent="0.3">
      <c r="A226" s="2">
        <f t="shared" si="3"/>
        <v>46053</v>
      </c>
      <c r="B226" s="3">
        <f t="shared" si="4"/>
        <v>3.6875000000000089</v>
      </c>
      <c r="C226" s="7">
        <v>24.044499999999999</v>
      </c>
      <c r="D226" s="7">
        <v>25.3185</v>
      </c>
      <c r="E226" s="7">
        <v>24.9054</v>
      </c>
      <c r="F226" s="7">
        <v>22.887599999999999</v>
      </c>
    </row>
    <row r="227" spans="1:6" x14ac:dyDescent="0.3">
      <c r="A227" s="2">
        <f t="shared" ref="A227:A290" si="5">+A179+1</f>
        <v>46053</v>
      </c>
      <c r="B227" s="3">
        <f t="shared" si="4"/>
        <v>3.7083333333333424</v>
      </c>
      <c r="C227" s="7">
        <v>24.383600000000001</v>
      </c>
      <c r="D227" s="7">
        <v>25.687200000000001</v>
      </c>
      <c r="E227" s="7">
        <v>25.565300000000001</v>
      </c>
      <c r="F227" s="7">
        <v>23.2805</v>
      </c>
    </row>
    <row r="228" spans="1:6" x14ac:dyDescent="0.3">
      <c r="A228" s="2">
        <f t="shared" si="5"/>
        <v>46053</v>
      </c>
      <c r="B228" s="3">
        <f t="shared" si="4"/>
        <v>3.7291666666666758</v>
      </c>
      <c r="C228" s="7">
        <v>24.3901</v>
      </c>
      <c r="D228" s="7">
        <v>25.6723</v>
      </c>
      <c r="E228" s="7">
        <v>25.738299999999999</v>
      </c>
      <c r="F228" s="7">
        <v>23.274000000000001</v>
      </c>
    </row>
    <row r="229" spans="1:6" x14ac:dyDescent="0.3">
      <c r="A229" s="2">
        <f t="shared" si="5"/>
        <v>46053</v>
      </c>
      <c r="B229" s="3">
        <f t="shared" si="4"/>
        <v>3.7500000000000093</v>
      </c>
      <c r="C229" s="7">
        <v>24.351199999999999</v>
      </c>
      <c r="D229" s="7">
        <v>25.563300000000002</v>
      </c>
      <c r="E229" s="7">
        <v>25.908100000000001</v>
      </c>
      <c r="F229" s="7">
        <v>23.2928</v>
      </c>
    </row>
    <row r="230" spans="1:6" x14ac:dyDescent="0.3">
      <c r="A230" s="2">
        <f t="shared" si="5"/>
        <v>46053</v>
      </c>
      <c r="B230" s="3">
        <f t="shared" si="4"/>
        <v>3.7708333333333428</v>
      </c>
      <c r="C230" s="7">
        <v>24.7135</v>
      </c>
      <c r="D230" s="7">
        <v>26.055399999999999</v>
      </c>
      <c r="E230" s="7">
        <v>26.465800000000002</v>
      </c>
      <c r="F230" s="7">
        <v>23.688700000000001</v>
      </c>
    </row>
    <row r="231" spans="1:6" x14ac:dyDescent="0.3">
      <c r="A231" s="2">
        <f t="shared" si="5"/>
        <v>46053</v>
      </c>
      <c r="B231" s="3">
        <f t="shared" si="4"/>
        <v>3.7916666666666763</v>
      </c>
      <c r="C231" s="7">
        <v>36.182000000000002</v>
      </c>
      <c r="D231" s="7">
        <v>38.2746</v>
      </c>
      <c r="E231" s="7">
        <v>38.761699999999998</v>
      </c>
      <c r="F231" s="7">
        <v>34.675899999999999</v>
      </c>
    </row>
    <row r="232" spans="1:6" x14ac:dyDescent="0.3">
      <c r="A232" s="2">
        <f t="shared" si="5"/>
        <v>46053</v>
      </c>
      <c r="B232" s="3">
        <f t="shared" si="4"/>
        <v>3.8125000000000098</v>
      </c>
      <c r="C232" s="7">
        <v>29.556799999999999</v>
      </c>
      <c r="D232" s="7">
        <v>31.366499999999998</v>
      </c>
      <c r="E232" s="7">
        <v>31.733899999999998</v>
      </c>
      <c r="F232" s="7">
        <v>28.3764</v>
      </c>
    </row>
    <row r="233" spans="1:6" x14ac:dyDescent="0.3">
      <c r="A233" s="2">
        <f t="shared" si="5"/>
        <v>46053</v>
      </c>
      <c r="B233" s="3">
        <f t="shared" si="4"/>
        <v>3.8333333333333433</v>
      </c>
      <c r="C233" s="7">
        <v>29.556799999999999</v>
      </c>
      <c r="D233" s="7">
        <v>31.354700000000001</v>
      </c>
      <c r="E233" s="7">
        <v>31.748899999999999</v>
      </c>
      <c r="F233" s="7">
        <v>28.387799999999999</v>
      </c>
    </row>
    <row r="234" spans="1:6" x14ac:dyDescent="0.3">
      <c r="A234" s="2">
        <f t="shared" si="5"/>
        <v>46053</v>
      </c>
      <c r="B234" s="3">
        <f t="shared" si="4"/>
        <v>3.8541666666666767</v>
      </c>
      <c r="C234" s="7">
        <v>32.002400000000002</v>
      </c>
      <c r="D234" s="7">
        <v>33.9345</v>
      </c>
      <c r="E234" s="7">
        <v>34.464399999999998</v>
      </c>
      <c r="F234" s="7">
        <v>30.7698</v>
      </c>
    </row>
    <row r="235" spans="1:6" x14ac:dyDescent="0.3">
      <c r="A235" s="2">
        <f t="shared" si="5"/>
        <v>46053</v>
      </c>
      <c r="B235" s="3">
        <f t="shared" si="4"/>
        <v>3.8750000000000102</v>
      </c>
      <c r="C235" s="7">
        <v>36.165700000000001</v>
      </c>
      <c r="D235" s="7">
        <v>38.247999999999998</v>
      </c>
      <c r="E235" s="7">
        <v>38.916200000000003</v>
      </c>
      <c r="F235" s="7">
        <v>34.755600000000001</v>
      </c>
    </row>
    <row r="236" spans="1:6" x14ac:dyDescent="0.3">
      <c r="A236" s="2">
        <f t="shared" si="5"/>
        <v>46053</v>
      </c>
      <c r="B236" s="3">
        <f t="shared" si="4"/>
        <v>3.8958333333333437</v>
      </c>
      <c r="C236" s="7">
        <v>36.145299999999999</v>
      </c>
      <c r="D236" s="7">
        <v>38.317999999999998</v>
      </c>
      <c r="E236" s="7">
        <v>38.928899999999999</v>
      </c>
      <c r="F236" s="7">
        <v>34.746499999999997</v>
      </c>
    </row>
    <row r="237" spans="1:6" x14ac:dyDescent="0.3">
      <c r="A237" s="2">
        <f t="shared" si="5"/>
        <v>46053</v>
      </c>
      <c r="B237" s="3">
        <f t="shared" si="4"/>
        <v>3.9166666666666772</v>
      </c>
      <c r="C237" s="7">
        <v>29.534400000000002</v>
      </c>
      <c r="D237" s="7">
        <v>31.1479</v>
      </c>
      <c r="E237" s="7">
        <v>31.757300000000001</v>
      </c>
      <c r="F237" s="7">
        <v>28.432600000000001</v>
      </c>
    </row>
    <row r="238" spans="1:6" x14ac:dyDescent="0.3">
      <c r="A238" s="2">
        <f t="shared" si="5"/>
        <v>46053</v>
      </c>
      <c r="B238" s="3">
        <f t="shared" si="4"/>
        <v>3.9375000000000107</v>
      </c>
      <c r="C238" s="7">
        <v>29.535299999999999</v>
      </c>
      <c r="D238" s="7">
        <v>31.0703</v>
      </c>
      <c r="E238" s="7">
        <v>31.814800000000002</v>
      </c>
      <c r="F238" s="7">
        <v>28.450199999999999</v>
      </c>
    </row>
    <row r="239" spans="1:6" x14ac:dyDescent="0.3">
      <c r="A239" s="2">
        <f t="shared" si="5"/>
        <v>46053</v>
      </c>
      <c r="B239" s="3">
        <f t="shared" si="4"/>
        <v>3.9583333333333441</v>
      </c>
      <c r="C239" s="7">
        <v>29.2483</v>
      </c>
      <c r="D239" s="7">
        <v>30.657399999999999</v>
      </c>
      <c r="E239" s="7">
        <v>31.488900000000001</v>
      </c>
      <c r="F239" s="7">
        <v>28.176600000000001</v>
      </c>
    </row>
    <row r="240" spans="1:6" x14ac:dyDescent="0.3">
      <c r="A240" s="2">
        <f t="shared" si="5"/>
        <v>46053</v>
      </c>
      <c r="B240" s="3">
        <f t="shared" si="4"/>
        <v>3.9791666666666776</v>
      </c>
      <c r="C240" s="7">
        <v>24.4054</v>
      </c>
      <c r="D240" s="7">
        <v>25.482199999999999</v>
      </c>
      <c r="E240" s="7">
        <v>26.177600000000002</v>
      </c>
      <c r="F240" s="7">
        <v>23.4651</v>
      </c>
    </row>
    <row r="241" spans="1:6" x14ac:dyDescent="0.3">
      <c r="A241" s="2">
        <f t="shared" si="5"/>
        <v>46053</v>
      </c>
      <c r="B241" s="3">
        <f t="shared" si="4"/>
        <v>4.0000000000000107</v>
      </c>
      <c r="C241" s="7">
        <v>24.37</v>
      </c>
      <c r="D241" s="7">
        <v>25.3705</v>
      </c>
      <c r="E241" s="7">
        <v>26.0961</v>
      </c>
      <c r="F241" s="7">
        <v>23.4175</v>
      </c>
    </row>
    <row r="242" spans="1:6" x14ac:dyDescent="0.3">
      <c r="A242" s="2">
        <f t="shared" si="5"/>
        <v>46054</v>
      </c>
      <c r="B242" s="3">
        <f t="shared" si="4"/>
        <v>4.0208333333333437</v>
      </c>
      <c r="C242" s="5">
        <v>29.533200000000001</v>
      </c>
      <c r="D242" s="5">
        <v>30.592700000000001</v>
      </c>
      <c r="E242" s="5">
        <v>31.533100000000001</v>
      </c>
      <c r="F242" s="5">
        <v>28.369700000000002</v>
      </c>
    </row>
    <row r="243" spans="1:6" x14ac:dyDescent="0.3">
      <c r="A243" s="2">
        <f t="shared" si="5"/>
        <v>46054</v>
      </c>
      <c r="B243" s="3">
        <f t="shared" si="4"/>
        <v>4.0416666666666767</v>
      </c>
      <c r="C243" s="5">
        <v>55.8245</v>
      </c>
      <c r="D243" s="5">
        <v>57.736499999999999</v>
      </c>
      <c r="E243" s="5">
        <v>59.558599999999998</v>
      </c>
      <c r="F243" s="5">
        <v>53.586300000000001</v>
      </c>
    </row>
    <row r="244" spans="1:6" x14ac:dyDescent="0.3">
      <c r="A244" s="2">
        <f t="shared" si="5"/>
        <v>46054</v>
      </c>
      <c r="B244" s="3">
        <f t="shared" ref="B244:B307" si="6">+B243+1/48</f>
        <v>4.0625000000000098</v>
      </c>
      <c r="C244" s="5">
        <v>45.390500000000003</v>
      </c>
      <c r="D244" s="5">
        <v>46.933900000000001</v>
      </c>
      <c r="E244" s="5">
        <v>48.488599999999998</v>
      </c>
      <c r="F244" s="5">
        <v>43.614199999999997</v>
      </c>
    </row>
    <row r="245" spans="1:6" x14ac:dyDescent="0.3">
      <c r="A245" s="2">
        <f t="shared" si="5"/>
        <v>46054</v>
      </c>
      <c r="B245" s="3">
        <f t="shared" si="6"/>
        <v>4.0833333333333428</v>
      </c>
      <c r="C245" s="5">
        <v>45.329000000000001</v>
      </c>
      <c r="D245" s="5">
        <v>46.800600000000003</v>
      </c>
      <c r="E245" s="5">
        <v>48.4206</v>
      </c>
      <c r="F245" s="5">
        <v>43.571199999999997</v>
      </c>
    </row>
    <row r="246" spans="1:6" x14ac:dyDescent="0.3">
      <c r="A246" s="2">
        <f t="shared" si="5"/>
        <v>46054</v>
      </c>
      <c r="B246" s="3">
        <f t="shared" si="6"/>
        <v>4.1041666666666758</v>
      </c>
      <c r="C246" s="5">
        <v>25.3795</v>
      </c>
      <c r="D246" s="5">
        <v>26.179099999999998</v>
      </c>
      <c r="E246" s="5">
        <v>27.116399999999999</v>
      </c>
      <c r="F246" s="5">
        <v>24.410599999999999</v>
      </c>
    </row>
    <row r="247" spans="1:6" x14ac:dyDescent="0.3">
      <c r="A247" s="2">
        <f t="shared" si="5"/>
        <v>46054</v>
      </c>
      <c r="B247" s="3">
        <f t="shared" si="6"/>
        <v>4.1250000000000089</v>
      </c>
      <c r="C247" s="5">
        <v>45.373100000000001</v>
      </c>
      <c r="D247" s="5">
        <v>46.7654</v>
      </c>
      <c r="E247" s="5">
        <v>48.498699999999999</v>
      </c>
      <c r="F247" s="5">
        <v>43.627699999999997</v>
      </c>
    </row>
    <row r="248" spans="1:6" x14ac:dyDescent="0.3">
      <c r="A248" s="2">
        <f t="shared" si="5"/>
        <v>46054</v>
      </c>
      <c r="B248" s="3">
        <f t="shared" si="6"/>
        <v>4.1458333333333419</v>
      </c>
      <c r="C248" s="5">
        <v>55.821899999999999</v>
      </c>
      <c r="D248" s="5">
        <v>57.543300000000002</v>
      </c>
      <c r="E248" s="5">
        <v>59.661999999999999</v>
      </c>
      <c r="F248" s="5">
        <v>53.661200000000001</v>
      </c>
    </row>
    <row r="249" spans="1:6" x14ac:dyDescent="0.3">
      <c r="A249" s="2">
        <f t="shared" si="5"/>
        <v>46054</v>
      </c>
      <c r="B249" s="3">
        <f t="shared" si="6"/>
        <v>4.166666666666675</v>
      </c>
      <c r="C249" s="5">
        <v>45.195799999999998</v>
      </c>
      <c r="D249" s="5">
        <v>46.588200000000001</v>
      </c>
      <c r="E249" s="5">
        <v>48.350900000000003</v>
      </c>
      <c r="F249" s="5">
        <v>43.491500000000002</v>
      </c>
    </row>
    <row r="250" spans="1:6" x14ac:dyDescent="0.3">
      <c r="A250" s="2">
        <f t="shared" si="5"/>
        <v>46054</v>
      </c>
      <c r="B250" s="3">
        <f t="shared" si="6"/>
        <v>4.187500000000008</v>
      </c>
      <c r="C250" s="5">
        <v>45.448700000000002</v>
      </c>
      <c r="D250" s="5">
        <v>46.722900000000003</v>
      </c>
      <c r="E250" s="5">
        <v>48.552599999999998</v>
      </c>
      <c r="F250" s="5">
        <v>43.682600000000001</v>
      </c>
    </row>
    <row r="251" spans="1:6" x14ac:dyDescent="0.3">
      <c r="A251" s="2">
        <f t="shared" si="5"/>
        <v>46054</v>
      </c>
      <c r="B251" s="3">
        <f t="shared" si="6"/>
        <v>4.208333333333341</v>
      </c>
      <c r="C251" s="5">
        <v>45.453200000000002</v>
      </c>
      <c r="D251" s="5">
        <v>46.8992</v>
      </c>
      <c r="E251" s="5">
        <v>48.508200000000002</v>
      </c>
      <c r="F251" s="5">
        <v>43.676499999999997</v>
      </c>
    </row>
    <row r="252" spans="1:6" x14ac:dyDescent="0.3">
      <c r="A252" s="2">
        <f t="shared" si="5"/>
        <v>46054</v>
      </c>
      <c r="B252" s="3">
        <f t="shared" si="6"/>
        <v>4.2291666666666741</v>
      </c>
      <c r="C252" s="5">
        <v>23.7135</v>
      </c>
      <c r="D252" s="5">
        <v>24.465699999999998</v>
      </c>
      <c r="E252" s="5">
        <v>25.232399999999998</v>
      </c>
      <c r="F252" s="5">
        <v>22.784800000000001</v>
      </c>
    </row>
    <row r="253" spans="1:6" x14ac:dyDescent="0.3">
      <c r="A253" s="2">
        <f t="shared" si="5"/>
        <v>46054</v>
      </c>
      <c r="B253" s="3">
        <f t="shared" si="6"/>
        <v>4.2500000000000071</v>
      </c>
      <c r="C253" s="5">
        <v>22.707699999999999</v>
      </c>
      <c r="D253" s="5">
        <v>23.4437</v>
      </c>
      <c r="E253" s="5">
        <v>24.021100000000001</v>
      </c>
      <c r="F253" s="5">
        <v>21.7851</v>
      </c>
    </row>
    <row r="254" spans="1:6" x14ac:dyDescent="0.3">
      <c r="A254" s="2">
        <f t="shared" si="5"/>
        <v>46054</v>
      </c>
      <c r="B254" s="3">
        <f t="shared" si="6"/>
        <v>4.2708333333333401</v>
      </c>
      <c r="C254" s="5">
        <v>0.74399999999999999</v>
      </c>
      <c r="D254" s="5">
        <v>0.76670000000000005</v>
      </c>
      <c r="E254" s="5">
        <v>0.7772</v>
      </c>
      <c r="F254" s="5">
        <v>0.71199999999999997</v>
      </c>
    </row>
    <row r="255" spans="1:6" x14ac:dyDescent="0.3">
      <c r="A255" s="2">
        <f t="shared" si="5"/>
        <v>46054</v>
      </c>
      <c r="B255" s="3">
        <f t="shared" si="6"/>
        <v>4.2916666666666732</v>
      </c>
      <c r="C255" s="5">
        <v>0.72019999999999995</v>
      </c>
      <c r="D255" s="5">
        <v>0.74250000000000005</v>
      </c>
      <c r="E255" s="5">
        <v>0.7429</v>
      </c>
      <c r="F255" s="5">
        <v>0.68820000000000003</v>
      </c>
    </row>
    <row r="256" spans="1:6" x14ac:dyDescent="0.3">
      <c r="A256" s="2">
        <f t="shared" si="5"/>
        <v>46054</v>
      </c>
      <c r="B256" s="3">
        <f t="shared" si="6"/>
        <v>4.3125000000000062</v>
      </c>
      <c r="C256" s="5">
        <v>0.70669999999999999</v>
      </c>
      <c r="D256" s="5">
        <v>0.73040000000000005</v>
      </c>
      <c r="E256" s="5">
        <v>0.72370000000000001</v>
      </c>
      <c r="F256" s="5">
        <v>0.67510000000000003</v>
      </c>
    </row>
    <row r="257" spans="1:6" x14ac:dyDescent="0.3">
      <c r="A257" s="2">
        <f t="shared" si="5"/>
        <v>46054</v>
      </c>
      <c r="B257" s="3">
        <f t="shared" si="6"/>
        <v>4.3333333333333393</v>
      </c>
      <c r="C257" s="5">
        <v>0.72260000000000002</v>
      </c>
      <c r="D257" s="5">
        <v>0.76170000000000004</v>
      </c>
      <c r="E257" s="5">
        <v>0.73109999999999997</v>
      </c>
      <c r="F257" s="5">
        <v>0.6875</v>
      </c>
    </row>
    <row r="258" spans="1:6" x14ac:dyDescent="0.3">
      <c r="A258" s="2">
        <f t="shared" si="5"/>
        <v>46054</v>
      </c>
      <c r="B258" s="3">
        <f t="shared" si="6"/>
        <v>4.3541666666666723</v>
      </c>
      <c r="C258" s="5">
        <v>0.7329</v>
      </c>
      <c r="D258" s="5">
        <v>0.77139999999999997</v>
      </c>
      <c r="E258" s="5">
        <v>0.73219999999999996</v>
      </c>
      <c r="F258" s="5">
        <v>0.68799999999999994</v>
      </c>
    </row>
    <row r="259" spans="1:6" x14ac:dyDescent="0.3">
      <c r="A259" s="2">
        <f t="shared" si="5"/>
        <v>46054</v>
      </c>
      <c r="B259" s="3">
        <f t="shared" si="6"/>
        <v>4.3750000000000053</v>
      </c>
      <c r="C259" s="5">
        <v>0.74150000000000005</v>
      </c>
      <c r="D259" s="5">
        <v>0.78320000000000001</v>
      </c>
      <c r="E259" s="5">
        <v>0.74009999999999998</v>
      </c>
      <c r="F259" s="5">
        <v>0.69589999999999996</v>
      </c>
    </row>
    <row r="260" spans="1:6" x14ac:dyDescent="0.3">
      <c r="A260" s="2">
        <f t="shared" si="5"/>
        <v>46054</v>
      </c>
      <c r="B260" s="3">
        <f t="shared" si="6"/>
        <v>4.3958333333333384</v>
      </c>
      <c r="C260" s="5">
        <v>0.7752</v>
      </c>
      <c r="D260" s="5">
        <v>0.81720000000000004</v>
      </c>
      <c r="E260" s="5">
        <v>0.76749999999999996</v>
      </c>
      <c r="F260" s="5">
        <v>0.72519999999999996</v>
      </c>
    </row>
    <row r="261" spans="1:6" x14ac:dyDescent="0.3">
      <c r="A261" s="2">
        <f t="shared" si="5"/>
        <v>46054</v>
      </c>
      <c r="B261" s="3">
        <f t="shared" si="6"/>
        <v>4.4166666666666714</v>
      </c>
      <c r="C261" s="5">
        <v>0.76519999999999999</v>
      </c>
      <c r="D261" s="5">
        <v>0.80869999999999997</v>
      </c>
      <c r="E261" s="5">
        <v>0.75790000000000002</v>
      </c>
      <c r="F261" s="5">
        <v>0.71560000000000001</v>
      </c>
    </row>
    <row r="262" spans="1:6" x14ac:dyDescent="0.3">
      <c r="A262" s="2">
        <f t="shared" si="5"/>
        <v>46054</v>
      </c>
      <c r="B262" s="3">
        <f t="shared" si="6"/>
        <v>4.4375000000000044</v>
      </c>
      <c r="C262" s="5">
        <v>0.76190000000000002</v>
      </c>
      <c r="D262" s="5">
        <v>0.80559999999999998</v>
      </c>
      <c r="E262" s="5">
        <v>0.75409999999999999</v>
      </c>
      <c r="F262" s="5">
        <v>0.71250000000000002</v>
      </c>
    </row>
    <row r="263" spans="1:6" x14ac:dyDescent="0.3">
      <c r="A263" s="2">
        <f t="shared" si="5"/>
        <v>46054</v>
      </c>
      <c r="B263" s="3">
        <f t="shared" si="6"/>
        <v>4.4583333333333375</v>
      </c>
      <c r="C263" s="5">
        <v>21.7319</v>
      </c>
      <c r="D263" s="5">
        <v>23.004200000000001</v>
      </c>
      <c r="E263" s="5">
        <v>21.4832</v>
      </c>
      <c r="F263" s="5">
        <v>20.301300000000001</v>
      </c>
    </row>
    <row r="264" spans="1:6" x14ac:dyDescent="0.3">
      <c r="A264" s="2">
        <f t="shared" si="5"/>
        <v>46054</v>
      </c>
      <c r="B264" s="3">
        <f t="shared" si="6"/>
        <v>4.4791666666666705</v>
      </c>
      <c r="C264" s="5">
        <v>22.9863</v>
      </c>
      <c r="D264" s="5">
        <v>24.409700000000001</v>
      </c>
      <c r="E264" s="5">
        <v>22.695</v>
      </c>
      <c r="F264" s="5">
        <v>21.4483</v>
      </c>
    </row>
    <row r="265" spans="1:6" x14ac:dyDescent="0.3">
      <c r="A265" s="2">
        <f t="shared" si="5"/>
        <v>46054</v>
      </c>
      <c r="B265" s="3">
        <f t="shared" si="6"/>
        <v>4.5000000000000036</v>
      </c>
      <c r="C265" s="5">
        <v>22.997499999999999</v>
      </c>
      <c r="D265" s="5">
        <v>24.413699999999999</v>
      </c>
      <c r="E265" s="5">
        <v>22.7409</v>
      </c>
      <c r="F265" s="5">
        <v>21.4574</v>
      </c>
    </row>
    <row r="266" spans="1:6" x14ac:dyDescent="0.3">
      <c r="A266" s="2">
        <f t="shared" si="5"/>
        <v>46054</v>
      </c>
      <c r="B266" s="3">
        <f t="shared" si="6"/>
        <v>4.5208333333333366</v>
      </c>
      <c r="C266" s="5">
        <v>23.005600000000001</v>
      </c>
      <c r="D266" s="5">
        <v>24.441700000000001</v>
      </c>
      <c r="E266" s="5">
        <v>22.723299999999998</v>
      </c>
      <c r="F266" s="5">
        <v>21.447900000000001</v>
      </c>
    </row>
    <row r="267" spans="1:6" x14ac:dyDescent="0.3">
      <c r="A267" s="2">
        <f t="shared" si="5"/>
        <v>46054</v>
      </c>
      <c r="B267" s="3">
        <f t="shared" si="6"/>
        <v>4.5416666666666696</v>
      </c>
      <c r="C267" s="5">
        <v>23.005600000000001</v>
      </c>
      <c r="D267" s="5">
        <v>24.348800000000001</v>
      </c>
      <c r="E267" s="5">
        <v>22.698899999999998</v>
      </c>
      <c r="F267" s="5">
        <v>21.4328</v>
      </c>
    </row>
    <row r="268" spans="1:6" x14ac:dyDescent="0.3">
      <c r="A268" s="2">
        <f t="shared" si="5"/>
        <v>46054</v>
      </c>
      <c r="B268" s="3">
        <f t="shared" si="6"/>
        <v>4.5625000000000027</v>
      </c>
      <c r="C268" s="5">
        <v>22.967500000000001</v>
      </c>
      <c r="D268" s="5">
        <v>24.2729</v>
      </c>
      <c r="E268" s="5">
        <v>22.672599999999999</v>
      </c>
      <c r="F268" s="5">
        <v>21.396899999999999</v>
      </c>
    </row>
    <row r="269" spans="1:6" x14ac:dyDescent="0.3">
      <c r="A269" s="2">
        <f t="shared" si="5"/>
        <v>46054</v>
      </c>
      <c r="B269" s="3">
        <f t="shared" si="6"/>
        <v>4.5833333333333357</v>
      </c>
      <c r="C269" s="5">
        <v>23.006799999999998</v>
      </c>
      <c r="D269" s="5">
        <v>24.3325</v>
      </c>
      <c r="E269" s="5">
        <v>22.797799999999999</v>
      </c>
      <c r="F269" s="5">
        <v>21.445799999999998</v>
      </c>
    </row>
    <row r="270" spans="1:6" x14ac:dyDescent="0.3">
      <c r="A270" s="2">
        <f t="shared" si="5"/>
        <v>46054</v>
      </c>
      <c r="B270" s="3">
        <f t="shared" si="6"/>
        <v>4.6041666666666687</v>
      </c>
      <c r="C270" s="5">
        <v>22.988399999999999</v>
      </c>
      <c r="D270" s="5">
        <v>24.22</v>
      </c>
      <c r="E270" s="5">
        <v>22.8978</v>
      </c>
      <c r="F270" s="5">
        <v>21.463699999999999</v>
      </c>
    </row>
    <row r="271" spans="1:6" x14ac:dyDescent="0.3">
      <c r="A271" s="2">
        <f t="shared" si="5"/>
        <v>46054</v>
      </c>
      <c r="B271" s="3">
        <f t="shared" si="6"/>
        <v>4.6250000000000018</v>
      </c>
      <c r="C271" s="5">
        <v>22.9831</v>
      </c>
      <c r="D271" s="5">
        <v>24.209900000000001</v>
      </c>
      <c r="E271" s="5">
        <v>22.9833</v>
      </c>
      <c r="F271" s="5">
        <v>21.4833</v>
      </c>
    </row>
    <row r="272" spans="1:6" x14ac:dyDescent="0.3">
      <c r="A272" s="2">
        <f t="shared" si="5"/>
        <v>46054</v>
      </c>
      <c r="B272" s="3">
        <f t="shared" si="6"/>
        <v>4.6458333333333348</v>
      </c>
      <c r="C272" s="5">
        <v>23.0273</v>
      </c>
      <c r="D272" s="5">
        <v>24.237100000000002</v>
      </c>
      <c r="E272" s="5">
        <v>23.159400000000002</v>
      </c>
      <c r="F272" s="5">
        <v>21.549900000000001</v>
      </c>
    </row>
    <row r="273" spans="1:6" x14ac:dyDescent="0.3">
      <c r="A273" s="2">
        <f t="shared" si="5"/>
        <v>46054</v>
      </c>
      <c r="B273" s="3">
        <f t="shared" si="6"/>
        <v>4.6666666666666679</v>
      </c>
      <c r="C273" s="5">
        <v>22.934799999999999</v>
      </c>
      <c r="D273" s="5">
        <v>24.1584</v>
      </c>
      <c r="E273" s="5">
        <v>23.279800000000002</v>
      </c>
      <c r="F273" s="5">
        <v>21.531600000000001</v>
      </c>
    </row>
    <row r="274" spans="1:6" x14ac:dyDescent="0.3">
      <c r="A274" s="2">
        <f t="shared" si="5"/>
        <v>46054</v>
      </c>
      <c r="B274" s="3">
        <f t="shared" si="6"/>
        <v>4.6875000000000009</v>
      </c>
      <c r="C274" s="5">
        <v>23.8157</v>
      </c>
      <c r="D274" s="5">
        <v>24.9114</v>
      </c>
      <c r="E274" s="5">
        <v>24.644300000000001</v>
      </c>
      <c r="F274" s="5">
        <v>22.564399999999999</v>
      </c>
    </row>
    <row r="275" spans="1:6" x14ac:dyDescent="0.3">
      <c r="A275" s="2">
        <f t="shared" si="5"/>
        <v>46054</v>
      </c>
      <c r="B275" s="3">
        <f t="shared" si="6"/>
        <v>4.7083333333333339</v>
      </c>
      <c r="C275" s="5">
        <v>24.7317</v>
      </c>
      <c r="D275" s="5">
        <v>25.9101</v>
      </c>
      <c r="E275" s="5">
        <v>25.9024</v>
      </c>
      <c r="F275" s="5">
        <v>23.545000000000002</v>
      </c>
    </row>
    <row r="276" spans="1:6" x14ac:dyDescent="0.3">
      <c r="A276" s="2">
        <f t="shared" si="5"/>
        <v>46054</v>
      </c>
      <c r="B276" s="3">
        <f t="shared" si="6"/>
        <v>4.729166666666667</v>
      </c>
      <c r="C276" s="5">
        <v>24.7288</v>
      </c>
      <c r="D276" s="5">
        <v>25.517099999999999</v>
      </c>
      <c r="E276" s="5">
        <v>26.071899999999999</v>
      </c>
      <c r="F276" s="5">
        <v>23.563700000000001</v>
      </c>
    </row>
    <row r="277" spans="1:6" x14ac:dyDescent="0.3">
      <c r="A277" s="2">
        <f t="shared" si="5"/>
        <v>46054</v>
      </c>
      <c r="B277" s="3">
        <f t="shared" si="6"/>
        <v>4.75</v>
      </c>
      <c r="C277" s="5">
        <v>29.598800000000001</v>
      </c>
      <c r="D277" s="5">
        <v>30.506</v>
      </c>
      <c r="E277" s="5">
        <v>31.3948</v>
      </c>
      <c r="F277" s="5">
        <v>28.248899999999999</v>
      </c>
    </row>
    <row r="278" spans="1:6" x14ac:dyDescent="0.3">
      <c r="A278" s="2">
        <f t="shared" si="5"/>
        <v>46054</v>
      </c>
      <c r="B278" s="3">
        <f t="shared" si="6"/>
        <v>4.770833333333333</v>
      </c>
      <c r="C278" s="5">
        <v>30.003699999999998</v>
      </c>
      <c r="D278" s="5">
        <v>31.122299999999999</v>
      </c>
      <c r="E278" s="5">
        <v>32.0625</v>
      </c>
      <c r="F278" s="5">
        <v>28.691500000000001</v>
      </c>
    </row>
    <row r="279" spans="1:6" x14ac:dyDescent="0.3">
      <c r="A279" s="2">
        <f t="shared" si="5"/>
        <v>46054</v>
      </c>
      <c r="B279" s="3">
        <f t="shared" si="6"/>
        <v>4.7916666666666661</v>
      </c>
      <c r="C279" s="5">
        <v>30.168299999999999</v>
      </c>
      <c r="D279" s="5">
        <v>31.535299999999999</v>
      </c>
      <c r="E279" s="5">
        <v>32.2926</v>
      </c>
      <c r="F279" s="5">
        <v>28.871500000000001</v>
      </c>
    </row>
    <row r="280" spans="1:6" x14ac:dyDescent="0.3">
      <c r="A280" s="2">
        <f t="shared" si="5"/>
        <v>46054</v>
      </c>
      <c r="B280" s="3">
        <f t="shared" si="6"/>
        <v>4.8124999999999991</v>
      </c>
      <c r="C280" s="5">
        <v>32.676200000000001</v>
      </c>
      <c r="D280" s="5">
        <v>34.302399999999999</v>
      </c>
      <c r="E280" s="5">
        <v>35.036299999999997</v>
      </c>
      <c r="F280" s="5">
        <v>31.2911</v>
      </c>
    </row>
    <row r="281" spans="1:6" x14ac:dyDescent="0.3">
      <c r="A281" s="2">
        <f t="shared" si="5"/>
        <v>46054</v>
      </c>
      <c r="B281" s="3">
        <f t="shared" si="6"/>
        <v>4.8333333333333321</v>
      </c>
      <c r="C281" s="5">
        <v>36.628</v>
      </c>
      <c r="D281" s="5">
        <v>38.429400000000001</v>
      </c>
      <c r="E281" s="5">
        <v>39.318100000000001</v>
      </c>
      <c r="F281" s="5">
        <v>35.088200000000001</v>
      </c>
    </row>
    <row r="282" spans="1:6" x14ac:dyDescent="0.3">
      <c r="A282" s="2">
        <f t="shared" si="5"/>
        <v>46054</v>
      </c>
      <c r="B282" s="3">
        <f t="shared" si="6"/>
        <v>4.8541666666666652</v>
      </c>
      <c r="C282" s="5">
        <v>40.035200000000003</v>
      </c>
      <c r="D282" s="5">
        <v>41.970300000000002</v>
      </c>
      <c r="E282" s="5">
        <v>43.007899999999999</v>
      </c>
      <c r="F282" s="5">
        <v>38.382899999999999</v>
      </c>
    </row>
    <row r="283" spans="1:6" x14ac:dyDescent="0.3">
      <c r="A283" s="2">
        <f t="shared" si="5"/>
        <v>46054</v>
      </c>
      <c r="B283" s="3">
        <f t="shared" si="6"/>
        <v>4.8749999999999982</v>
      </c>
      <c r="C283" s="5">
        <v>32.670400000000001</v>
      </c>
      <c r="D283" s="5">
        <v>34.202199999999998</v>
      </c>
      <c r="E283" s="5">
        <v>35.133499999999998</v>
      </c>
      <c r="F283" s="5">
        <v>31.320599999999999</v>
      </c>
    </row>
    <row r="284" spans="1:6" x14ac:dyDescent="0.3">
      <c r="A284" s="2">
        <f t="shared" si="5"/>
        <v>46054</v>
      </c>
      <c r="B284" s="3">
        <f t="shared" si="6"/>
        <v>4.8958333333333313</v>
      </c>
      <c r="C284" s="5">
        <v>32.640700000000002</v>
      </c>
      <c r="D284" s="5">
        <v>34.115600000000001</v>
      </c>
      <c r="E284" s="5">
        <v>35.070700000000002</v>
      </c>
      <c r="F284" s="5">
        <v>31.285299999999999</v>
      </c>
    </row>
    <row r="285" spans="1:6" x14ac:dyDescent="0.3">
      <c r="A285" s="2">
        <f t="shared" si="5"/>
        <v>46054</v>
      </c>
      <c r="B285" s="3">
        <f t="shared" si="6"/>
        <v>4.9166666666666643</v>
      </c>
      <c r="C285" s="5">
        <v>32.607900000000001</v>
      </c>
      <c r="D285" s="5">
        <v>33.955100000000002</v>
      </c>
      <c r="E285" s="5">
        <v>34.968299999999999</v>
      </c>
      <c r="F285" s="5">
        <v>31.294499999999999</v>
      </c>
    </row>
    <row r="286" spans="1:6" x14ac:dyDescent="0.3">
      <c r="A286" s="2">
        <f t="shared" si="5"/>
        <v>46054</v>
      </c>
      <c r="B286" s="3">
        <f t="shared" si="6"/>
        <v>4.9374999999999973</v>
      </c>
      <c r="C286" s="5">
        <v>30.136199999999999</v>
      </c>
      <c r="D286" s="5">
        <v>31.3215</v>
      </c>
      <c r="E286" s="5">
        <v>32.347299999999997</v>
      </c>
      <c r="F286" s="5">
        <v>28.958300000000001</v>
      </c>
    </row>
    <row r="287" spans="1:6" x14ac:dyDescent="0.3">
      <c r="A287" s="2">
        <f t="shared" si="5"/>
        <v>46054</v>
      </c>
      <c r="B287" s="3">
        <f t="shared" si="6"/>
        <v>4.9583333333333304</v>
      </c>
      <c r="C287" s="5">
        <v>30.311299999999999</v>
      </c>
      <c r="D287" s="5">
        <v>31.4297</v>
      </c>
      <c r="E287" s="5">
        <v>32.526299999999999</v>
      </c>
      <c r="F287" s="5">
        <v>29.108599999999999</v>
      </c>
    </row>
    <row r="288" spans="1:6" x14ac:dyDescent="0.3">
      <c r="A288" s="2">
        <f t="shared" si="5"/>
        <v>46054</v>
      </c>
      <c r="B288" s="3">
        <f t="shared" si="6"/>
        <v>4.9791666666666634</v>
      </c>
      <c r="C288" s="5">
        <v>24.713000000000001</v>
      </c>
      <c r="D288" s="5">
        <v>25.519400000000001</v>
      </c>
      <c r="E288" s="5">
        <v>26.4237</v>
      </c>
      <c r="F288" s="5">
        <v>23.711400000000001</v>
      </c>
    </row>
    <row r="289" spans="1:6" x14ac:dyDescent="0.3">
      <c r="A289" s="2">
        <f t="shared" si="5"/>
        <v>46054</v>
      </c>
      <c r="B289" s="3">
        <f t="shared" si="6"/>
        <v>4.9999999999999964</v>
      </c>
      <c r="C289" s="5">
        <v>23.776399999999999</v>
      </c>
      <c r="D289" s="5">
        <v>24.488600000000002</v>
      </c>
      <c r="E289" s="5">
        <v>25.3887</v>
      </c>
      <c r="F289" s="5">
        <v>22.804200000000002</v>
      </c>
    </row>
    <row r="290" spans="1:6" x14ac:dyDescent="0.3">
      <c r="A290" s="2">
        <f t="shared" si="5"/>
        <v>46055</v>
      </c>
      <c r="B290" s="3">
        <f t="shared" si="6"/>
        <v>5.0208333333333295</v>
      </c>
      <c r="C290" s="1">
        <v>24.7029</v>
      </c>
      <c r="D290" s="1">
        <v>25.527799999999999</v>
      </c>
      <c r="E290" s="1">
        <v>26.433299999999999</v>
      </c>
      <c r="F290" s="1">
        <v>23.709299999999999</v>
      </c>
    </row>
    <row r="291" spans="1:6" x14ac:dyDescent="0.3">
      <c r="A291" s="2">
        <f t="shared" ref="A291:A354" si="7">+A243+1</f>
        <v>46055</v>
      </c>
      <c r="B291" s="3">
        <f t="shared" si="6"/>
        <v>5.0416666666666625</v>
      </c>
      <c r="C291" s="1">
        <v>23.773800000000001</v>
      </c>
      <c r="D291" s="1">
        <v>24.526499999999999</v>
      </c>
      <c r="E291" s="1">
        <v>25.4254</v>
      </c>
      <c r="F291" s="1">
        <v>22.8142</v>
      </c>
    </row>
    <row r="292" spans="1:6" x14ac:dyDescent="0.3">
      <c r="A292" s="2">
        <f t="shared" si="7"/>
        <v>46055</v>
      </c>
      <c r="B292" s="3">
        <f t="shared" si="6"/>
        <v>5.0624999999999956</v>
      </c>
      <c r="C292" s="1">
        <v>22.7303</v>
      </c>
      <c r="D292" s="1">
        <v>23.423400000000001</v>
      </c>
      <c r="E292" s="1">
        <v>24.3142</v>
      </c>
      <c r="F292" s="1">
        <v>21.817699999999999</v>
      </c>
    </row>
    <row r="293" spans="1:6" x14ac:dyDescent="0.3">
      <c r="A293" s="2">
        <f t="shared" si="7"/>
        <v>46055</v>
      </c>
      <c r="B293" s="3">
        <f t="shared" si="6"/>
        <v>5.0833333333333286</v>
      </c>
      <c r="C293" s="1">
        <v>1.8511</v>
      </c>
      <c r="D293" s="1">
        <v>1.9064000000000001</v>
      </c>
      <c r="E293" s="1">
        <v>1.98</v>
      </c>
      <c r="F293" s="1">
        <v>1.7784</v>
      </c>
    </row>
    <row r="294" spans="1:6" x14ac:dyDescent="0.3">
      <c r="A294" s="2">
        <f t="shared" si="7"/>
        <v>46055</v>
      </c>
      <c r="B294" s="3">
        <f t="shared" si="6"/>
        <v>5.1041666666666616</v>
      </c>
      <c r="C294" s="1">
        <v>0.73770000000000002</v>
      </c>
      <c r="D294" s="1">
        <v>0.7601</v>
      </c>
      <c r="E294" s="1">
        <v>0.7903</v>
      </c>
      <c r="F294" s="1">
        <v>0.71</v>
      </c>
    </row>
    <row r="295" spans="1:6" x14ac:dyDescent="0.3">
      <c r="A295" s="2">
        <f t="shared" si="7"/>
        <v>46055</v>
      </c>
      <c r="B295" s="3">
        <f t="shared" si="6"/>
        <v>5.1249999999999947</v>
      </c>
      <c r="C295" s="1">
        <v>0.72919999999999996</v>
      </c>
      <c r="D295" s="1">
        <v>0.755</v>
      </c>
      <c r="E295" s="1">
        <v>0.78339999999999999</v>
      </c>
      <c r="F295" s="1">
        <v>0.70330000000000004</v>
      </c>
    </row>
    <row r="296" spans="1:6" x14ac:dyDescent="0.3">
      <c r="A296" s="2">
        <f t="shared" si="7"/>
        <v>46055</v>
      </c>
      <c r="B296" s="3">
        <f t="shared" si="6"/>
        <v>5.1458333333333277</v>
      </c>
      <c r="C296" s="1">
        <v>0.70599999999999996</v>
      </c>
      <c r="D296" s="1">
        <v>0.72689999999999999</v>
      </c>
      <c r="E296" s="1">
        <v>0.75800000000000001</v>
      </c>
      <c r="F296" s="1">
        <v>0.68</v>
      </c>
    </row>
    <row r="297" spans="1:6" x14ac:dyDescent="0.3">
      <c r="A297" s="2">
        <f t="shared" si="7"/>
        <v>46055</v>
      </c>
      <c r="B297" s="3">
        <f t="shared" si="6"/>
        <v>5.1666666666666607</v>
      </c>
      <c r="C297" s="1">
        <v>0.70599999999999996</v>
      </c>
      <c r="D297" s="1">
        <v>0.72729999999999995</v>
      </c>
      <c r="E297" s="1">
        <v>0.75790000000000002</v>
      </c>
      <c r="F297" s="1">
        <v>0.68010000000000004</v>
      </c>
    </row>
    <row r="298" spans="1:6" x14ac:dyDescent="0.3">
      <c r="A298" s="2">
        <f t="shared" si="7"/>
        <v>46055</v>
      </c>
      <c r="B298" s="3">
        <f t="shared" si="6"/>
        <v>5.1874999999999938</v>
      </c>
      <c r="C298" s="1">
        <v>0.70589999999999997</v>
      </c>
      <c r="D298" s="1">
        <v>0.72789999999999999</v>
      </c>
      <c r="E298" s="1">
        <v>0.75849999999999995</v>
      </c>
      <c r="F298" s="1">
        <v>0.68010000000000004</v>
      </c>
    </row>
    <row r="299" spans="1:6" x14ac:dyDescent="0.3">
      <c r="A299" s="2">
        <f t="shared" si="7"/>
        <v>46055</v>
      </c>
      <c r="B299" s="3">
        <f t="shared" si="6"/>
        <v>5.2083333333333268</v>
      </c>
      <c r="C299" s="1">
        <v>0.71099999999999997</v>
      </c>
      <c r="D299" s="1">
        <v>0.73450000000000004</v>
      </c>
      <c r="E299" s="1">
        <v>0.76429999999999998</v>
      </c>
      <c r="F299" s="1">
        <v>0.68559999999999999</v>
      </c>
    </row>
    <row r="300" spans="1:6" x14ac:dyDescent="0.3">
      <c r="A300" s="2">
        <f t="shared" si="7"/>
        <v>46055</v>
      </c>
      <c r="B300" s="3">
        <f t="shared" si="6"/>
        <v>5.2291666666666599</v>
      </c>
      <c r="C300" s="1">
        <v>0.70940000000000003</v>
      </c>
      <c r="D300" s="1">
        <v>0.73270000000000002</v>
      </c>
      <c r="E300" s="1">
        <v>0.7621</v>
      </c>
      <c r="F300" s="1">
        <v>0.68340000000000001</v>
      </c>
    </row>
    <row r="301" spans="1:6" x14ac:dyDescent="0.3">
      <c r="A301" s="2">
        <f t="shared" si="7"/>
        <v>46055</v>
      </c>
      <c r="B301" s="3">
        <f t="shared" si="6"/>
        <v>5.2499999999999929</v>
      </c>
      <c r="C301" s="1">
        <v>0.70379999999999998</v>
      </c>
      <c r="D301" s="1">
        <v>0.72709999999999997</v>
      </c>
      <c r="E301" s="1">
        <v>0.75270000000000004</v>
      </c>
      <c r="F301" s="1">
        <v>0.67710000000000004</v>
      </c>
    </row>
    <row r="302" spans="1:6" x14ac:dyDescent="0.3">
      <c r="A302" s="2">
        <f t="shared" si="7"/>
        <v>46055</v>
      </c>
      <c r="B302" s="3">
        <f t="shared" si="6"/>
        <v>5.2708333333333259</v>
      </c>
      <c r="C302" s="1">
        <v>0.69689999999999996</v>
      </c>
      <c r="D302" s="1">
        <v>0.72150000000000003</v>
      </c>
      <c r="E302" s="1">
        <v>0.74139999999999995</v>
      </c>
      <c r="F302" s="1">
        <v>0.66990000000000005</v>
      </c>
    </row>
    <row r="303" spans="1:6" x14ac:dyDescent="0.3">
      <c r="A303" s="2">
        <f t="shared" si="7"/>
        <v>46055</v>
      </c>
      <c r="B303" s="3">
        <f t="shared" si="6"/>
        <v>5.291666666666659</v>
      </c>
      <c r="C303" s="1">
        <v>0.7006</v>
      </c>
      <c r="D303" s="1">
        <v>0.72729999999999995</v>
      </c>
      <c r="E303" s="1">
        <v>0.73860000000000003</v>
      </c>
      <c r="F303" s="1">
        <v>0.67220000000000002</v>
      </c>
    </row>
    <row r="304" spans="1:6" x14ac:dyDescent="0.3">
      <c r="A304" s="2">
        <f t="shared" si="7"/>
        <v>46055</v>
      </c>
      <c r="B304" s="3">
        <f t="shared" si="6"/>
        <v>5.312499999999992</v>
      </c>
      <c r="C304" s="1">
        <v>0.70169999999999999</v>
      </c>
      <c r="D304" s="1">
        <v>0.73040000000000005</v>
      </c>
      <c r="E304" s="1">
        <v>0.73419999999999996</v>
      </c>
      <c r="F304" s="1">
        <v>0.67210000000000003</v>
      </c>
    </row>
    <row r="305" spans="1:6" x14ac:dyDescent="0.3">
      <c r="A305" s="2">
        <f t="shared" si="7"/>
        <v>46055</v>
      </c>
      <c r="B305" s="3">
        <f t="shared" si="6"/>
        <v>5.333333333333325</v>
      </c>
      <c r="C305" s="1">
        <v>0.70940000000000003</v>
      </c>
      <c r="D305" s="1">
        <v>0.74050000000000005</v>
      </c>
      <c r="E305" s="1">
        <v>0.73460000000000003</v>
      </c>
      <c r="F305" s="1">
        <v>0.6774</v>
      </c>
    </row>
    <row r="306" spans="1:6" x14ac:dyDescent="0.3">
      <c r="A306" s="2">
        <f t="shared" si="7"/>
        <v>46055</v>
      </c>
      <c r="B306" s="3">
        <f t="shared" si="6"/>
        <v>5.3541666666666581</v>
      </c>
      <c r="C306" s="1">
        <v>0.7268</v>
      </c>
      <c r="D306" s="1">
        <v>0.76219999999999999</v>
      </c>
      <c r="E306" s="1">
        <v>0.746</v>
      </c>
      <c r="F306" s="1">
        <v>0.69240000000000002</v>
      </c>
    </row>
    <row r="307" spans="1:6" x14ac:dyDescent="0.3">
      <c r="A307" s="2">
        <f t="shared" si="7"/>
        <v>46055</v>
      </c>
      <c r="B307" s="3">
        <f t="shared" si="6"/>
        <v>5.3749999999999911</v>
      </c>
      <c r="C307" s="1">
        <v>0.77110000000000001</v>
      </c>
      <c r="D307" s="1">
        <v>0.81030000000000002</v>
      </c>
      <c r="E307" s="1">
        <v>0.78500000000000003</v>
      </c>
      <c r="F307" s="1">
        <v>0.7329</v>
      </c>
    </row>
    <row r="308" spans="1:6" x14ac:dyDescent="0.3">
      <c r="A308" s="2">
        <f t="shared" si="7"/>
        <v>46055</v>
      </c>
      <c r="B308" s="3">
        <f t="shared" ref="B308:B371" si="8">+B307+1/48</f>
        <v>5.3958333333333242</v>
      </c>
      <c r="C308" s="1">
        <v>22.873699999999999</v>
      </c>
      <c r="D308" s="1">
        <v>24.089700000000001</v>
      </c>
      <c r="E308" s="1">
        <v>23.1188</v>
      </c>
      <c r="F308" s="1">
        <v>21.6936</v>
      </c>
    </row>
    <row r="309" spans="1:6" x14ac:dyDescent="0.3">
      <c r="A309" s="2">
        <f t="shared" si="7"/>
        <v>46055</v>
      </c>
      <c r="B309" s="3">
        <f t="shared" si="8"/>
        <v>5.4166666666666572</v>
      </c>
      <c r="C309" s="1">
        <v>24.065999999999999</v>
      </c>
      <c r="D309" s="1">
        <v>25.4132</v>
      </c>
      <c r="E309" s="1">
        <v>24.200500000000002</v>
      </c>
      <c r="F309" s="1">
        <v>22.7974</v>
      </c>
    </row>
    <row r="310" spans="1:6" x14ac:dyDescent="0.3">
      <c r="A310" s="2">
        <f t="shared" si="7"/>
        <v>46055</v>
      </c>
      <c r="B310" s="3">
        <f t="shared" si="8"/>
        <v>5.4374999999999902</v>
      </c>
      <c r="C310" s="1">
        <v>24.0852</v>
      </c>
      <c r="D310" s="1">
        <v>25.427299999999999</v>
      </c>
      <c r="E310" s="1">
        <v>24.161999999999999</v>
      </c>
      <c r="F310" s="1">
        <v>22.7988</v>
      </c>
    </row>
    <row r="311" spans="1:6" x14ac:dyDescent="0.3">
      <c r="A311" s="2">
        <f t="shared" si="7"/>
        <v>46055</v>
      </c>
      <c r="B311" s="3">
        <f t="shared" si="8"/>
        <v>5.4583333333333233</v>
      </c>
      <c r="C311" s="1">
        <v>32.900100000000002</v>
      </c>
      <c r="D311" s="1">
        <v>34.869599999999998</v>
      </c>
      <c r="E311" s="1">
        <v>33.196399999999997</v>
      </c>
      <c r="F311" s="1">
        <v>31.171900000000001</v>
      </c>
    </row>
    <row r="312" spans="1:6" x14ac:dyDescent="0.3">
      <c r="A312" s="2">
        <f t="shared" si="7"/>
        <v>46055</v>
      </c>
      <c r="B312" s="3">
        <f t="shared" si="8"/>
        <v>5.4791666666666563</v>
      </c>
      <c r="C312" s="1">
        <v>32.930399999999999</v>
      </c>
      <c r="D312" s="1">
        <v>34.814599999999999</v>
      </c>
      <c r="E312" s="1">
        <v>33.4315</v>
      </c>
      <c r="F312" s="1">
        <v>31.228400000000001</v>
      </c>
    </row>
    <row r="313" spans="1:6" x14ac:dyDescent="0.3">
      <c r="A313" s="2">
        <f t="shared" si="7"/>
        <v>46055</v>
      </c>
      <c r="B313" s="3">
        <f t="shared" si="8"/>
        <v>5.4999999999999893</v>
      </c>
      <c r="C313" s="1">
        <v>37.585799999999999</v>
      </c>
      <c r="D313" s="1">
        <v>39.711799999999997</v>
      </c>
      <c r="E313" s="1">
        <v>38.253399999999999</v>
      </c>
      <c r="F313" s="1">
        <v>35.656500000000001</v>
      </c>
    </row>
    <row r="314" spans="1:6" x14ac:dyDescent="0.3">
      <c r="A314" s="2">
        <f t="shared" si="7"/>
        <v>46055</v>
      </c>
      <c r="B314" s="3">
        <f t="shared" si="8"/>
        <v>5.5208333333333224</v>
      </c>
      <c r="C314" s="1">
        <v>51.783700000000003</v>
      </c>
      <c r="D314" s="1">
        <v>54.982500000000002</v>
      </c>
      <c r="E314" s="1">
        <v>52.680700000000002</v>
      </c>
      <c r="F314" s="1">
        <v>49.1113</v>
      </c>
    </row>
    <row r="315" spans="1:6" x14ac:dyDescent="0.3">
      <c r="A315" s="2">
        <f t="shared" si="7"/>
        <v>46055</v>
      </c>
      <c r="B315" s="3">
        <f t="shared" si="8"/>
        <v>5.5416666666666554</v>
      </c>
      <c r="C315" s="1">
        <v>37.589700000000001</v>
      </c>
      <c r="D315" s="1">
        <v>39.837400000000002</v>
      </c>
      <c r="E315" s="1">
        <v>38.287999999999997</v>
      </c>
      <c r="F315" s="1">
        <v>35.657499999999999</v>
      </c>
    </row>
    <row r="316" spans="1:6" x14ac:dyDescent="0.3">
      <c r="A316" s="2">
        <f t="shared" si="7"/>
        <v>46055</v>
      </c>
      <c r="B316" s="3">
        <f t="shared" si="8"/>
        <v>5.5624999999999885</v>
      </c>
      <c r="C316" s="1">
        <v>51.807000000000002</v>
      </c>
      <c r="D316" s="1">
        <v>54.834099999999999</v>
      </c>
      <c r="E316" s="1">
        <v>52.935299999999998</v>
      </c>
      <c r="F316" s="1">
        <v>49.1738</v>
      </c>
    </row>
    <row r="317" spans="1:6" x14ac:dyDescent="0.3">
      <c r="A317" s="2">
        <f t="shared" si="7"/>
        <v>46055</v>
      </c>
      <c r="B317" s="3">
        <f t="shared" si="8"/>
        <v>5.5833333333333215</v>
      </c>
      <c r="C317" s="1">
        <v>37.213299999999997</v>
      </c>
      <c r="D317" s="1">
        <v>39.495600000000003</v>
      </c>
      <c r="E317" s="1">
        <v>38.354900000000001</v>
      </c>
      <c r="F317" s="1">
        <v>35.491900000000001</v>
      </c>
    </row>
    <row r="318" spans="1:6" x14ac:dyDescent="0.3">
      <c r="A318" s="2">
        <f t="shared" si="7"/>
        <v>46055</v>
      </c>
      <c r="B318" s="3">
        <f t="shared" si="8"/>
        <v>5.6041666666666545</v>
      </c>
      <c r="C318" s="1">
        <v>37.352200000000003</v>
      </c>
      <c r="D318" s="1">
        <v>39.6982</v>
      </c>
      <c r="E318" s="1">
        <v>38.711300000000001</v>
      </c>
      <c r="F318" s="1">
        <v>35.697499999999998</v>
      </c>
    </row>
    <row r="319" spans="1:6" x14ac:dyDescent="0.3">
      <c r="A319" s="2">
        <f t="shared" si="7"/>
        <v>46055</v>
      </c>
      <c r="B319" s="3">
        <f t="shared" si="8"/>
        <v>5.6249999999999876</v>
      </c>
      <c r="C319" s="1">
        <v>51.654600000000002</v>
      </c>
      <c r="D319" s="1">
        <v>54.965800000000002</v>
      </c>
      <c r="E319" s="1">
        <v>53.651800000000001</v>
      </c>
      <c r="F319" s="1">
        <v>49.375799999999998</v>
      </c>
    </row>
    <row r="320" spans="1:6" x14ac:dyDescent="0.3">
      <c r="A320" s="2">
        <f t="shared" si="7"/>
        <v>46055</v>
      </c>
      <c r="B320" s="3">
        <f t="shared" si="8"/>
        <v>5.6458333333333206</v>
      </c>
      <c r="C320" s="1">
        <v>51.698500000000003</v>
      </c>
      <c r="D320" s="1">
        <v>54.932200000000002</v>
      </c>
      <c r="E320" s="1">
        <v>53.892499999999998</v>
      </c>
      <c r="F320" s="1">
        <v>49.467799999999997</v>
      </c>
    </row>
    <row r="321" spans="1:6" x14ac:dyDescent="0.3">
      <c r="A321" s="2">
        <f t="shared" si="7"/>
        <v>46055</v>
      </c>
      <c r="B321" s="3">
        <f t="shared" si="8"/>
        <v>5.6666666666666536</v>
      </c>
      <c r="C321" s="1">
        <v>37.6248</v>
      </c>
      <c r="D321" s="1">
        <v>39.945399999999999</v>
      </c>
      <c r="E321" s="1">
        <v>39.321300000000001</v>
      </c>
      <c r="F321" s="1">
        <v>36.018599999999999</v>
      </c>
    </row>
    <row r="322" spans="1:6" x14ac:dyDescent="0.3">
      <c r="A322" s="2">
        <f t="shared" si="7"/>
        <v>46055</v>
      </c>
      <c r="B322" s="3">
        <f t="shared" si="8"/>
        <v>5.6874999999999867</v>
      </c>
      <c r="C322" s="1">
        <v>51.815300000000001</v>
      </c>
      <c r="D322" s="1">
        <v>54.910400000000003</v>
      </c>
      <c r="E322" s="1">
        <v>54.588500000000003</v>
      </c>
      <c r="F322" s="1">
        <v>49.567500000000003</v>
      </c>
    </row>
    <row r="323" spans="1:6" x14ac:dyDescent="0.3">
      <c r="A323" s="2">
        <f t="shared" si="7"/>
        <v>46055</v>
      </c>
      <c r="B323" s="3">
        <f t="shared" si="8"/>
        <v>5.7083333333333197</v>
      </c>
      <c r="C323" s="1">
        <v>52.563899999999997</v>
      </c>
      <c r="D323" s="1">
        <v>55.705399999999997</v>
      </c>
      <c r="E323" s="1">
        <v>56.205300000000001</v>
      </c>
      <c r="F323" s="1">
        <v>50.492600000000003</v>
      </c>
    </row>
    <row r="324" spans="1:6" x14ac:dyDescent="0.3">
      <c r="A324" s="2">
        <f t="shared" si="7"/>
        <v>46055</v>
      </c>
      <c r="B324" s="3">
        <f t="shared" si="8"/>
        <v>5.7291666666666528</v>
      </c>
      <c r="C324" s="1">
        <v>38.471600000000002</v>
      </c>
      <c r="D324" s="1">
        <v>40.723399999999998</v>
      </c>
      <c r="E324" s="1">
        <v>41.369300000000003</v>
      </c>
      <c r="F324" s="1">
        <v>36.989899999999999</v>
      </c>
    </row>
    <row r="325" spans="1:6" x14ac:dyDescent="0.3">
      <c r="A325" s="2">
        <f t="shared" si="7"/>
        <v>46055</v>
      </c>
      <c r="B325" s="3">
        <f t="shared" si="8"/>
        <v>5.7499999999999858</v>
      </c>
      <c r="C325" s="1">
        <v>37.201700000000002</v>
      </c>
      <c r="D325" s="1">
        <v>39.090899999999998</v>
      </c>
      <c r="E325" s="1">
        <v>40.1023</v>
      </c>
      <c r="F325" s="1">
        <v>35.760399999999997</v>
      </c>
    </row>
    <row r="326" spans="1:6" x14ac:dyDescent="0.3">
      <c r="A326" s="2">
        <f t="shared" si="7"/>
        <v>46055</v>
      </c>
      <c r="B326" s="3">
        <f t="shared" si="8"/>
        <v>5.7708333333333188</v>
      </c>
      <c r="C326" s="1">
        <v>37.213299999999997</v>
      </c>
      <c r="D326" s="1">
        <v>39.165900000000001</v>
      </c>
      <c r="E326" s="1">
        <v>40.319699999999997</v>
      </c>
      <c r="F326" s="1">
        <v>35.848599999999998</v>
      </c>
    </row>
    <row r="327" spans="1:6" x14ac:dyDescent="0.3">
      <c r="A327" s="2">
        <f t="shared" si="7"/>
        <v>46055</v>
      </c>
      <c r="B327" s="3">
        <f t="shared" si="8"/>
        <v>5.7916666666666519</v>
      </c>
      <c r="C327" s="1">
        <v>43.947600000000001</v>
      </c>
      <c r="D327" s="1">
        <v>46.648000000000003</v>
      </c>
      <c r="E327" s="1">
        <v>47.714799999999997</v>
      </c>
      <c r="F327" s="1">
        <v>42.401899999999998</v>
      </c>
    </row>
    <row r="328" spans="1:6" x14ac:dyDescent="0.3">
      <c r="A328" s="2">
        <f t="shared" si="7"/>
        <v>46055</v>
      </c>
      <c r="B328" s="3">
        <f t="shared" si="8"/>
        <v>5.8124999999999849</v>
      </c>
      <c r="C328" s="1">
        <v>44.001100000000001</v>
      </c>
      <c r="D328" s="1">
        <v>46.973999999999997</v>
      </c>
      <c r="E328" s="1">
        <v>47.9495</v>
      </c>
      <c r="F328" s="1">
        <v>42.548499999999997</v>
      </c>
    </row>
    <row r="329" spans="1:6" x14ac:dyDescent="0.3">
      <c r="A329" s="2">
        <f t="shared" si="7"/>
        <v>46055</v>
      </c>
      <c r="B329" s="3">
        <f t="shared" si="8"/>
        <v>5.8333333333333179</v>
      </c>
      <c r="C329" s="1">
        <v>44.001100000000001</v>
      </c>
      <c r="D329" s="1">
        <v>47.007399999999997</v>
      </c>
      <c r="E329" s="1">
        <v>47.9863</v>
      </c>
      <c r="F329" s="1">
        <v>42.579300000000003</v>
      </c>
    </row>
    <row r="330" spans="1:6" x14ac:dyDescent="0.3">
      <c r="A330" s="2">
        <f t="shared" si="7"/>
        <v>46055</v>
      </c>
      <c r="B330" s="3">
        <f t="shared" si="8"/>
        <v>5.854166666666651</v>
      </c>
      <c r="C330" s="1">
        <v>43.855499999999999</v>
      </c>
      <c r="D330" s="1">
        <v>46.521900000000002</v>
      </c>
      <c r="E330" s="1">
        <v>47.823</v>
      </c>
      <c r="F330" s="1">
        <v>42.415900000000001</v>
      </c>
    </row>
    <row r="331" spans="1:6" x14ac:dyDescent="0.3">
      <c r="A331" s="2">
        <f t="shared" si="7"/>
        <v>46055</v>
      </c>
      <c r="B331" s="3">
        <f t="shared" si="8"/>
        <v>5.874999999999984</v>
      </c>
      <c r="C331" s="1">
        <v>43.700899999999997</v>
      </c>
      <c r="D331" s="1">
        <v>46.308900000000001</v>
      </c>
      <c r="E331" s="1">
        <v>47.576599999999999</v>
      </c>
      <c r="F331" s="1">
        <v>42.2303</v>
      </c>
    </row>
    <row r="332" spans="1:6" x14ac:dyDescent="0.3">
      <c r="A332" s="2">
        <f t="shared" si="7"/>
        <v>46055</v>
      </c>
      <c r="B332" s="3">
        <f t="shared" si="8"/>
        <v>5.8958333333333171</v>
      </c>
      <c r="C332" s="1">
        <v>43.835900000000002</v>
      </c>
      <c r="D332" s="1">
        <v>46.830399999999997</v>
      </c>
      <c r="E332" s="1">
        <v>47.732399999999998</v>
      </c>
      <c r="F332" s="1">
        <v>42.374899999999997</v>
      </c>
    </row>
    <row r="333" spans="1:6" x14ac:dyDescent="0.3">
      <c r="A333" s="2">
        <f t="shared" si="7"/>
        <v>46055</v>
      </c>
      <c r="B333" s="3">
        <f t="shared" si="8"/>
        <v>5.9166666666666501</v>
      </c>
      <c r="C333" s="1">
        <v>43.500900000000001</v>
      </c>
      <c r="D333" s="1">
        <v>46.264499999999998</v>
      </c>
      <c r="E333" s="1">
        <v>47.2864</v>
      </c>
      <c r="F333" s="1">
        <v>42.11</v>
      </c>
    </row>
    <row r="334" spans="1:6" x14ac:dyDescent="0.3">
      <c r="A334" s="2">
        <f t="shared" si="7"/>
        <v>46055</v>
      </c>
      <c r="B334" s="3">
        <f t="shared" si="8"/>
        <v>5.9374999999999831</v>
      </c>
      <c r="C334" s="1">
        <v>43.938400000000001</v>
      </c>
      <c r="D334" s="1">
        <v>46.340299999999999</v>
      </c>
      <c r="E334" s="1">
        <v>47.450200000000002</v>
      </c>
      <c r="F334" s="1">
        <v>42.332700000000003</v>
      </c>
    </row>
    <row r="335" spans="1:6" x14ac:dyDescent="0.3">
      <c r="A335" s="2">
        <f t="shared" si="7"/>
        <v>46055</v>
      </c>
      <c r="B335" s="3">
        <f t="shared" si="8"/>
        <v>5.9583333333333162</v>
      </c>
      <c r="C335" s="1">
        <v>44.001100000000001</v>
      </c>
      <c r="D335" s="1">
        <v>46.247700000000002</v>
      </c>
      <c r="E335" s="1">
        <v>47.5458</v>
      </c>
      <c r="F335" s="1">
        <v>42.3979</v>
      </c>
    </row>
    <row r="336" spans="1:6" x14ac:dyDescent="0.3">
      <c r="A336" s="2">
        <f t="shared" si="7"/>
        <v>46055</v>
      </c>
      <c r="B336" s="3">
        <f t="shared" si="8"/>
        <v>5.9791666666666492</v>
      </c>
      <c r="C336" s="1">
        <v>29.6221</v>
      </c>
      <c r="D336" s="1">
        <v>31.068899999999999</v>
      </c>
      <c r="E336" s="1">
        <v>31.941299999999998</v>
      </c>
      <c r="F336" s="1">
        <v>28.528600000000001</v>
      </c>
    </row>
    <row r="337" spans="1:6" x14ac:dyDescent="0.3">
      <c r="A337" s="2">
        <f t="shared" si="7"/>
        <v>46055</v>
      </c>
      <c r="B337" s="3">
        <f t="shared" si="8"/>
        <v>5.9999999999999822</v>
      </c>
      <c r="C337" s="1">
        <v>25.014399999999998</v>
      </c>
      <c r="D337" s="1">
        <v>26.105499999999999</v>
      </c>
      <c r="E337" s="1">
        <v>26.898900000000001</v>
      </c>
      <c r="F337" s="1">
        <v>24.0733</v>
      </c>
    </row>
    <row r="338" spans="1:6" x14ac:dyDescent="0.3">
      <c r="A338" s="2">
        <f t="shared" si="7"/>
        <v>46056</v>
      </c>
      <c r="B338" s="3">
        <f t="shared" si="8"/>
        <v>6.0208333333333153</v>
      </c>
      <c r="C338" s="1">
        <v>24.7057</v>
      </c>
      <c r="D338" s="1">
        <v>25.678699999999999</v>
      </c>
      <c r="E338" s="1">
        <v>26.022600000000001</v>
      </c>
      <c r="F338" s="1">
        <v>23.6355</v>
      </c>
    </row>
    <row r="339" spans="1:6" x14ac:dyDescent="0.3">
      <c r="A339" s="2">
        <f t="shared" si="7"/>
        <v>46056</v>
      </c>
      <c r="B339" s="3">
        <f t="shared" si="8"/>
        <v>6.0416666666666483</v>
      </c>
      <c r="C339" s="1">
        <v>23.808700000000002</v>
      </c>
      <c r="D339" s="1">
        <v>24.686</v>
      </c>
      <c r="E339" s="1">
        <v>25.0366</v>
      </c>
      <c r="F339" s="1">
        <v>22.759399999999999</v>
      </c>
    </row>
    <row r="340" spans="1:6" x14ac:dyDescent="0.3">
      <c r="A340" s="2">
        <f t="shared" si="7"/>
        <v>46056</v>
      </c>
      <c r="B340" s="3">
        <f t="shared" si="8"/>
        <v>6.0624999999999813</v>
      </c>
      <c r="C340" s="1">
        <v>20.633500000000002</v>
      </c>
      <c r="D340" s="1">
        <v>21.2407</v>
      </c>
      <c r="E340" s="1">
        <v>21.707799999999999</v>
      </c>
      <c r="F340" s="1">
        <v>19.740600000000001</v>
      </c>
    </row>
    <row r="341" spans="1:6" x14ac:dyDescent="0.3">
      <c r="A341" s="2">
        <f t="shared" si="7"/>
        <v>46056</v>
      </c>
      <c r="B341" s="3">
        <f t="shared" si="8"/>
        <v>6.0833333333333144</v>
      </c>
      <c r="C341" s="1">
        <v>18.452500000000001</v>
      </c>
      <c r="D341" s="1">
        <v>18.986899999999999</v>
      </c>
      <c r="E341" s="1">
        <v>19.426600000000001</v>
      </c>
      <c r="F341" s="1">
        <v>17.663599999999999</v>
      </c>
    </row>
    <row r="342" spans="1:6" x14ac:dyDescent="0.3">
      <c r="A342" s="2">
        <f t="shared" si="7"/>
        <v>46056</v>
      </c>
      <c r="B342" s="3">
        <f t="shared" si="8"/>
        <v>6.1041666666666474</v>
      </c>
      <c r="C342" s="1">
        <v>18.4239</v>
      </c>
      <c r="D342" s="1">
        <v>19.049199999999999</v>
      </c>
      <c r="E342" s="1">
        <v>19.383199999999999</v>
      </c>
      <c r="F342" s="1">
        <v>17.6372</v>
      </c>
    </row>
    <row r="343" spans="1:6" x14ac:dyDescent="0.3">
      <c r="A343" s="2">
        <f t="shared" si="7"/>
        <v>46056</v>
      </c>
      <c r="B343" s="3">
        <f t="shared" si="8"/>
        <v>6.1249999999999805</v>
      </c>
      <c r="C343" s="1">
        <v>18.388300000000001</v>
      </c>
      <c r="D343" s="1">
        <v>18.984200000000001</v>
      </c>
      <c r="E343" s="1">
        <v>19.364599999999999</v>
      </c>
      <c r="F343" s="1">
        <v>17.6069</v>
      </c>
    </row>
    <row r="344" spans="1:6" x14ac:dyDescent="0.3">
      <c r="A344" s="2">
        <f t="shared" si="7"/>
        <v>46056</v>
      </c>
      <c r="B344" s="3">
        <f t="shared" si="8"/>
        <v>6.1458333333333135</v>
      </c>
      <c r="C344" s="1">
        <v>18.424299999999999</v>
      </c>
      <c r="D344" s="1">
        <v>19.020199999999999</v>
      </c>
      <c r="E344" s="1">
        <v>19.395900000000001</v>
      </c>
      <c r="F344" s="1">
        <v>17.6448</v>
      </c>
    </row>
    <row r="345" spans="1:6" x14ac:dyDescent="0.3">
      <c r="A345" s="2">
        <f t="shared" si="7"/>
        <v>46056</v>
      </c>
      <c r="B345" s="3">
        <f t="shared" si="8"/>
        <v>6.1666666666666465</v>
      </c>
      <c r="C345" s="1">
        <v>18.4331</v>
      </c>
      <c r="D345" s="1">
        <v>19.033300000000001</v>
      </c>
      <c r="E345" s="1">
        <v>19.421900000000001</v>
      </c>
      <c r="F345" s="1">
        <v>17.659099999999999</v>
      </c>
    </row>
    <row r="346" spans="1:6" x14ac:dyDescent="0.3">
      <c r="A346" s="2">
        <f t="shared" si="7"/>
        <v>46056</v>
      </c>
      <c r="B346" s="3">
        <f t="shared" si="8"/>
        <v>6.1874999999999796</v>
      </c>
      <c r="C346" s="1">
        <v>18.440100000000001</v>
      </c>
      <c r="D346" s="1">
        <v>19.057099999999998</v>
      </c>
      <c r="E346" s="1">
        <v>19.450399999999998</v>
      </c>
      <c r="F346" s="1">
        <v>17.672699999999999</v>
      </c>
    </row>
    <row r="347" spans="1:6" x14ac:dyDescent="0.3">
      <c r="A347" s="2">
        <f t="shared" si="7"/>
        <v>46056</v>
      </c>
      <c r="B347" s="3">
        <f t="shared" si="8"/>
        <v>6.2083333333333126</v>
      </c>
      <c r="C347" s="1">
        <v>18.446200000000001</v>
      </c>
      <c r="D347" s="1">
        <v>19.061399999999999</v>
      </c>
      <c r="E347" s="1">
        <v>19.455200000000001</v>
      </c>
      <c r="F347" s="1">
        <v>17.670999999999999</v>
      </c>
    </row>
    <row r="348" spans="1:6" x14ac:dyDescent="0.3">
      <c r="A348" s="2">
        <f t="shared" si="7"/>
        <v>46056</v>
      </c>
      <c r="B348" s="3">
        <f t="shared" si="8"/>
        <v>6.2291666666666456</v>
      </c>
      <c r="C348" s="1">
        <v>22.673100000000002</v>
      </c>
      <c r="D348" s="1">
        <v>23.465399999999999</v>
      </c>
      <c r="E348" s="1">
        <v>23.930900000000001</v>
      </c>
      <c r="F348" s="1">
        <v>21.710699999999999</v>
      </c>
    </row>
    <row r="349" spans="1:6" x14ac:dyDescent="0.3">
      <c r="A349" s="2">
        <f t="shared" si="7"/>
        <v>46056</v>
      </c>
      <c r="B349" s="3">
        <f t="shared" si="8"/>
        <v>6.2499999999999787</v>
      </c>
      <c r="C349" s="1">
        <v>20.581299999999999</v>
      </c>
      <c r="D349" s="1">
        <v>21.312200000000001</v>
      </c>
      <c r="E349" s="1">
        <v>21.637</v>
      </c>
      <c r="F349" s="1">
        <v>19.693999999999999</v>
      </c>
    </row>
    <row r="350" spans="1:6" x14ac:dyDescent="0.3">
      <c r="A350" s="2">
        <f t="shared" si="7"/>
        <v>46056</v>
      </c>
      <c r="B350" s="3">
        <f t="shared" si="8"/>
        <v>6.2708333333333117</v>
      </c>
      <c r="C350" s="1">
        <v>18.413</v>
      </c>
      <c r="D350" s="1">
        <v>19.0806</v>
      </c>
      <c r="E350" s="1">
        <v>19.180900000000001</v>
      </c>
      <c r="F350" s="1">
        <v>17.573799999999999</v>
      </c>
    </row>
    <row r="351" spans="1:6" x14ac:dyDescent="0.3">
      <c r="A351" s="2">
        <f t="shared" si="7"/>
        <v>46056</v>
      </c>
      <c r="B351" s="3">
        <f t="shared" si="8"/>
        <v>6.2916666666666448</v>
      </c>
      <c r="C351" s="1">
        <v>18.343900000000001</v>
      </c>
      <c r="D351" s="1">
        <v>19.022200000000002</v>
      </c>
      <c r="E351" s="1">
        <v>18.810300000000002</v>
      </c>
      <c r="F351" s="1">
        <v>17.439800000000002</v>
      </c>
    </row>
    <row r="352" spans="1:6" x14ac:dyDescent="0.3">
      <c r="A352" s="2">
        <f t="shared" si="7"/>
        <v>46056</v>
      </c>
      <c r="B352" s="3">
        <f t="shared" si="8"/>
        <v>6.3124999999999778</v>
      </c>
      <c r="C352" s="1">
        <v>18.46</v>
      </c>
      <c r="D352" s="1">
        <v>19.175799999999999</v>
      </c>
      <c r="E352" s="1">
        <v>18.654699999999998</v>
      </c>
      <c r="F352" s="1">
        <v>17.494900000000001</v>
      </c>
    </row>
    <row r="353" spans="1:6" x14ac:dyDescent="0.3">
      <c r="A353" s="2">
        <f t="shared" si="7"/>
        <v>46056</v>
      </c>
      <c r="B353" s="3">
        <f t="shared" si="8"/>
        <v>6.3333333333333108</v>
      </c>
      <c r="C353" s="1">
        <v>18.773599999999998</v>
      </c>
      <c r="D353" s="1">
        <v>19.561900000000001</v>
      </c>
      <c r="E353" s="1">
        <v>18.726900000000001</v>
      </c>
      <c r="F353" s="1">
        <v>17.7394</v>
      </c>
    </row>
    <row r="354" spans="1:6" x14ac:dyDescent="0.3">
      <c r="A354" s="2">
        <f t="shared" si="7"/>
        <v>46056</v>
      </c>
      <c r="B354" s="3">
        <f t="shared" si="8"/>
        <v>6.3541666666666439</v>
      </c>
      <c r="C354" s="1">
        <v>23.963100000000001</v>
      </c>
      <c r="D354" s="1">
        <v>25.0943</v>
      </c>
      <c r="E354" s="1">
        <v>23.703399999999998</v>
      </c>
      <c r="F354" s="1">
        <v>22.596800000000002</v>
      </c>
    </row>
    <row r="355" spans="1:6" x14ac:dyDescent="0.3">
      <c r="A355" s="2">
        <f t="shared" ref="A355:A418" si="9">+A307+1</f>
        <v>46056</v>
      </c>
      <c r="B355" s="3">
        <f t="shared" si="8"/>
        <v>6.3749999999999769</v>
      </c>
      <c r="C355" s="1">
        <v>24.000900000000001</v>
      </c>
      <c r="D355" s="1">
        <v>25.2226</v>
      </c>
      <c r="E355" s="1">
        <v>23.614699999999999</v>
      </c>
      <c r="F355" s="1">
        <v>22.6142</v>
      </c>
    </row>
    <row r="356" spans="1:6" x14ac:dyDescent="0.3">
      <c r="A356" s="2">
        <f t="shared" si="9"/>
        <v>46056</v>
      </c>
      <c r="B356" s="3">
        <f t="shared" si="8"/>
        <v>6.3958333333333099</v>
      </c>
      <c r="C356" s="1">
        <v>24.735600000000002</v>
      </c>
      <c r="D356" s="1">
        <v>26.051200000000001</v>
      </c>
      <c r="E356" s="1">
        <v>24.269500000000001</v>
      </c>
      <c r="F356" s="1">
        <v>23.296700000000001</v>
      </c>
    </row>
    <row r="357" spans="1:6" x14ac:dyDescent="0.3">
      <c r="A357" s="2">
        <f t="shared" si="9"/>
        <v>46056</v>
      </c>
      <c r="B357" s="3">
        <f t="shared" si="8"/>
        <v>6.416666666666643</v>
      </c>
      <c r="C357" s="1">
        <v>25.224</v>
      </c>
      <c r="D357" s="1">
        <v>26.6036</v>
      </c>
      <c r="E357" s="1">
        <v>24.706600000000002</v>
      </c>
      <c r="F357" s="1">
        <v>23.7394</v>
      </c>
    </row>
    <row r="358" spans="1:6" x14ac:dyDescent="0.3">
      <c r="A358" s="2">
        <f t="shared" si="9"/>
        <v>46056</v>
      </c>
      <c r="B358" s="3">
        <f t="shared" si="8"/>
        <v>6.437499999999976</v>
      </c>
      <c r="C358" s="1">
        <v>36.552399999999999</v>
      </c>
      <c r="D358" s="1">
        <v>38.7485</v>
      </c>
      <c r="E358" s="1">
        <v>35.392299999999999</v>
      </c>
      <c r="F358" s="1">
        <v>33.361699999999999</v>
      </c>
    </row>
    <row r="359" spans="1:6" x14ac:dyDescent="0.3">
      <c r="A359" s="2">
        <f t="shared" si="9"/>
        <v>46056</v>
      </c>
      <c r="B359" s="3">
        <f t="shared" si="8"/>
        <v>6.4583333333333091</v>
      </c>
      <c r="C359" s="1">
        <v>32.857599999999998</v>
      </c>
      <c r="D359" s="1">
        <v>34.879899999999999</v>
      </c>
      <c r="E359" s="1">
        <v>31.951000000000001</v>
      </c>
      <c r="F359" s="1">
        <v>30.235099999999999</v>
      </c>
    </row>
    <row r="360" spans="1:6" x14ac:dyDescent="0.3">
      <c r="A360" s="2">
        <f t="shared" si="9"/>
        <v>46056</v>
      </c>
      <c r="B360" s="3">
        <f t="shared" si="8"/>
        <v>6.4791666666666421</v>
      </c>
      <c r="C360" s="1">
        <v>32.872199999999999</v>
      </c>
      <c r="D360" s="1">
        <v>34.952199999999998</v>
      </c>
      <c r="E360" s="1">
        <v>32.049300000000002</v>
      </c>
      <c r="F360" s="1">
        <v>30.25</v>
      </c>
    </row>
    <row r="361" spans="1:6" x14ac:dyDescent="0.3">
      <c r="A361" s="2">
        <f t="shared" si="9"/>
        <v>46056</v>
      </c>
      <c r="B361" s="3">
        <f t="shared" si="8"/>
        <v>6.4999999999999751</v>
      </c>
      <c r="C361" s="1">
        <v>36.517400000000002</v>
      </c>
      <c r="D361" s="1">
        <v>38.862099999999998</v>
      </c>
      <c r="E361" s="1">
        <v>35.592599999999997</v>
      </c>
      <c r="F361" s="1">
        <v>33.349200000000003</v>
      </c>
    </row>
    <row r="362" spans="1:6" x14ac:dyDescent="0.3">
      <c r="A362" s="2">
        <f t="shared" si="9"/>
        <v>46056</v>
      </c>
      <c r="B362" s="3">
        <f t="shared" si="8"/>
        <v>6.5208333333333082</v>
      </c>
      <c r="C362" s="1">
        <v>32.873600000000003</v>
      </c>
      <c r="D362" s="1">
        <v>34.763599999999997</v>
      </c>
      <c r="E362" s="1">
        <v>32.176000000000002</v>
      </c>
      <c r="F362" s="1">
        <v>30.248000000000001</v>
      </c>
    </row>
    <row r="363" spans="1:6" x14ac:dyDescent="0.3">
      <c r="A363" s="2">
        <f t="shared" si="9"/>
        <v>46056</v>
      </c>
      <c r="B363" s="3">
        <f t="shared" si="8"/>
        <v>6.5416666666666412</v>
      </c>
      <c r="C363" s="1">
        <v>25.702300000000001</v>
      </c>
      <c r="D363" s="1">
        <v>27.0501</v>
      </c>
      <c r="E363" s="1">
        <v>25.29</v>
      </c>
      <c r="F363" s="1">
        <v>24.145499999999998</v>
      </c>
    </row>
    <row r="364" spans="1:6" x14ac:dyDescent="0.3">
      <c r="A364" s="2">
        <f t="shared" si="9"/>
        <v>46056</v>
      </c>
      <c r="B364" s="3">
        <f t="shared" si="8"/>
        <v>6.5624999999999742</v>
      </c>
      <c r="C364" s="1">
        <v>25.157599999999999</v>
      </c>
      <c r="D364" s="1">
        <v>26.450199999999999</v>
      </c>
      <c r="E364" s="1">
        <v>24.721</v>
      </c>
      <c r="F364" s="1">
        <v>23.6221</v>
      </c>
    </row>
    <row r="365" spans="1:6" x14ac:dyDescent="0.3">
      <c r="A365" s="2">
        <f t="shared" si="9"/>
        <v>46056</v>
      </c>
      <c r="B365" s="3">
        <f t="shared" si="8"/>
        <v>6.5833333333333073</v>
      </c>
      <c r="C365" s="1">
        <v>25.166499999999999</v>
      </c>
      <c r="D365" s="1">
        <v>26.4253</v>
      </c>
      <c r="E365" s="1">
        <v>24.8691</v>
      </c>
      <c r="F365" s="1">
        <v>23.652000000000001</v>
      </c>
    </row>
    <row r="366" spans="1:6" x14ac:dyDescent="0.3">
      <c r="A366" s="2">
        <f t="shared" si="9"/>
        <v>46056</v>
      </c>
      <c r="B366" s="3">
        <f t="shared" si="8"/>
        <v>6.6041666666666403</v>
      </c>
      <c r="C366" s="1">
        <v>25.711300000000001</v>
      </c>
      <c r="D366" s="1">
        <v>27.017299999999999</v>
      </c>
      <c r="E366" s="1">
        <v>25.496200000000002</v>
      </c>
      <c r="F366" s="1">
        <v>24.1494</v>
      </c>
    </row>
    <row r="367" spans="1:6" x14ac:dyDescent="0.3">
      <c r="A367" s="2">
        <f t="shared" si="9"/>
        <v>46056</v>
      </c>
      <c r="B367" s="3">
        <f t="shared" si="8"/>
        <v>6.6249999999999734</v>
      </c>
      <c r="C367" s="1">
        <v>25.7117</v>
      </c>
      <c r="D367" s="1">
        <v>27.026800000000001</v>
      </c>
      <c r="E367" s="1">
        <v>25.554400000000001</v>
      </c>
      <c r="F367" s="1">
        <v>24.165900000000001</v>
      </c>
    </row>
    <row r="368" spans="1:6" x14ac:dyDescent="0.3">
      <c r="A368" s="2">
        <f t="shared" si="9"/>
        <v>46056</v>
      </c>
      <c r="B368" s="3">
        <f t="shared" si="8"/>
        <v>6.6458333333333064</v>
      </c>
      <c r="C368" s="1">
        <v>32.8703</v>
      </c>
      <c r="D368" s="1">
        <v>34.633899999999997</v>
      </c>
      <c r="E368" s="1">
        <v>32.616199999999999</v>
      </c>
      <c r="F368" s="1">
        <v>30.270700000000001</v>
      </c>
    </row>
    <row r="369" spans="1:6" x14ac:dyDescent="0.3">
      <c r="A369" s="2">
        <f t="shared" si="9"/>
        <v>46056</v>
      </c>
      <c r="B369" s="3">
        <f t="shared" si="8"/>
        <v>6.6666666666666394</v>
      </c>
      <c r="C369" s="1">
        <v>25.5517</v>
      </c>
      <c r="D369" s="1">
        <v>26.818300000000001</v>
      </c>
      <c r="E369" s="1">
        <v>25.6706</v>
      </c>
      <c r="F369" s="1">
        <v>24.060700000000001</v>
      </c>
    </row>
    <row r="370" spans="1:6" x14ac:dyDescent="0.3">
      <c r="A370" s="2">
        <f t="shared" si="9"/>
        <v>46056</v>
      </c>
      <c r="B370" s="3">
        <f t="shared" si="8"/>
        <v>6.6874999999999725</v>
      </c>
      <c r="C370" s="1">
        <v>25.665900000000001</v>
      </c>
      <c r="D370" s="1">
        <v>26.918099999999999</v>
      </c>
      <c r="E370" s="1">
        <v>26.086200000000002</v>
      </c>
      <c r="F370" s="1">
        <v>24.168500000000002</v>
      </c>
    </row>
    <row r="371" spans="1:6" x14ac:dyDescent="0.3">
      <c r="A371" s="2">
        <f t="shared" si="9"/>
        <v>46056</v>
      </c>
      <c r="B371" s="3">
        <f t="shared" si="8"/>
        <v>6.7083333333333055</v>
      </c>
      <c r="C371" s="1">
        <v>32.744</v>
      </c>
      <c r="D371" s="1">
        <v>34.366300000000003</v>
      </c>
      <c r="E371" s="1">
        <v>33.413499999999999</v>
      </c>
      <c r="F371" s="1">
        <v>30.902000000000001</v>
      </c>
    </row>
    <row r="372" spans="1:6" x14ac:dyDescent="0.3">
      <c r="A372" s="2">
        <f t="shared" si="9"/>
        <v>46056</v>
      </c>
      <c r="B372" s="3">
        <f t="shared" ref="B372:B435" si="10">+B371+1/48</f>
        <v>6.7291666666666385</v>
      </c>
      <c r="C372" s="1">
        <v>32.725900000000003</v>
      </c>
      <c r="D372" s="1">
        <v>34.276000000000003</v>
      </c>
      <c r="E372" s="1">
        <v>33.792000000000002</v>
      </c>
      <c r="F372" s="1">
        <v>30.952500000000001</v>
      </c>
    </row>
    <row r="373" spans="1:6" x14ac:dyDescent="0.3">
      <c r="A373" s="2">
        <f t="shared" si="9"/>
        <v>46056</v>
      </c>
      <c r="B373" s="3">
        <f t="shared" si="10"/>
        <v>6.7499999999999716</v>
      </c>
      <c r="C373" s="1">
        <v>25.617999999999999</v>
      </c>
      <c r="D373" s="1">
        <v>26.649799999999999</v>
      </c>
      <c r="E373" s="1">
        <v>26.654</v>
      </c>
      <c r="F373" s="1">
        <v>24.265999999999998</v>
      </c>
    </row>
    <row r="374" spans="1:6" x14ac:dyDescent="0.3">
      <c r="A374" s="2">
        <f t="shared" si="9"/>
        <v>46056</v>
      </c>
      <c r="B374" s="3">
        <f t="shared" si="10"/>
        <v>6.7708333333333046</v>
      </c>
      <c r="C374" s="1">
        <v>25.274899999999999</v>
      </c>
      <c r="D374" s="1">
        <v>26.362200000000001</v>
      </c>
      <c r="E374" s="1">
        <v>26.4651</v>
      </c>
      <c r="F374" s="1">
        <v>24.006699999999999</v>
      </c>
    </row>
    <row r="375" spans="1:6" x14ac:dyDescent="0.3">
      <c r="A375" s="2">
        <f t="shared" si="9"/>
        <v>46056</v>
      </c>
      <c r="B375" s="3">
        <f t="shared" si="10"/>
        <v>6.7916666666666377</v>
      </c>
      <c r="C375" s="1">
        <v>32.709600000000002</v>
      </c>
      <c r="D375" s="1">
        <v>34.393500000000003</v>
      </c>
      <c r="E375" s="1">
        <v>34.338999999999999</v>
      </c>
      <c r="F375" s="1">
        <v>31.087499999999999</v>
      </c>
    </row>
    <row r="376" spans="1:6" x14ac:dyDescent="0.3">
      <c r="A376" s="2">
        <f t="shared" si="9"/>
        <v>46056</v>
      </c>
      <c r="B376" s="3">
        <f t="shared" si="10"/>
        <v>6.8124999999999707</v>
      </c>
      <c r="C376" s="1">
        <v>32.726799999999997</v>
      </c>
      <c r="D376" s="1">
        <v>34.5319</v>
      </c>
      <c r="E376" s="1">
        <v>34.374200000000002</v>
      </c>
      <c r="F376" s="1">
        <v>31.116900000000001</v>
      </c>
    </row>
    <row r="377" spans="1:6" x14ac:dyDescent="0.3">
      <c r="A377" s="2">
        <f t="shared" si="9"/>
        <v>46056</v>
      </c>
      <c r="B377" s="3">
        <f t="shared" si="10"/>
        <v>6.8333333333333037</v>
      </c>
      <c r="C377" s="1">
        <v>32.723300000000002</v>
      </c>
      <c r="D377" s="1">
        <v>34.525599999999997</v>
      </c>
      <c r="E377" s="1">
        <v>34.376899999999999</v>
      </c>
      <c r="F377" s="1">
        <v>31.1251</v>
      </c>
    </row>
    <row r="378" spans="1:6" x14ac:dyDescent="0.3">
      <c r="A378" s="2">
        <f t="shared" si="9"/>
        <v>46056</v>
      </c>
      <c r="B378" s="3">
        <f t="shared" si="10"/>
        <v>6.8541666666666368</v>
      </c>
      <c r="C378" s="1">
        <v>32.7121</v>
      </c>
      <c r="D378" s="1">
        <v>34.4602</v>
      </c>
      <c r="E378" s="1">
        <v>34.413400000000003</v>
      </c>
      <c r="F378" s="1">
        <v>31.135300000000001</v>
      </c>
    </row>
    <row r="379" spans="1:6" x14ac:dyDescent="0.3">
      <c r="A379" s="2">
        <f t="shared" si="9"/>
        <v>46056</v>
      </c>
      <c r="B379" s="3">
        <f t="shared" si="10"/>
        <v>6.8749999999999698</v>
      </c>
      <c r="C379" s="1">
        <v>32.703699999999998</v>
      </c>
      <c r="D379" s="1">
        <v>34.446599999999997</v>
      </c>
      <c r="E379" s="1">
        <v>34.468699999999998</v>
      </c>
      <c r="F379" s="1">
        <v>31.144200000000001</v>
      </c>
    </row>
    <row r="380" spans="1:6" x14ac:dyDescent="0.3">
      <c r="A380" s="2">
        <f t="shared" si="9"/>
        <v>46056</v>
      </c>
      <c r="B380" s="3">
        <f t="shared" si="10"/>
        <v>6.8958333333333028</v>
      </c>
      <c r="C380" s="1">
        <v>29.755600000000001</v>
      </c>
      <c r="D380" s="1">
        <v>31.323499999999999</v>
      </c>
      <c r="E380" s="1">
        <v>31.331800000000001</v>
      </c>
      <c r="F380" s="1">
        <v>28.324100000000001</v>
      </c>
    </row>
    <row r="381" spans="1:6" x14ac:dyDescent="0.3">
      <c r="A381" s="2">
        <f t="shared" si="9"/>
        <v>46056</v>
      </c>
      <c r="B381" s="3">
        <f t="shared" si="10"/>
        <v>6.9166666666666359</v>
      </c>
      <c r="C381" s="1">
        <v>29.737100000000002</v>
      </c>
      <c r="D381" s="1">
        <v>31.2196</v>
      </c>
      <c r="E381" s="1">
        <v>31.299299999999999</v>
      </c>
      <c r="F381" s="1">
        <v>28.353100000000001</v>
      </c>
    </row>
    <row r="382" spans="1:6" x14ac:dyDescent="0.3">
      <c r="A382" s="2">
        <f t="shared" si="9"/>
        <v>46056</v>
      </c>
      <c r="B382" s="3">
        <f t="shared" si="10"/>
        <v>6.9374999999999689</v>
      </c>
      <c r="C382" s="1">
        <v>29.718599999999999</v>
      </c>
      <c r="D382" s="1">
        <v>31.089600000000001</v>
      </c>
      <c r="E382" s="1">
        <v>31.262499999999999</v>
      </c>
      <c r="F382" s="1">
        <v>28.3399</v>
      </c>
    </row>
    <row r="383" spans="1:6" x14ac:dyDescent="0.3">
      <c r="A383" s="2">
        <f t="shared" si="9"/>
        <v>46056</v>
      </c>
      <c r="B383" s="3">
        <f t="shared" si="10"/>
        <v>6.958333333333302</v>
      </c>
      <c r="C383" s="1">
        <v>29.863499999999998</v>
      </c>
      <c r="D383" s="1">
        <v>31.130199999999999</v>
      </c>
      <c r="E383" s="1">
        <v>31.410499999999999</v>
      </c>
      <c r="F383" s="1">
        <v>28.4754</v>
      </c>
    </row>
    <row r="384" spans="1:6" x14ac:dyDescent="0.3">
      <c r="A384" s="2">
        <f t="shared" si="9"/>
        <v>46056</v>
      </c>
      <c r="B384" s="3">
        <f t="shared" si="10"/>
        <v>6.979166666666635</v>
      </c>
      <c r="C384" s="1">
        <v>25.049700000000001</v>
      </c>
      <c r="D384" s="1">
        <v>26.0671</v>
      </c>
      <c r="E384" s="1">
        <v>26.311</v>
      </c>
      <c r="F384" s="1">
        <v>23.901299999999999</v>
      </c>
    </row>
    <row r="385" spans="1:6" x14ac:dyDescent="0.3">
      <c r="A385" s="2">
        <f t="shared" si="9"/>
        <v>46056</v>
      </c>
      <c r="B385" s="3">
        <f t="shared" si="10"/>
        <v>6.999999999999968</v>
      </c>
      <c r="C385" s="1">
        <v>25.049700000000001</v>
      </c>
      <c r="D385" s="1">
        <v>26.0671</v>
      </c>
      <c r="E385" s="1">
        <v>26.311</v>
      </c>
      <c r="F385" s="1">
        <v>23.901299999999999</v>
      </c>
    </row>
    <row r="386" spans="1:6" x14ac:dyDescent="0.3">
      <c r="A386" s="2">
        <f t="shared" si="9"/>
        <v>46057</v>
      </c>
      <c r="B386" s="3">
        <f t="shared" si="10"/>
        <v>7.0208333333333011</v>
      </c>
      <c r="C386" s="1">
        <v>24.972799999999999</v>
      </c>
      <c r="D386" s="1">
        <v>25.9148</v>
      </c>
      <c r="E386" s="1">
        <v>26.641400000000001</v>
      </c>
      <c r="F386" s="1">
        <v>23.9131</v>
      </c>
    </row>
    <row r="387" spans="1:6" x14ac:dyDescent="0.3">
      <c r="A387" s="2">
        <f t="shared" si="9"/>
        <v>46057</v>
      </c>
      <c r="B387" s="3">
        <f t="shared" si="10"/>
        <v>7.0416666666666341</v>
      </c>
      <c r="C387" s="1">
        <v>23.878299999999999</v>
      </c>
      <c r="D387" s="1">
        <v>24.716799999999999</v>
      </c>
      <c r="E387" s="1">
        <v>25.450399999999998</v>
      </c>
      <c r="F387" s="1">
        <v>22.859200000000001</v>
      </c>
    </row>
    <row r="388" spans="1:6" x14ac:dyDescent="0.3">
      <c r="A388" s="2">
        <f t="shared" si="9"/>
        <v>46057</v>
      </c>
      <c r="B388" s="3">
        <f t="shared" si="10"/>
        <v>7.0624999999999671</v>
      </c>
      <c r="C388" s="1">
        <v>23.790900000000001</v>
      </c>
      <c r="D388" s="1">
        <v>24.6023</v>
      </c>
      <c r="E388" s="1">
        <v>25.381799999999998</v>
      </c>
      <c r="F388" s="1">
        <v>22.797499999999999</v>
      </c>
    </row>
    <row r="389" spans="1:6" x14ac:dyDescent="0.3">
      <c r="A389" s="2">
        <f t="shared" si="9"/>
        <v>46057</v>
      </c>
      <c r="B389" s="3">
        <f t="shared" si="10"/>
        <v>7.0833333333333002</v>
      </c>
      <c r="C389" s="1">
        <v>23.776800000000001</v>
      </c>
      <c r="D389" s="1">
        <v>24.5609</v>
      </c>
      <c r="E389" s="1">
        <v>25.3843</v>
      </c>
      <c r="F389" s="1">
        <v>22.795100000000001</v>
      </c>
    </row>
    <row r="390" spans="1:6" x14ac:dyDescent="0.3">
      <c r="A390" s="2">
        <f t="shared" si="9"/>
        <v>46057</v>
      </c>
      <c r="B390" s="3">
        <f t="shared" si="10"/>
        <v>7.1041666666666332</v>
      </c>
      <c r="C390" s="1">
        <v>23.766500000000001</v>
      </c>
      <c r="D390" s="1">
        <v>24.6449</v>
      </c>
      <c r="E390" s="1">
        <v>25.372800000000002</v>
      </c>
      <c r="F390" s="1">
        <v>22.7972</v>
      </c>
    </row>
    <row r="391" spans="1:6" x14ac:dyDescent="0.3">
      <c r="A391" s="2">
        <f t="shared" si="9"/>
        <v>46057</v>
      </c>
      <c r="B391" s="3">
        <f t="shared" si="10"/>
        <v>7.1249999999999662</v>
      </c>
      <c r="C391" s="1">
        <v>23.76</v>
      </c>
      <c r="D391" s="1">
        <v>24.6069</v>
      </c>
      <c r="E391" s="1">
        <v>25.391300000000001</v>
      </c>
      <c r="F391" s="1">
        <v>22.798500000000001</v>
      </c>
    </row>
    <row r="392" spans="1:6" x14ac:dyDescent="0.3">
      <c r="A392" s="2">
        <f t="shared" si="9"/>
        <v>46057</v>
      </c>
      <c r="B392" s="3">
        <f t="shared" si="10"/>
        <v>7.1458333333332993</v>
      </c>
      <c r="C392" s="1">
        <v>22.6508</v>
      </c>
      <c r="D392" s="1">
        <v>23.448899999999998</v>
      </c>
      <c r="E392" s="1">
        <v>24.2163</v>
      </c>
      <c r="F392" s="1">
        <v>21.741</v>
      </c>
    </row>
    <row r="393" spans="1:6" x14ac:dyDescent="0.3">
      <c r="A393" s="2">
        <f t="shared" si="9"/>
        <v>46057</v>
      </c>
      <c r="B393" s="3">
        <f t="shared" si="10"/>
        <v>7.1666666666666323</v>
      </c>
      <c r="C393" s="1">
        <v>23.7559</v>
      </c>
      <c r="D393" s="1">
        <v>24.607199999999999</v>
      </c>
      <c r="E393" s="1">
        <v>25.407900000000001</v>
      </c>
      <c r="F393" s="1">
        <v>22.806000000000001</v>
      </c>
    </row>
    <row r="394" spans="1:6" x14ac:dyDescent="0.3">
      <c r="A394" s="2">
        <f t="shared" si="9"/>
        <v>46057</v>
      </c>
      <c r="B394" s="3">
        <f t="shared" si="10"/>
        <v>7.1874999999999654</v>
      </c>
      <c r="C394" s="1">
        <v>23.7608</v>
      </c>
      <c r="D394" s="1">
        <v>24.630400000000002</v>
      </c>
      <c r="E394" s="1">
        <v>25.4451</v>
      </c>
      <c r="F394" s="1">
        <v>22.8188</v>
      </c>
    </row>
    <row r="395" spans="1:6" x14ac:dyDescent="0.3">
      <c r="A395" s="2">
        <f t="shared" si="9"/>
        <v>46057</v>
      </c>
      <c r="B395" s="3">
        <f t="shared" si="10"/>
        <v>7.2083333333332984</v>
      </c>
      <c r="C395" s="1">
        <v>23.765799999999999</v>
      </c>
      <c r="D395" s="1">
        <v>24.628799999999998</v>
      </c>
      <c r="E395" s="1">
        <v>25.459800000000001</v>
      </c>
      <c r="F395" s="1">
        <v>22.8139</v>
      </c>
    </row>
    <row r="396" spans="1:6" x14ac:dyDescent="0.3">
      <c r="A396" s="2">
        <f t="shared" si="9"/>
        <v>46057</v>
      </c>
      <c r="B396" s="3">
        <f t="shared" si="10"/>
        <v>7.2291666666666314</v>
      </c>
      <c r="C396" s="1">
        <v>23.8005</v>
      </c>
      <c r="D396" s="1">
        <v>24.694700000000001</v>
      </c>
      <c r="E396" s="1">
        <v>25.503299999999999</v>
      </c>
      <c r="F396" s="1">
        <v>22.845500000000001</v>
      </c>
    </row>
    <row r="397" spans="1:6" x14ac:dyDescent="0.3">
      <c r="A397" s="2">
        <f t="shared" si="9"/>
        <v>46057</v>
      </c>
      <c r="B397" s="3">
        <f t="shared" si="10"/>
        <v>7.2499999999999645</v>
      </c>
      <c r="C397" s="1">
        <v>23.7743</v>
      </c>
      <c r="D397" s="1">
        <v>24.676300000000001</v>
      </c>
      <c r="E397" s="1">
        <v>25.197700000000001</v>
      </c>
      <c r="F397" s="1">
        <v>22.761399999999998</v>
      </c>
    </row>
    <row r="398" spans="1:6" x14ac:dyDescent="0.3">
      <c r="A398" s="2">
        <f t="shared" si="9"/>
        <v>46057</v>
      </c>
      <c r="B398" s="3">
        <f t="shared" si="10"/>
        <v>7.2708333333332975</v>
      </c>
      <c r="C398" s="1">
        <v>0.74709999999999999</v>
      </c>
      <c r="D398" s="1">
        <v>0.77590000000000003</v>
      </c>
      <c r="E398" s="1">
        <v>0.78010000000000002</v>
      </c>
      <c r="F398" s="1">
        <v>0.71279999999999999</v>
      </c>
    </row>
    <row r="399" spans="1:6" x14ac:dyDescent="0.3">
      <c r="A399" s="2">
        <f t="shared" si="9"/>
        <v>46057</v>
      </c>
      <c r="B399" s="3">
        <f t="shared" si="10"/>
        <v>7.2916666666666305</v>
      </c>
      <c r="C399" s="1">
        <v>0.72340000000000004</v>
      </c>
      <c r="D399" s="1">
        <v>0.75309999999999999</v>
      </c>
      <c r="E399" s="1">
        <v>0.74329999999999996</v>
      </c>
      <c r="F399" s="1">
        <v>0.68840000000000001</v>
      </c>
    </row>
    <row r="400" spans="1:6" x14ac:dyDescent="0.3">
      <c r="A400" s="2">
        <f t="shared" si="9"/>
        <v>46057</v>
      </c>
      <c r="B400" s="3">
        <f t="shared" si="10"/>
        <v>7.3124999999999636</v>
      </c>
      <c r="C400" s="1">
        <v>0.73760000000000003</v>
      </c>
      <c r="D400" s="1">
        <v>0.76790000000000003</v>
      </c>
      <c r="E400" s="1">
        <v>0.74539999999999995</v>
      </c>
      <c r="F400" s="1">
        <v>0.69869999999999999</v>
      </c>
    </row>
    <row r="401" spans="1:6" x14ac:dyDescent="0.3">
      <c r="A401" s="2">
        <f t="shared" si="9"/>
        <v>46057</v>
      </c>
      <c r="B401" s="3">
        <f t="shared" si="10"/>
        <v>7.3333333333332966</v>
      </c>
      <c r="C401" s="1">
        <v>0.78249999999999997</v>
      </c>
      <c r="D401" s="1">
        <v>0.81620000000000004</v>
      </c>
      <c r="E401" s="1">
        <v>0.78149999999999997</v>
      </c>
      <c r="F401" s="1">
        <v>0.73870000000000002</v>
      </c>
    </row>
    <row r="402" spans="1:6" x14ac:dyDescent="0.3">
      <c r="A402" s="2">
        <f t="shared" si="9"/>
        <v>46057</v>
      </c>
      <c r="B402" s="3">
        <f t="shared" si="10"/>
        <v>7.3541666666666297</v>
      </c>
      <c r="C402" s="1">
        <v>23.956600000000002</v>
      </c>
      <c r="D402" s="1">
        <v>25.1142</v>
      </c>
      <c r="E402" s="1">
        <v>23.813199999999998</v>
      </c>
      <c r="F402" s="1">
        <v>22.619900000000001</v>
      </c>
    </row>
    <row r="403" spans="1:6" x14ac:dyDescent="0.3">
      <c r="A403" s="2">
        <f t="shared" si="9"/>
        <v>46057</v>
      </c>
      <c r="B403" s="3">
        <f t="shared" si="10"/>
        <v>7.3749999999999627</v>
      </c>
      <c r="C403" s="1">
        <v>24.694600000000001</v>
      </c>
      <c r="D403" s="1">
        <v>25.948699999999999</v>
      </c>
      <c r="E403" s="1">
        <v>24.5181</v>
      </c>
      <c r="F403" s="1">
        <v>23.304400000000001</v>
      </c>
    </row>
    <row r="404" spans="1:6" x14ac:dyDescent="0.3">
      <c r="A404" s="2">
        <f t="shared" si="9"/>
        <v>46057</v>
      </c>
      <c r="B404" s="3">
        <f t="shared" si="10"/>
        <v>7.3958333333332957</v>
      </c>
      <c r="C404" s="1">
        <v>29.5198</v>
      </c>
      <c r="D404" s="1">
        <v>31.006900000000002</v>
      </c>
      <c r="E404" s="1">
        <v>29.248200000000001</v>
      </c>
      <c r="F404" s="1">
        <v>27.8447</v>
      </c>
    </row>
    <row r="405" spans="1:6" x14ac:dyDescent="0.3">
      <c r="A405" s="2">
        <f t="shared" si="9"/>
        <v>46057</v>
      </c>
      <c r="B405" s="3">
        <f t="shared" si="10"/>
        <v>7.4166666666666288</v>
      </c>
      <c r="C405" s="1">
        <v>25.6892</v>
      </c>
      <c r="D405" s="1">
        <v>27.032399999999999</v>
      </c>
      <c r="E405" s="1">
        <v>25.425899999999999</v>
      </c>
      <c r="F405" s="1">
        <v>24.227399999999999</v>
      </c>
    </row>
    <row r="406" spans="1:6" x14ac:dyDescent="0.3">
      <c r="A406" s="2">
        <f t="shared" si="9"/>
        <v>46057</v>
      </c>
      <c r="B406" s="3">
        <f t="shared" si="10"/>
        <v>7.4374999999999618</v>
      </c>
      <c r="C406" s="1">
        <v>29.535799999999998</v>
      </c>
      <c r="D406" s="1">
        <v>31.0901</v>
      </c>
      <c r="E406" s="1">
        <v>29.196200000000001</v>
      </c>
      <c r="F406" s="1">
        <v>27.827000000000002</v>
      </c>
    </row>
    <row r="407" spans="1:6" x14ac:dyDescent="0.3">
      <c r="A407" s="2">
        <f t="shared" si="9"/>
        <v>46057</v>
      </c>
      <c r="B407" s="3">
        <f t="shared" si="10"/>
        <v>7.4583333333332948</v>
      </c>
      <c r="C407" s="1">
        <v>29.868300000000001</v>
      </c>
      <c r="D407" s="1">
        <v>31.495799999999999</v>
      </c>
      <c r="E407" s="1">
        <v>29.598199999999999</v>
      </c>
      <c r="F407" s="1">
        <v>28.129000000000001</v>
      </c>
    </row>
    <row r="408" spans="1:6" x14ac:dyDescent="0.3">
      <c r="A408" s="2">
        <f t="shared" si="9"/>
        <v>46057</v>
      </c>
      <c r="B408" s="3">
        <f t="shared" si="10"/>
        <v>7.4791666666666279</v>
      </c>
      <c r="C408" s="1">
        <v>29.8903</v>
      </c>
      <c r="D408" s="1">
        <v>31.582999999999998</v>
      </c>
      <c r="E408" s="1">
        <v>29.777999999999999</v>
      </c>
      <c r="F408" s="1">
        <v>28.168700000000001</v>
      </c>
    </row>
    <row r="409" spans="1:6" x14ac:dyDescent="0.3">
      <c r="A409" s="2">
        <f t="shared" si="9"/>
        <v>46057</v>
      </c>
      <c r="B409" s="3">
        <f t="shared" si="10"/>
        <v>7.4999999999999609</v>
      </c>
      <c r="C409" s="1">
        <v>29.901199999999999</v>
      </c>
      <c r="D409" s="1">
        <v>31.605799999999999</v>
      </c>
      <c r="E409" s="1">
        <v>29.852499999999999</v>
      </c>
      <c r="F409" s="1">
        <v>28.168199999999999</v>
      </c>
    </row>
    <row r="410" spans="1:6" x14ac:dyDescent="0.3">
      <c r="A410" s="2">
        <f t="shared" si="9"/>
        <v>46057</v>
      </c>
      <c r="B410" s="3">
        <f t="shared" si="10"/>
        <v>7.520833333333294</v>
      </c>
      <c r="C410" s="1">
        <v>29.8794</v>
      </c>
      <c r="D410" s="1">
        <v>31.469100000000001</v>
      </c>
      <c r="E410" s="1">
        <v>29.822099999999999</v>
      </c>
      <c r="F410" s="1">
        <v>28.125599999999999</v>
      </c>
    </row>
    <row r="411" spans="1:6" x14ac:dyDescent="0.3">
      <c r="A411" s="2">
        <f t="shared" si="9"/>
        <v>46057</v>
      </c>
      <c r="B411" s="3">
        <f t="shared" si="10"/>
        <v>7.541666666666627</v>
      </c>
      <c r="C411" s="1">
        <v>29.824400000000001</v>
      </c>
      <c r="D411" s="1">
        <v>31.311599999999999</v>
      </c>
      <c r="E411" s="1">
        <v>29.793600000000001</v>
      </c>
      <c r="F411" s="1">
        <v>28.104199999999999</v>
      </c>
    </row>
    <row r="412" spans="1:6" x14ac:dyDescent="0.3">
      <c r="A412" s="2">
        <f t="shared" si="9"/>
        <v>46057</v>
      </c>
      <c r="B412" s="3">
        <f t="shared" si="10"/>
        <v>7.56249999999996</v>
      </c>
      <c r="C412" s="1">
        <v>29.5488</v>
      </c>
      <c r="D412" s="1">
        <v>30.996400000000001</v>
      </c>
      <c r="E412" s="1">
        <v>29.597000000000001</v>
      </c>
      <c r="F412" s="1">
        <v>27.836099999999998</v>
      </c>
    </row>
    <row r="413" spans="1:6" x14ac:dyDescent="0.3">
      <c r="A413" s="2">
        <f t="shared" si="9"/>
        <v>46057</v>
      </c>
      <c r="B413" s="3">
        <f t="shared" si="10"/>
        <v>7.5833333333332931</v>
      </c>
      <c r="C413" s="1">
        <v>29.465299999999999</v>
      </c>
      <c r="D413" s="1">
        <v>30.875800000000002</v>
      </c>
      <c r="E413" s="1">
        <v>29.728999999999999</v>
      </c>
      <c r="F413" s="1">
        <v>27.8062</v>
      </c>
    </row>
    <row r="414" spans="1:6" x14ac:dyDescent="0.3">
      <c r="A414" s="2">
        <f t="shared" si="9"/>
        <v>46057</v>
      </c>
      <c r="B414" s="3">
        <f t="shared" si="10"/>
        <v>7.6041666666666261</v>
      </c>
      <c r="C414" s="1">
        <v>29.8978</v>
      </c>
      <c r="D414" s="1">
        <v>31.380199999999999</v>
      </c>
      <c r="E414" s="1">
        <v>30.3506</v>
      </c>
      <c r="F414" s="1">
        <v>28.245899999999999</v>
      </c>
    </row>
    <row r="415" spans="1:6" x14ac:dyDescent="0.3">
      <c r="A415" s="2">
        <f t="shared" si="9"/>
        <v>46057</v>
      </c>
      <c r="B415" s="3">
        <f t="shared" si="10"/>
        <v>7.6249999999999591</v>
      </c>
      <c r="C415" s="1">
        <v>29.905999999999999</v>
      </c>
      <c r="D415" s="1">
        <v>31.397099999999998</v>
      </c>
      <c r="E415" s="1">
        <v>30.512899999999998</v>
      </c>
      <c r="F415" s="1">
        <v>28.2986</v>
      </c>
    </row>
    <row r="416" spans="1:6" x14ac:dyDescent="0.3">
      <c r="A416" s="2">
        <f t="shared" si="9"/>
        <v>46057</v>
      </c>
      <c r="B416" s="3">
        <f t="shared" si="10"/>
        <v>7.6458333333332922</v>
      </c>
      <c r="C416" s="1">
        <v>32.886899999999997</v>
      </c>
      <c r="D416" s="1">
        <v>34.592199999999998</v>
      </c>
      <c r="E416" s="1">
        <v>33.771700000000003</v>
      </c>
      <c r="F416" s="1">
        <v>31.169499999999999</v>
      </c>
    </row>
    <row r="417" spans="1:6" x14ac:dyDescent="0.3">
      <c r="A417" s="2">
        <f t="shared" si="9"/>
        <v>46057</v>
      </c>
      <c r="B417" s="3">
        <f t="shared" si="10"/>
        <v>7.6666666666666252</v>
      </c>
      <c r="C417" s="1">
        <v>32.869999999999997</v>
      </c>
      <c r="D417" s="1">
        <v>34.4816</v>
      </c>
      <c r="E417" s="1">
        <v>33.883699999999997</v>
      </c>
      <c r="F417" s="1">
        <v>31.168500000000002</v>
      </c>
    </row>
    <row r="418" spans="1:6" x14ac:dyDescent="0.3">
      <c r="A418" s="2">
        <f t="shared" si="9"/>
        <v>46057</v>
      </c>
      <c r="B418" s="3">
        <f t="shared" si="10"/>
        <v>7.6874999999999583</v>
      </c>
      <c r="C418" s="1">
        <v>32.613399999999999</v>
      </c>
      <c r="D418" s="1">
        <v>34.354199999999999</v>
      </c>
      <c r="E418" s="1">
        <v>34.004199999999997</v>
      </c>
      <c r="F418" s="1">
        <v>31.027000000000001</v>
      </c>
    </row>
    <row r="419" spans="1:6" x14ac:dyDescent="0.3">
      <c r="A419" s="2">
        <f t="shared" ref="A419:A482" si="11">+A371+1</f>
        <v>46057</v>
      </c>
      <c r="B419" s="3">
        <f t="shared" si="10"/>
        <v>7.7083333333332913</v>
      </c>
      <c r="C419" s="1">
        <v>32.5974</v>
      </c>
      <c r="D419" s="1">
        <v>34.326599999999999</v>
      </c>
      <c r="E419" s="1">
        <v>34.2791</v>
      </c>
      <c r="F419" s="1">
        <v>31.0578</v>
      </c>
    </row>
    <row r="420" spans="1:6" x14ac:dyDescent="0.3">
      <c r="A420" s="2">
        <f t="shared" si="11"/>
        <v>46057</v>
      </c>
      <c r="B420" s="3">
        <f t="shared" si="10"/>
        <v>7.7291666666666243</v>
      </c>
      <c r="C420" s="1">
        <v>32.578600000000002</v>
      </c>
      <c r="D420" s="1">
        <v>34.222499999999997</v>
      </c>
      <c r="E420" s="1">
        <v>34.415300000000002</v>
      </c>
      <c r="F420" s="1">
        <v>31.0608</v>
      </c>
    </row>
    <row r="421" spans="1:6" x14ac:dyDescent="0.3">
      <c r="A421" s="2">
        <f t="shared" si="11"/>
        <v>46057</v>
      </c>
      <c r="B421" s="3">
        <f t="shared" si="10"/>
        <v>7.7499999999999574</v>
      </c>
      <c r="C421" s="1">
        <v>25.479700000000001</v>
      </c>
      <c r="D421" s="1">
        <v>26.6479</v>
      </c>
      <c r="E421" s="1">
        <v>27.0976</v>
      </c>
      <c r="F421" s="1">
        <v>24.356100000000001</v>
      </c>
    </row>
    <row r="422" spans="1:6" x14ac:dyDescent="0.3">
      <c r="A422" s="2">
        <f t="shared" si="11"/>
        <v>46057</v>
      </c>
      <c r="B422" s="3">
        <f t="shared" si="10"/>
        <v>7.7708333333332904</v>
      </c>
      <c r="C422" s="1">
        <v>25.0273</v>
      </c>
      <c r="D422" s="1">
        <v>26.1892</v>
      </c>
      <c r="E422" s="1">
        <v>26.683</v>
      </c>
      <c r="F422" s="1">
        <v>23.941299999999998</v>
      </c>
    </row>
    <row r="423" spans="1:6" x14ac:dyDescent="0.3">
      <c r="A423" s="2">
        <f t="shared" si="11"/>
        <v>46057</v>
      </c>
      <c r="B423" s="3">
        <f t="shared" si="10"/>
        <v>7.7916666666666234</v>
      </c>
      <c r="C423" s="1">
        <v>29.600200000000001</v>
      </c>
      <c r="D423" s="1">
        <v>31.2118</v>
      </c>
      <c r="E423" s="1">
        <v>31.582699999999999</v>
      </c>
      <c r="F423" s="1">
        <v>28.3277</v>
      </c>
    </row>
    <row r="424" spans="1:6" x14ac:dyDescent="0.3">
      <c r="A424" s="2">
        <f t="shared" si="11"/>
        <v>46057</v>
      </c>
      <c r="B424" s="3">
        <f t="shared" si="10"/>
        <v>7.8124999999999565</v>
      </c>
      <c r="C424" s="1">
        <v>32.546700000000001</v>
      </c>
      <c r="D424" s="1">
        <v>34.4651</v>
      </c>
      <c r="E424" s="1">
        <v>34.759599999999999</v>
      </c>
      <c r="F424" s="1">
        <v>31.173400000000001</v>
      </c>
    </row>
    <row r="425" spans="1:6" x14ac:dyDescent="0.3">
      <c r="A425" s="2">
        <f t="shared" si="11"/>
        <v>46057</v>
      </c>
      <c r="B425" s="3">
        <f t="shared" si="10"/>
        <v>7.8333333333332895</v>
      </c>
      <c r="C425" s="1">
        <v>32.546500000000002</v>
      </c>
      <c r="D425" s="1">
        <v>34.464500000000001</v>
      </c>
      <c r="E425" s="1">
        <v>34.817300000000003</v>
      </c>
      <c r="F425" s="1">
        <v>31.189900000000002</v>
      </c>
    </row>
    <row r="426" spans="1:6" x14ac:dyDescent="0.3">
      <c r="A426" s="2">
        <f t="shared" si="11"/>
        <v>46057</v>
      </c>
      <c r="B426" s="3">
        <f t="shared" si="10"/>
        <v>7.8541666666666226</v>
      </c>
      <c r="C426" s="1">
        <v>32.533499999999997</v>
      </c>
      <c r="D426" s="1">
        <v>34.406300000000002</v>
      </c>
      <c r="E426" s="1">
        <v>34.837299999999999</v>
      </c>
      <c r="F426" s="1">
        <v>31.188199999999998</v>
      </c>
    </row>
    <row r="427" spans="1:6" x14ac:dyDescent="0.3">
      <c r="A427" s="2">
        <f t="shared" si="11"/>
        <v>46057</v>
      </c>
      <c r="B427" s="3">
        <f t="shared" si="10"/>
        <v>7.8749999999999556</v>
      </c>
      <c r="C427" s="1">
        <v>32.537700000000001</v>
      </c>
      <c r="D427" s="1">
        <v>34.392000000000003</v>
      </c>
      <c r="E427" s="1">
        <v>34.829599999999999</v>
      </c>
      <c r="F427" s="1">
        <v>31.1797</v>
      </c>
    </row>
    <row r="428" spans="1:6" x14ac:dyDescent="0.3">
      <c r="A428" s="2">
        <f t="shared" si="11"/>
        <v>46057</v>
      </c>
      <c r="B428" s="3">
        <f t="shared" si="10"/>
        <v>7.8958333333332886</v>
      </c>
      <c r="C428" s="1">
        <v>30.197700000000001</v>
      </c>
      <c r="D428" s="1">
        <v>31.9207</v>
      </c>
      <c r="E428" s="1">
        <v>32.2791</v>
      </c>
      <c r="F428" s="1">
        <v>28.9177</v>
      </c>
    </row>
    <row r="429" spans="1:6" x14ac:dyDescent="0.3">
      <c r="A429" s="2">
        <f t="shared" si="11"/>
        <v>46057</v>
      </c>
      <c r="B429" s="3">
        <f t="shared" si="10"/>
        <v>7.9166666666666217</v>
      </c>
      <c r="C429" s="1">
        <v>29.826499999999999</v>
      </c>
      <c r="D429" s="1">
        <v>31.442900000000002</v>
      </c>
      <c r="E429" s="1">
        <v>31.872</v>
      </c>
      <c r="F429" s="1">
        <v>28.6035</v>
      </c>
    </row>
    <row r="430" spans="1:6" x14ac:dyDescent="0.3">
      <c r="A430" s="2">
        <f t="shared" si="11"/>
        <v>46057</v>
      </c>
      <c r="B430" s="3">
        <f t="shared" si="10"/>
        <v>7.9374999999999547</v>
      </c>
      <c r="C430" s="1">
        <v>29.565200000000001</v>
      </c>
      <c r="D430" s="1">
        <v>31.055399999999999</v>
      </c>
      <c r="E430" s="1">
        <v>31.555199999999999</v>
      </c>
      <c r="F430" s="1">
        <v>28.355699999999999</v>
      </c>
    </row>
    <row r="431" spans="1:6" x14ac:dyDescent="0.3">
      <c r="A431" s="2">
        <f t="shared" si="11"/>
        <v>46057</v>
      </c>
      <c r="B431" s="3">
        <f t="shared" si="10"/>
        <v>7.9583333333332877</v>
      </c>
      <c r="C431" s="1">
        <v>29.184000000000001</v>
      </c>
      <c r="D431" s="1">
        <v>30.517600000000002</v>
      </c>
      <c r="E431" s="1">
        <v>31.1525</v>
      </c>
      <c r="F431" s="1">
        <v>27.9984</v>
      </c>
    </row>
    <row r="432" spans="1:6" x14ac:dyDescent="0.3">
      <c r="A432" s="2">
        <f t="shared" si="11"/>
        <v>46057</v>
      </c>
      <c r="B432" s="3">
        <f t="shared" si="10"/>
        <v>7.9791666666666208</v>
      </c>
      <c r="C432" s="1">
        <v>24.510300000000001</v>
      </c>
      <c r="D432" s="1">
        <v>25.686399999999999</v>
      </c>
      <c r="E432" s="1">
        <v>26.13</v>
      </c>
      <c r="F432" s="1">
        <v>23.5001</v>
      </c>
    </row>
    <row r="433" spans="1:6" x14ac:dyDescent="0.3">
      <c r="A433" s="2">
        <f t="shared" si="11"/>
        <v>46057</v>
      </c>
      <c r="B433" s="3">
        <f t="shared" si="10"/>
        <v>7.9999999999999538</v>
      </c>
      <c r="C433" s="1">
        <v>23.758900000000001</v>
      </c>
      <c r="D433" s="1">
        <v>24.812200000000001</v>
      </c>
      <c r="E433" s="1">
        <v>25.285299999999999</v>
      </c>
      <c r="F433" s="1">
        <v>22.776</v>
      </c>
    </row>
    <row r="434" spans="1:6" x14ac:dyDescent="0.3">
      <c r="A434" s="2">
        <f t="shared" si="11"/>
        <v>46058</v>
      </c>
      <c r="B434" s="3">
        <f t="shared" si="10"/>
        <v>8.0208333333332877</v>
      </c>
      <c r="C434" s="1">
        <v>24.934699999999999</v>
      </c>
      <c r="D434" s="1">
        <v>26.032800000000002</v>
      </c>
      <c r="E434" s="1">
        <v>26.683499999999999</v>
      </c>
      <c r="F434" s="1">
        <v>23.963699999999999</v>
      </c>
    </row>
    <row r="435" spans="1:6" x14ac:dyDescent="0.3">
      <c r="A435" s="2">
        <f t="shared" si="11"/>
        <v>46058</v>
      </c>
      <c r="B435" s="3">
        <f t="shared" si="10"/>
        <v>8.0416666666666217</v>
      </c>
      <c r="C435" s="1">
        <v>24.631699999999999</v>
      </c>
      <c r="D435" s="1">
        <v>25.6343</v>
      </c>
      <c r="E435" s="1">
        <v>26.320699999999999</v>
      </c>
      <c r="F435" s="1">
        <v>23.663</v>
      </c>
    </row>
    <row r="436" spans="1:6" x14ac:dyDescent="0.3">
      <c r="A436" s="2">
        <f t="shared" si="11"/>
        <v>46058</v>
      </c>
      <c r="B436" s="3">
        <f t="shared" ref="B436:B499" si="12">+B435+1/48</f>
        <v>8.0624999999999556</v>
      </c>
      <c r="C436" s="1">
        <v>24.552399999999999</v>
      </c>
      <c r="D436" s="1">
        <v>25.520199999999999</v>
      </c>
      <c r="E436" s="1">
        <v>26.238</v>
      </c>
      <c r="F436" s="1">
        <v>23.584800000000001</v>
      </c>
    </row>
    <row r="437" spans="1:6" x14ac:dyDescent="0.3">
      <c r="A437" s="2">
        <f t="shared" si="11"/>
        <v>46058</v>
      </c>
      <c r="B437" s="3">
        <f t="shared" si="12"/>
        <v>8.0833333333332895</v>
      </c>
      <c r="C437" s="1">
        <v>24.5077</v>
      </c>
      <c r="D437" s="1">
        <v>25.421099999999999</v>
      </c>
      <c r="E437" s="1">
        <v>26.1722</v>
      </c>
      <c r="F437" s="1">
        <v>23.54</v>
      </c>
    </row>
    <row r="438" spans="1:6" x14ac:dyDescent="0.3">
      <c r="A438" s="2">
        <f t="shared" si="11"/>
        <v>46058</v>
      </c>
      <c r="B438" s="3">
        <f t="shared" si="12"/>
        <v>8.1041666666666234</v>
      </c>
      <c r="C438" s="1">
        <v>23.7455</v>
      </c>
      <c r="D438" s="1">
        <v>24.619199999999999</v>
      </c>
      <c r="E438" s="1">
        <v>25.355899999999998</v>
      </c>
      <c r="F438" s="1">
        <v>22.813600000000001</v>
      </c>
    </row>
    <row r="439" spans="1:6" x14ac:dyDescent="0.3">
      <c r="A439" s="2">
        <f t="shared" si="11"/>
        <v>46058</v>
      </c>
      <c r="B439" s="3">
        <f t="shared" si="12"/>
        <v>8.1249999999999574</v>
      </c>
      <c r="C439" s="1">
        <v>23.738499999999998</v>
      </c>
      <c r="D439" s="1">
        <v>24.5749</v>
      </c>
      <c r="E439" s="1">
        <v>25.356999999999999</v>
      </c>
      <c r="F439" s="1">
        <v>22.805700000000002</v>
      </c>
    </row>
    <row r="440" spans="1:6" x14ac:dyDescent="0.3">
      <c r="A440" s="2">
        <f t="shared" si="11"/>
        <v>46058</v>
      </c>
      <c r="B440" s="3">
        <f t="shared" si="12"/>
        <v>8.1458333333332913</v>
      </c>
      <c r="C440" s="1">
        <v>23.7561</v>
      </c>
      <c r="D440" s="1">
        <v>24.555399999999999</v>
      </c>
      <c r="E440" s="1">
        <v>25.336300000000001</v>
      </c>
      <c r="F440" s="1">
        <v>22.809799999999999</v>
      </c>
    </row>
    <row r="441" spans="1:6" x14ac:dyDescent="0.3">
      <c r="A441" s="2">
        <f t="shared" si="11"/>
        <v>46058</v>
      </c>
      <c r="B441" s="3">
        <f t="shared" si="12"/>
        <v>8.1666666666666252</v>
      </c>
      <c r="C441" s="1">
        <v>24.322199999999999</v>
      </c>
      <c r="D441" s="1">
        <v>25.197099999999999</v>
      </c>
      <c r="E441" s="1">
        <v>26.017900000000001</v>
      </c>
      <c r="F441" s="1">
        <v>23.377099999999999</v>
      </c>
    </row>
    <row r="442" spans="1:6" x14ac:dyDescent="0.3">
      <c r="A442" s="2">
        <f t="shared" si="11"/>
        <v>46058</v>
      </c>
      <c r="B442" s="3">
        <f t="shared" si="12"/>
        <v>8.1874999999999591</v>
      </c>
      <c r="C442" s="1">
        <v>24.367999999999999</v>
      </c>
      <c r="D442" s="1">
        <v>25.263400000000001</v>
      </c>
      <c r="E442" s="1">
        <v>26.0746</v>
      </c>
      <c r="F442" s="1">
        <v>23.4297</v>
      </c>
    </row>
    <row r="443" spans="1:6" x14ac:dyDescent="0.3">
      <c r="A443" s="2">
        <f t="shared" si="11"/>
        <v>46058</v>
      </c>
      <c r="B443" s="3">
        <f t="shared" si="12"/>
        <v>8.2083333333332931</v>
      </c>
      <c r="C443" s="1">
        <v>24.321000000000002</v>
      </c>
      <c r="D443" s="1">
        <v>25.200399999999998</v>
      </c>
      <c r="E443" s="1">
        <v>25.9864</v>
      </c>
      <c r="F443" s="1">
        <v>23.363900000000001</v>
      </c>
    </row>
    <row r="444" spans="1:6" x14ac:dyDescent="0.3">
      <c r="A444" s="2">
        <f t="shared" si="11"/>
        <v>46058</v>
      </c>
      <c r="B444" s="3">
        <f t="shared" si="12"/>
        <v>8.229166666666627</v>
      </c>
      <c r="C444" s="1">
        <v>24.498899999999999</v>
      </c>
      <c r="D444" s="1">
        <v>25.447700000000001</v>
      </c>
      <c r="E444" s="1">
        <v>26.2209</v>
      </c>
      <c r="F444" s="1">
        <v>23.5547</v>
      </c>
    </row>
    <row r="445" spans="1:6" x14ac:dyDescent="0.3">
      <c r="A445" s="2">
        <f t="shared" si="11"/>
        <v>46058</v>
      </c>
      <c r="B445" s="3">
        <f t="shared" si="12"/>
        <v>8.2499999999999609</v>
      </c>
      <c r="C445" s="1">
        <v>24.5185</v>
      </c>
      <c r="D445" s="1">
        <v>25.495100000000001</v>
      </c>
      <c r="E445" s="1">
        <v>26.181699999999999</v>
      </c>
      <c r="F445" s="1">
        <v>23.556999999999999</v>
      </c>
    </row>
    <row r="446" spans="1:6" x14ac:dyDescent="0.3">
      <c r="A446" s="2">
        <f t="shared" si="11"/>
        <v>46058</v>
      </c>
      <c r="B446" s="3">
        <f t="shared" si="12"/>
        <v>8.2708333333332948</v>
      </c>
      <c r="C446" s="1">
        <v>23.7547</v>
      </c>
      <c r="D446" s="1">
        <v>24.6921</v>
      </c>
      <c r="E446" s="1">
        <v>25.1373</v>
      </c>
      <c r="F446" s="1">
        <v>22.7653</v>
      </c>
    </row>
    <row r="447" spans="1:6" x14ac:dyDescent="0.3">
      <c r="A447" s="2">
        <f t="shared" si="11"/>
        <v>46058</v>
      </c>
      <c r="B447" s="3">
        <f t="shared" si="12"/>
        <v>8.2916666666666288</v>
      </c>
      <c r="C447" s="1">
        <v>22.673200000000001</v>
      </c>
      <c r="D447" s="1">
        <v>23.5808</v>
      </c>
      <c r="E447" s="1">
        <v>23.6828</v>
      </c>
      <c r="F447" s="1">
        <v>21.654</v>
      </c>
    </row>
    <row r="448" spans="1:6" x14ac:dyDescent="0.3">
      <c r="A448" s="2">
        <f t="shared" si="11"/>
        <v>46058</v>
      </c>
      <c r="B448" s="3">
        <f t="shared" si="12"/>
        <v>8.3124999999999627</v>
      </c>
      <c r="C448" s="1">
        <v>23.8141</v>
      </c>
      <c r="D448" s="1">
        <v>24.805399999999999</v>
      </c>
      <c r="E448" s="1">
        <v>24.507300000000001</v>
      </c>
      <c r="F448" s="1">
        <v>22.665700000000001</v>
      </c>
    </row>
    <row r="449" spans="1:6" x14ac:dyDescent="0.3">
      <c r="A449" s="2">
        <f t="shared" si="11"/>
        <v>46058</v>
      </c>
      <c r="B449" s="3">
        <f t="shared" si="12"/>
        <v>8.3333333333332966</v>
      </c>
      <c r="C449" s="1">
        <v>22.720600000000001</v>
      </c>
      <c r="D449" s="1">
        <v>23.732500000000002</v>
      </c>
      <c r="E449" s="1">
        <v>23.1782</v>
      </c>
      <c r="F449" s="1">
        <v>21.584499999999998</v>
      </c>
    </row>
    <row r="450" spans="1:6" x14ac:dyDescent="0.3">
      <c r="A450" s="2">
        <f t="shared" si="11"/>
        <v>46058</v>
      </c>
      <c r="B450" s="3">
        <f t="shared" si="12"/>
        <v>8.3541666666666305</v>
      </c>
      <c r="C450" s="1">
        <v>24.7225</v>
      </c>
      <c r="D450" s="1">
        <v>25.993099999999998</v>
      </c>
      <c r="E450" s="1">
        <v>25.064</v>
      </c>
      <c r="F450" s="1">
        <v>23.4528</v>
      </c>
    </row>
    <row r="451" spans="1:6" x14ac:dyDescent="0.3">
      <c r="A451" s="2">
        <f t="shared" si="11"/>
        <v>46058</v>
      </c>
      <c r="B451" s="3">
        <f t="shared" si="12"/>
        <v>8.3749999999999645</v>
      </c>
      <c r="C451" s="1">
        <v>25.6205</v>
      </c>
      <c r="D451" s="1">
        <v>27.051300000000001</v>
      </c>
      <c r="E451" s="1">
        <v>25.9221</v>
      </c>
      <c r="F451" s="1">
        <v>24.291</v>
      </c>
    </row>
    <row r="452" spans="1:6" x14ac:dyDescent="0.3">
      <c r="A452" s="2">
        <f t="shared" si="11"/>
        <v>46058</v>
      </c>
      <c r="B452" s="3">
        <f t="shared" si="12"/>
        <v>8.3958333333332984</v>
      </c>
      <c r="C452" s="1">
        <v>30.8537</v>
      </c>
      <c r="D452" s="1">
        <v>32.487200000000001</v>
      </c>
      <c r="E452" s="1">
        <v>31.114699999999999</v>
      </c>
      <c r="F452" s="1">
        <v>29.217300000000002</v>
      </c>
    </row>
    <row r="453" spans="1:6" x14ac:dyDescent="0.3">
      <c r="A453" s="2">
        <f t="shared" si="11"/>
        <v>46058</v>
      </c>
      <c r="B453" s="3">
        <f t="shared" si="12"/>
        <v>8.4166666666666323</v>
      </c>
      <c r="C453" s="1">
        <v>29.796199999999999</v>
      </c>
      <c r="D453" s="1">
        <v>31.430599999999998</v>
      </c>
      <c r="E453" s="1">
        <v>29.946400000000001</v>
      </c>
      <c r="F453" s="1">
        <v>28.2011</v>
      </c>
    </row>
    <row r="454" spans="1:6" x14ac:dyDescent="0.3">
      <c r="A454" s="2">
        <f t="shared" si="11"/>
        <v>46058</v>
      </c>
      <c r="B454" s="3">
        <f t="shared" si="12"/>
        <v>8.4374999999999662</v>
      </c>
      <c r="C454" s="1">
        <v>30.735499999999998</v>
      </c>
      <c r="D454" s="1">
        <v>32.456699999999998</v>
      </c>
      <c r="E454" s="1">
        <v>30.867799999999999</v>
      </c>
      <c r="F454" s="1">
        <v>29.062000000000001</v>
      </c>
    </row>
    <row r="455" spans="1:6" x14ac:dyDescent="0.3">
      <c r="A455" s="2">
        <f t="shared" si="11"/>
        <v>46058</v>
      </c>
      <c r="B455" s="3">
        <f t="shared" si="12"/>
        <v>8.4583333333333002</v>
      </c>
      <c r="C455" s="1">
        <v>30.8261</v>
      </c>
      <c r="D455" s="1">
        <v>32.612900000000003</v>
      </c>
      <c r="E455" s="1">
        <v>30.924700000000001</v>
      </c>
      <c r="F455" s="1">
        <v>29.1463</v>
      </c>
    </row>
    <row r="456" spans="1:6" x14ac:dyDescent="0.3">
      <c r="A456" s="2">
        <f t="shared" si="11"/>
        <v>46058</v>
      </c>
      <c r="B456" s="3">
        <f t="shared" si="12"/>
        <v>8.4791666666666341</v>
      </c>
      <c r="C456" s="1">
        <v>30.842700000000001</v>
      </c>
      <c r="D456" s="1">
        <v>32.576000000000001</v>
      </c>
      <c r="E456" s="1">
        <v>30.6389</v>
      </c>
      <c r="F456" s="1">
        <v>28.503599999999999</v>
      </c>
    </row>
    <row r="457" spans="1:6" x14ac:dyDescent="0.3">
      <c r="A457" s="2">
        <f t="shared" si="11"/>
        <v>46058</v>
      </c>
      <c r="B457" s="3">
        <f t="shared" si="12"/>
        <v>8.499999999999968</v>
      </c>
      <c r="C457" s="1">
        <v>29.854900000000001</v>
      </c>
      <c r="D457" s="1">
        <v>31.579499999999999</v>
      </c>
      <c r="E457" s="1">
        <v>29.889700000000001</v>
      </c>
      <c r="F457" s="1">
        <v>28.1891</v>
      </c>
    </row>
    <row r="458" spans="1:6" x14ac:dyDescent="0.3">
      <c r="A458" s="2">
        <f t="shared" si="11"/>
        <v>46058</v>
      </c>
      <c r="B458" s="3">
        <f t="shared" si="12"/>
        <v>8.520833333333302</v>
      </c>
      <c r="C458" s="1">
        <v>32.856699999999996</v>
      </c>
      <c r="D458" s="1">
        <v>34.7605</v>
      </c>
      <c r="E458" s="1">
        <v>32.907600000000002</v>
      </c>
      <c r="F458" s="1">
        <v>30.8186</v>
      </c>
    </row>
    <row r="459" spans="1:6" x14ac:dyDescent="0.3">
      <c r="A459" s="2">
        <f t="shared" si="11"/>
        <v>46058</v>
      </c>
      <c r="B459" s="3">
        <f t="shared" si="12"/>
        <v>8.5416666666666359</v>
      </c>
      <c r="C459" s="1">
        <v>32.815600000000003</v>
      </c>
      <c r="D459" s="1">
        <v>34.604700000000001</v>
      </c>
      <c r="E459" s="1">
        <v>32.8155</v>
      </c>
      <c r="F459" s="1">
        <v>30.770800000000001</v>
      </c>
    </row>
    <row r="460" spans="1:6" x14ac:dyDescent="0.3">
      <c r="A460" s="2">
        <f t="shared" si="11"/>
        <v>46058</v>
      </c>
      <c r="B460" s="3">
        <f t="shared" si="12"/>
        <v>8.5624999999999698</v>
      </c>
      <c r="C460" s="1">
        <v>25.676300000000001</v>
      </c>
      <c r="D460" s="1">
        <v>26.948899999999998</v>
      </c>
      <c r="E460" s="1">
        <v>25.7454</v>
      </c>
      <c r="F460" s="1">
        <v>24.1998</v>
      </c>
    </row>
    <row r="461" spans="1:6" x14ac:dyDescent="0.3">
      <c r="A461" s="2">
        <f t="shared" si="11"/>
        <v>46058</v>
      </c>
      <c r="B461" s="3">
        <f t="shared" si="12"/>
        <v>8.5833333333333037</v>
      </c>
      <c r="C461" s="1">
        <v>32.7851</v>
      </c>
      <c r="D461" s="1">
        <v>34.411000000000001</v>
      </c>
      <c r="E461" s="1">
        <v>32.9848</v>
      </c>
      <c r="F461" s="1">
        <v>30.745899999999999</v>
      </c>
    </row>
    <row r="462" spans="1:6" x14ac:dyDescent="0.3">
      <c r="A462" s="2">
        <f t="shared" si="11"/>
        <v>46058</v>
      </c>
      <c r="B462" s="3">
        <f t="shared" si="12"/>
        <v>8.6041666666666377</v>
      </c>
      <c r="C462" s="1">
        <v>32.7973</v>
      </c>
      <c r="D462" s="1">
        <v>34.413899999999998</v>
      </c>
      <c r="E462" s="1">
        <v>33.127600000000001</v>
      </c>
      <c r="F462" s="1">
        <v>30.774100000000001</v>
      </c>
    </row>
    <row r="463" spans="1:6" x14ac:dyDescent="0.3">
      <c r="A463" s="2">
        <f t="shared" si="11"/>
        <v>46058</v>
      </c>
      <c r="B463" s="3">
        <f t="shared" si="12"/>
        <v>8.6249999999999716</v>
      </c>
      <c r="C463" s="1">
        <v>31.969000000000001</v>
      </c>
      <c r="D463" s="1">
        <v>32.390999999999998</v>
      </c>
      <c r="E463" s="1">
        <v>30.950099999999999</v>
      </c>
      <c r="F463" s="1">
        <v>28.189</v>
      </c>
    </row>
    <row r="464" spans="1:6" x14ac:dyDescent="0.3">
      <c r="A464" s="2">
        <f t="shared" si="11"/>
        <v>46058</v>
      </c>
      <c r="B464" s="3">
        <f t="shared" si="12"/>
        <v>8.6458333333333055</v>
      </c>
      <c r="C464" s="1">
        <v>52.998100000000001</v>
      </c>
      <c r="D464" s="1">
        <v>44.030900000000003</v>
      </c>
      <c r="E464" s="1">
        <v>39.641100000000002</v>
      </c>
      <c r="F464" s="1">
        <v>34.551499999999997</v>
      </c>
    </row>
    <row r="465" spans="1:6" x14ac:dyDescent="0.3">
      <c r="A465" s="2">
        <f t="shared" si="11"/>
        <v>46058</v>
      </c>
      <c r="B465" s="3">
        <f t="shared" si="12"/>
        <v>8.6666666666666394</v>
      </c>
      <c r="C465" s="1">
        <v>53.0901</v>
      </c>
      <c r="D465" s="1">
        <v>43.881700000000002</v>
      </c>
      <c r="E465" s="1">
        <v>40.155000000000001</v>
      </c>
      <c r="F465" s="1">
        <v>35.598199999999999</v>
      </c>
    </row>
    <row r="466" spans="1:6" x14ac:dyDescent="0.3">
      <c r="A466" s="2">
        <f t="shared" si="11"/>
        <v>46058</v>
      </c>
      <c r="B466" s="3">
        <f t="shared" si="12"/>
        <v>8.6874999999999734</v>
      </c>
      <c r="C466" s="1">
        <v>30.839500000000001</v>
      </c>
      <c r="D466" s="1">
        <v>32.313400000000001</v>
      </c>
      <c r="E466" s="1">
        <v>31.783300000000001</v>
      </c>
      <c r="F466" s="1">
        <v>29.205200000000001</v>
      </c>
    </row>
    <row r="467" spans="1:6" x14ac:dyDescent="0.3">
      <c r="A467" s="2">
        <f t="shared" si="11"/>
        <v>46058</v>
      </c>
      <c r="B467" s="3">
        <f t="shared" si="12"/>
        <v>8.7083333333333073</v>
      </c>
      <c r="C467" s="1">
        <v>30.729700000000001</v>
      </c>
      <c r="D467" s="1">
        <v>32.165599999999998</v>
      </c>
      <c r="E467" s="1">
        <v>31.927900000000001</v>
      </c>
      <c r="F467" s="1">
        <v>29.158300000000001</v>
      </c>
    </row>
    <row r="468" spans="1:6" x14ac:dyDescent="0.3">
      <c r="A468" s="2">
        <f t="shared" si="11"/>
        <v>46058</v>
      </c>
      <c r="B468" s="3">
        <f t="shared" si="12"/>
        <v>8.7291666666666412</v>
      </c>
      <c r="C468" s="1">
        <v>30.6602</v>
      </c>
      <c r="D468" s="1">
        <v>32.051499999999997</v>
      </c>
      <c r="E468" s="1">
        <v>32.021599999999999</v>
      </c>
      <c r="F468" s="1">
        <v>29.133199999999999</v>
      </c>
    </row>
    <row r="469" spans="1:6" x14ac:dyDescent="0.3">
      <c r="A469" s="2">
        <f t="shared" si="11"/>
        <v>46058</v>
      </c>
      <c r="B469" s="3">
        <f t="shared" si="12"/>
        <v>8.7499999999999751</v>
      </c>
      <c r="C469" s="1">
        <v>30.712199999999999</v>
      </c>
      <c r="D469" s="1">
        <v>31.912700000000001</v>
      </c>
      <c r="E469" s="1">
        <v>32.267600000000002</v>
      </c>
      <c r="F469" s="1">
        <v>29.232099999999999</v>
      </c>
    </row>
    <row r="470" spans="1:6" x14ac:dyDescent="0.3">
      <c r="A470" s="2">
        <f t="shared" si="11"/>
        <v>46058</v>
      </c>
      <c r="B470" s="3">
        <f t="shared" si="12"/>
        <v>8.7708333333333091</v>
      </c>
      <c r="C470" s="1">
        <v>25.477599999999999</v>
      </c>
      <c r="D470" s="1">
        <v>26.573</v>
      </c>
      <c r="E470" s="1">
        <v>26.971</v>
      </c>
      <c r="F470" s="1">
        <v>24.303899999999999</v>
      </c>
    </row>
    <row r="471" spans="1:6" x14ac:dyDescent="0.3">
      <c r="A471" s="2">
        <f t="shared" si="11"/>
        <v>46058</v>
      </c>
      <c r="B471" s="3">
        <f t="shared" si="12"/>
        <v>8.791666666666643</v>
      </c>
      <c r="C471" s="1">
        <v>32.549100000000003</v>
      </c>
      <c r="D471" s="1">
        <v>34.222700000000003</v>
      </c>
      <c r="E471" s="1">
        <v>34.474899999999998</v>
      </c>
      <c r="F471" s="1">
        <v>31.034500000000001</v>
      </c>
    </row>
    <row r="472" spans="1:6" x14ac:dyDescent="0.3">
      <c r="A472" s="2">
        <f t="shared" si="11"/>
        <v>46058</v>
      </c>
      <c r="B472" s="3">
        <f t="shared" si="12"/>
        <v>8.8124999999999769</v>
      </c>
      <c r="C472" s="1">
        <v>32.558300000000003</v>
      </c>
      <c r="D472" s="1">
        <v>34.352699999999999</v>
      </c>
      <c r="E472" s="1">
        <v>34.483800000000002</v>
      </c>
      <c r="F472" s="1">
        <v>31.046399999999998</v>
      </c>
    </row>
    <row r="473" spans="1:6" x14ac:dyDescent="0.3">
      <c r="A473" s="2">
        <f t="shared" si="11"/>
        <v>46058</v>
      </c>
      <c r="B473" s="3">
        <f t="shared" si="12"/>
        <v>8.8333333333333108</v>
      </c>
      <c r="C473" s="1">
        <v>32.556899999999999</v>
      </c>
      <c r="D473" s="1">
        <v>34.355200000000004</v>
      </c>
      <c r="E473" s="1">
        <v>34.49</v>
      </c>
      <c r="F473" s="1">
        <v>31.055299999999999</v>
      </c>
    </row>
    <row r="474" spans="1:6" x14ac:dyDescent="0.3">
      <c r="A474" s="2">
        <f t="shared" si="11"/>
        <v>46058</v>
      </c>
      <c r="B474" s="3">
        <f t="shared" si="12"/>
        <v>8.8541666666666448</v>
      </c>
      <c r="C474" s="1">
        <v>32.548299999999998</v>
      </c>
      <c r="D474" s="1">
        <v>34.297499999999999</v>
      </c>
      <c r="E474" s="1">
        <v>34.564999999999998</v>
      </c>
      <c r="F474" s="1">
        <v>31.079899999999999</v>
      </c>
    </row>
    <row r="475" spans="1:6" x14ac:dyDescent="0.3">
      <c r="A475" s="2">
        <f t="shared" si="11"/>
        <v>46058</v>
      </c>
      <c r="B475" s="3">
        <f t="shared" si="12"/>
        <v>8.8749999999999787</v>
      </c>
      <c r="C475" s="1">
        <v>30.6965</v>
      </c>
      <c r="D475" s="1">
        <v>32.376899999999999</v>
      </c>
      <c r="E475" s="1">
        <v>32.688600000000001</v>
      </c>
      <c r="F475" s="1">
        <v>29.336400000000001</v>
      </c>
    </row>
    <row r="476" spans="1:6" x14ac:dyDescent="0.3">
      <c r="A476" s="2">
        <f t="shared" si="11"/>
        <v>46058</v>
      </c>
      <c r="B476" s="3">
        <f t="shared" si="12"/>
        <v>8.8958333333333126</v>
      </c>
      <c r="C476" s="1">
        <v>29.613399999999999</v>
      </c>
      <c r="D476" s="1">
        <v>31.209</v>
      </c>
      <c r="E476" s="1">
        <v>31.4346</v>
      </c>
      <c r="F476" s="1">
        <v>28.281700000000001</v>
      </c>
    </row>
    <row r="477" spans="1:6" x14ac:dyDescent="0.3">
      <c r="A477" s="2">
        <f t="shared" si="11"/>
        <v>46058</v>
      </c>
      <c r="B477" s="3">
        <f t="shared" si="12"/>
        <v>8.9166666666666465</v>
      </c>
      <c r="C477" s="1">
        <v>29.598800000000001</v>
      </c>
      <c r="D477" s="1">
        <v>31.102599999999999</v>
      </c>
      <c r="E477" s="1">
        <v>31.386299999999999</v>
      </c>
      <c r="F477" s="1">
        <v>28.307400000000001</v>
      </c>
    </row>
    <row r="478" spans="1:6" x14ac:dyDescent="0.3">
      <c r="A478" s="2">
        <f t="shared" si="11"/>
        <v>46058</v>
      </c>
      <c r="B478" s="3">
        <f t="shared" si="12"/>
        <v>8.9374999999999805</v>
      </c>
      <c r="C478" s="1">
        <v>29.600899999999999</v>
      </c>
      <c r="D478" s="1">
        <v>31.0366</v>
      </c>
      <c r="E478" s="1">
        <v>31.409300000000002</v>
      </c>
      <c r="F478" s="1">
        <v>28.321100000000001</v>
      </c>
    </row>
    <row r="479" spans="1:6" x14ac:dyDescent="0.3">
      <c r="A479" s="2">
        <f t="shared" si="11"/>
        <v>46058</v>
      </c>
      <c r="B479" s="3">
        <f t="shared" si="12"/>
        <v>8.9583333333333144</v>
      </c>
      <c r="C479" s="1">
        <v>24.971900000000002</v>
      </c>
      <c r="D479" s="1">
        <v>26.037099999999999</v>
      </c>
      <c r="E479" s="1">
        <v>26.4573</v>
      </c>
      <c r="F479" s="1">
        <v>23.879300000000001</v>
      </c>
    </row>
    <row r="480" spans="1:6" x14ac:dyDescent="0.3">
      <c r="A480" s="2">
        <f t="shared" si="11"/>
        <v>46058</v>
      </c>
      <c r="B480" s="3">
        <f t="shared" si="12"/>
        <v>8.9791666666666483</v>
      </c>
      <c r="C480" s="1">
        <v>30.659600000000001</v>
      </c>
      <c r="D480" s="1">
        <v>31.945399999999999</v>
      </c>
      <c r="E480" s="1">
        <v>32.551900000000003</v>
      </c>
      <c r="F480" s="1">
        <v>29.328199999999999</v>
      </c>
    </row>
    <row r="481" spans="1:6" x14ac:dyDescent="0.3">
      <c r="A481" s="2">
        <f t="shared" si="11"/>
        <v>46058</v>
      </c>
      <c r="B481" s="3">
        <f t="shared" si="12"/>
        <v>8.9999999999999822</v>
      </c>
      <c r="C481" s="1">
        <v>24.954699999999999</v>
      </c>
      <c r="D481" s="1">
        <v>26.046099999999999</v>
      </c>
      <c r="E481" s="1">
        <v>26.466200000000001</v>
      </c>
      <c r="F481" s="1">
        <v>23.877300000000002</v>
      </c>
    </row>
    <row r="482" spans="1:6" x14ac:dyDescent="0.3">
      <c r="A482" s="2">
        <f t="shared" si="11"/>
        <v>46059</v>
      </c>
      <c r="B482" s="3">
        <f t="shared" si="12"/>
        <v>9.0208333333333162</v>
      </c>
      <c r="C482" s="1">
        <v>24.6965</v>
      </c>
      <c r="D482" s="1">
        <v>25.679200000000002</v>
      </c>
      <c r="E482" s="1">
        <v>26.2743</v>
      </c>
      <c r="F482" s="1">
        <v>23.649000000000001</v>
      </c>
    </row>
    <row r="483" spans="1:6" x14ac:dyDescent="0.3">
      <c r="A483" s="2">
        <f t="shared" ref="A483:A546" si="13">+A435+1</f>
        <v>46059</v>
      </c>
      <c r="B483" s="3">
        <f t="shared" si="12"/>
        <v>9.0416666666666501</v>
      </c>
      <c r="C483" s="1">
        <v>24.598500000000001</v>
      </c>
      <c r="D483" s="1">
        <v>25.515599999999999</v>
      </c>
      <c r="E483" s="1">
        <v>26.158300000000001</v>
      </c>
      <c r="F483" s="1">
        <v>23.55</v>
      </c>
    </row>
    <row r="484" spans="1:6" x14ac:dyDescent="0.3">
      <c r="A484" s="2">
        <f t="shared" si="13"/>
        <v>46059</v>
      </c>
      <c r="B484" s="3">
        <f t="shared" si="12"/>
        <v>9.062499999999984</v>
      </c>
      <c r="C484" s="1">
        <v>24.527000000000001</v>
      </c>
      <c r="D484" s="1">
        <v>25.389199999999999</v>
      </c>
      <c r="E484" s="1">
        <v>26.069400000000002</v>
      </c>
      <c r="F484" s="1">
        <v>23.4756</v>
      </c>
    </row>
    <row r="485" spans="1:6" x14ac:dyDescent="0.3">
      <c r="A485" s="2">
        <f t="shared" si="13"/>
        <v>46059</v>
      </c>
      <c r="B485" s="3">
        <f t="shared" si="12"/>
        <v>9.0833333333333179</v>
      </c>
      <c r="C485" s="1">
        <v>23.942900000000002</v>
      </c>
      <c r="D485" s="1">
        <v>24.748100000000001</v>
      </c>
      <c r="E485" s="1">
        <v>25.445900000000002</v>
      </c>
      <c r="F485" s="1">
        <v>22.923400000000001</v>
      </c>
    </row>
    <row r="486" spans="1:6" x14ac:dyDescent="0.3">
      <c r="A486" s="2">
        <f t="shared" si="13"/>
        <v>46059</v>
      </c>
      <c r="B486" s="3">
        <f t="shared" si="12"/>
        <v>9.1041666666666519</v>
      </c>
      <c r="C486" s="1">
        <v>23.8965</v>
      </c>
      <c r="D486" s="1">
        <v>24.691299999999998</v>
      </c>
      <c r="E486" s="1">
        <v>25.394500000000001</v>
      </c>
      <c r="F486" s="1">
        <v>22.888200000000001</v>
      </c>
    </row>
    <row r="487" spans="1:6" x14ac:dyDescent="0.3">
      <c r="A487" s="2">
        <f t="shared" si="13"/>
        <v>46059</v>
      </c>
      <c r="B487" s="3">
        <f t="shared" si="12"/>
        <v>9.1249999999999858</v>
      </c>
      <c r="C487" s="1">
        <v>23.908899999999999</v>
      </c>
      <c r="D487" s="1">
        <v>24.6557</v>
      </c>
      <c r="E487" s="1">
        <v>25.375399999999999</v>
      </c>
      <c r="F487" s="1">
        <v>22.8842</v>
      </c>
    </row>
    <row r="488" spans="1:6" x14ac:dyDescent="0.3">
      <c r="A488" s="2">
        <f t="shared" si="13"/>
        <v>46059</v>
      </c>
      <c r="B488" s="3">
        <f t="shared" si="12"/>
        <v>9.1458333333333197</v>
      </c>
      <c r="C488" s="1">
        <v>23.876000000000001</v>
      </c>
      <c r="D488" s="1">
        <v>24.616900000000001</v>
      </c>
      <c r="E488" s="1">
        <v>25.343699999999998</v>
      </c>
      <c r="F488" s="1">
        <v>22.861999999999998</v>
      </c>
    </row>
    <row r="489" spans="1:6" x14ac:dyDescent="0.3">
      <c r="A489" s="2">
        <f t="shared" si="13"/>
        <v>46059</v>
      </c>
      <c r="B489" s="3">
        <f t="shared" si="12"/>
        <v>9.1666666666666536</v>
      </c>
      <c r="C489" s="1">
        <v>23.888400000000001</v>
      </c>
      <c r="D489" s="1">
        <v>24.6616</v>
      </c>
      <c r="E489" s="1">
        <v>25.392099999999999</v>
      </c>
      <c r="F489" s="1">
        <v>22.884799999999998</v>
      </c>
    </row>
    <row r="490" spans="1:6" x14ac:dyDescent="0.3">
      <c r="A490" s="2">
        <f t="shared" si="13"/>
        <v>46059</v>
      </c>
      <c r="B490" s="3">
        <f t="shared" si="12"/>
        <v>9.1874999999999876</v>
      </c>
      <c r="C490" s="1">
        <v>23.8948</v>
      </c>
      <c r="D490" s="1">
        <v>24.6859</v>
      </c>
      <c r="E490" s="1">
        <v>25.4072</v>
      </c>
      <c r="F490" s="1">
        <v>22.890999999999998</v>
      </c>
    </row>
    <row r="491" spans="1:6" x14ac:dyDescent="0.3">
      <c r="A491" s="2">
        <f t="shared" si="13"/>
        <v>46059</v>
      </c>
      <c r="B491" s="3">
        <f t="shared" si="12"/>
        <v>9.2083333333333215</v>
      </c>
      <c r="C491" s="1">
        <v>23.885400000000001</v>
      </c>
      <c r="D491" s="1">
        <v>24.668700000000001</v>
      </c>
      <c r="E491" s="1">
        <v>25.369900000000001</v>
      </c>
      <c r="F491" s="1">
        <v>22.8565</v>
      </c>
    </row>
    <row r="492" spans="1:6" x14ac:dyDescent="0.3">
      <c r="A492" s="2">
        <f t="shared" si="13"/>
        <v>46059</v>
      </c>
      <c r="B492" s="3">
        <f t="shared" si="12"/>
        <v>9.2291666666666554</v>
      </c>
      <c r="C492" s="1">
        <v>23.9009</v>
      </c>
      <c r="D492" s="1">
        <v>24.717600000000001</v>
      </c>
      <c r="E492" s="1">
        <v>25.3766</v>
      </c>
      <c r="F492" s="1">
        <v>22.860099999999999</v>
      </c>
    </row>
    <row r="493" spans="1:6" x14ac:dyDescent="0.3">
      <c r="A493" s="2">
        <f t="shared" si="13"/>
        <v>46059</v>
      </c>
      <c r="B493" s="3">
        <f t="shared" si="12"/>
        <v>9.2499999999999893</v>
      </c>
      <c r="C493" s="1">
        <v>23.889399999999998</v>
      </c>
      <c r="D493" s="1">
        <v>24.732500000000002</v>
      </c>
      <c r="E493" s="1">
        <v>25.2941</v>
      </c>
      <c r="F493" s="1">
        <v>22.8262</v>
      </c>
    </row>
    <row r="494" spans="1:6" x14ac:dyDescent="0.3">
      <c r="A494" s="2">
        <f t="shared" si="13"/>
        <v>46059</v>
      </c>
      <c r="B494" s="3">
        <f t="shared" si="12"/>
        <v>9.2708333333333233</v>
      </c>
      <c r="C494" s="1">
        <v>0.73960000000000004</v>
      </c>
      <c r="D494" s="1">
        <v>0.76690000000000003</v>
      </c>
      <c r="E494" s="1">
        <v>0.77039999999999997</v>
      </c>
      <c r="F494" s="1">
        <v>0.70399999999999996</v>
      </c>
    </row>
    <row r="495" spans="1:6" x14ac:dyDescent="0.3">
      <c r="A495" s="2">
        <f t="shared" si="13"/>
        <v>46059</v>
      </c>
      <c r="B495" s="3">
        <f t="shared" si="12"/>
        <v>9.2916666666666572</v>
      </c>
      <c r="C495" s="1">
        <v>0.71989999999999998</v>
      </c>
      <c r="D495" s="1">
        <v>0.74870000000000003</v>
      </c>
      <c r="E495" s="1">
        <v>0.74009999999999998</v>
      </c>
      <c r="F495" s="1">
        <v>0.68330000000000002</v>
      </c>
    </row>
    <row r="496" spans="1:6" x14ac:dyDescent="0.3">
      <c r="A496" s="2">
        <f t="shared" si="13"/>
        <v>46059</v>
      </c>
      <c r="B496" s="3">
        <f t="shared" si="12"/>
        <v>9.3124999999999911</v>
      </c>
      <c r="C496" s="1">
        <v>0.74299999999999999</v>
      </c>
      <c r="D496" s="1">
        <v>0.77339999999999998</v>
      </c>
      <c r="E496" s="1">
        <v>0.75360000000000005</v>
      </c>
      <c r="F496" s="1">
        <v>0.70250000000000001</v>
      </c>
    </row>
    <row r="497" spans="1:6" x14ac:dyDescent="0.3">
      <c r="A497" s="2">
        <f t="shared" si="13"/>
        <v>46059</v>
      </c>
      <c r="B497" s="3">
        <f t="shared" si="12"/>
        <v>9.333333333333325</v>
      </c>
      <c r="C497" s="1">
        <v>0.75149999999999995</v>
      </c>
      <c r="D497" s="1">
        <v>0.78369999999999995</v>
      </c>
      <c r="E497" s="1">
        <v>0.75480000000000003</v>
      </c>
      <c r="F497" s="1">
        <v>0.70879999999999999</v>
      </c>
    </row>
    <row r="498" spans="1:6" x14ac:dyDescent="0.3">
      <c r="A498" s="2">
        <f t="shared" si="13"/>
        <v>46059</v>
      </c>
      <c r="B498" s="3">
        <f t="shared" si="12"/>
        <v>9.354166666666659</v>
      </c>
      <c r="C498" s="1">
        <v>22.784099999999999</v>
      </c>
      <c r="D498" s="1">
        <v>23.901599999999998</v>
      </c>
      <c r="E498" s="1">
        <v>22.749700000000001</v>
      </c>
      <c r="F498" s="1">
        <v>21.478000000000002</v>
      </c>
    </row>
    <row r="499" spans="1:6" x14ac:dyDescent="0.3">
      <c r="A499" s="2">
        <f t="shared" si="13"/>
        <v>46059</v>
      </c>
      <c r="B499" s="3">
        <f t="shared" si="12"/>
        <v>9.3749999999999929</v>
      </c>
      <c r="C499" s="1">
        <v>24.052099999999999</v>
      </c>
      <c r="D499" s="1">
        <v>25.337</v>
      </c>
      <c r="E499" s="1">
        <v>24.014700000000001</v>
      </c>
      <c r="F499" s="1">
        <v>22.668500000000002</v>
      </c>
    </row>
    <row r="500" spans="1:6" x14ac:dyDescent="0.3">
      <c r="A500" s="2">
        <f t="shared" si="13"/>
        <v>46059</v>
      </c>
      <c r="B500" s="3">
        <f t="shared" ref="B500:B563" si="14">+B499+1/48</f>
        <v>9.3958333333333268</v>
      </c>
      <c r="C500" s="1">
        <v>24.515899999999998</v>
      </c>
      <c r="D500" s="1">
        <v>25.934200000000001</v>
      </c>
      <c r="E500" s="1">
        <v>24.434899999999999</v>
      </c>
      <c r="F500" s="1">
        <v>23.1004</v>
      </c>
    </row>
    <row r="501" spans="1:6" x14ac:dyDescent="0.3">
      <c r="A501" s="2">
        <f t="shared" si="13"/>
        <v>46059</v>
      </c>
      <c r="B501" s="3">
        <f t="shared" si="14"/>
        <v>9.4166666666666607</v>
      </c>
      <c r="C501" s="1">
        <v>24.524799999999999</v>
      </c>
      <c r="D501" s="1">
        <v>25.968699999999998</v>
      </c>
      <c r="E501" s="1">
        <v>24.3734</v>
      </c>
      <c r="F501" s="1">
        <v>23.093399999999999</v>
      </c>
    </row>
    <row r="502" spans="1:6" x14ac:dyDescent="0.3">
      <c r="A502" s="2">
        <f t="shared" si="13"/>
        <v>46059</v>
      </c>
      <c r="B502" s="3">
        <f t="shared" si="14"/>
        <v>9.4374999999999947</v>
      </c>
      <c r="C502" s="1">
        <v>24.721</v>
      </c>
      <c r="D502" s="1">
        <v>26.237500000000001</v>
      </c>
      <c r="E502" s="1">
        <v>24.474799999999998</v>
      </c>
      <c r="F502" s="1">
        <v>23.259599999999999</v>
      </c>
    </row>
    <row r="503" spans="1:6" x14ac:dyDescent="0.3">
      <c r="A503" s="2">
        <f t="shared" si="13"/>
        <v>46059</v>
      </c>
      <c r="B503" s="3">
        <f t="shared" si="14"/>
        <v>9.4583333333333286</v>
      </c>
      <c r="C503" s="1">
        <v>24.793900000000001</v>
      </c>
      <c r="D503" s="1">
        <v>26.341200000000001</v>
      </c>
      <c r="E503" s="1">
        <v>24.506799999999998</v>
      </c>
      <c r="F503" s="1">
        <v>23.316299999999998</v>
      </c>
    </row>
    <row r="504" spans="1:6" x14ac:dyDescent="0.3">
      <c r="A504" s="2">
        <f t="shared" si="13"/>
        <v>46059</v>
      </c>
      <c r="B504" s="3">
        <f t="shared" si="14"/>
        <v>9.4791666666666625</v>
      </c>
      <c r="C504" s="1">
        <v>25.7514</v>
      </c>
      <c r="D504" s="1">
        <v>27.393899999999999</v>
      </c>
      <c r="E504" s="1">
        <v>25.396699999999999</v>
      </c>
      <c r="F504" s="1">
        <v>24.1998</v>
      </c>
    </row>
    <row r="505" spans="1:6" x14ac:dyDescent="0.3">
      <c r="A505" s="2">
        <f t="shared" si="13"/>
        <v>46059</v>
      </c>
      <c r="B505" s="3">
        <f t="shared" si="14"/>
        <v>9.4999999999999964</v>
      </c>
      <c r="C505" s="1">
        <v>25.077400000000001</v>
      </c>
      <c r="D505" s="1">
        <v>26.676600000000001</v>
      </c>
      <c r="E505" s="1">
        <v>24.755800000000001</v>
      </c>
      <c r="F505" s="1">
        <v>23.558900000000001</v>
      </c>
    </row>
    <row r="506" spans="1:6" x14ac:dyDescent="0.3">
      <c r="A506" s="2">
        <f t="shared" si="13"/>
        <v>46059</v>
      </c>
      <c r="B506" s="3">
        <f t="shared" si="14"/>
        <v>9.5208333333333304</v>
      </c>
      <c r="C506" s="1">
        <v>25.081399999999999</v>
      </c>
      <c r="D506" s="1">
        <v>26.675699999999999</v>
      </c>
      <c r="E506" s="1">
        <v>24.7621</v>
      </c>
      <c r="F506" s="1">
        <v>23.5503</v>
      </c>
    </row>
    <row r="507" spans="1:6" x14ac:dyDescent="0.3">
      <c r="A507" s="2">
        <f t="shared" si="13"/>
        <v>46059</v>
      </c>
      <c r="B507" s="3">
        <f t="shared" si="14"/>
        <v>9.5416666666666643</v>
      </c>
      <c r="C507" s="1">
        <v>24.8062</v>
      </c>
      <c r="D507" s="1">
        <v>26.0443</v>
      </c>
      <c r="E507" s="1">
        <v>23.3264</v>
      </c>
      <c r="F507" s="1">
        <v>23.223600000000001</v>
      </c>
    </row>
    <row r="508" spans="1:6" x14ac:dyDescent="0.3">
      <c r="A508" s="2">
        <f t="shared" si="13"/>
        <v>46059</v>
      </c>
      <c r="B508" s="3">
        <f t="shared" si="14"/>
        <v>9.5624999999999982</v>
      </c>
      <c r="C508" s="1">
        <v>24.945599999999999</v>
      </c>
      <c r="D508" s="1">
        <v>25.708200000000001</v>
      </c>
      <c r="E508" s="1">
        <v>21.4358</v>
      </c>
      <c r="F508" s="1">
        <v>23.239599999999999</v>
      </c>
    </row>
    <row r="509" spans="1:6" x14ac:dyDescent="0.3">
      <c r="A509" s="2">
        <f t="shared" si="13"/>
        <v>46059</v>
      </c>
      <c r="B509" s="3">
        <f t="shared" si="14"/>
        <v>9.5833333333333321</v>
      </c>
      <c r="C509" s="1">
        <v>24.927299999999999</v>
      </c>
      <c r="D509" s="1">
        <v>25.667200000000001</v>
      </c>
      <c r="E509" s="1">
        <v>21.514700000000001</v>
      </c>
      <c r="F509" s="1">
        <v>23.247399999999999</v>
      </c>
    </row>
    <row r="510" spans="1:6" x14ac:dyDescent="0.3">
      <c r="A510" s="2">
        <f t="shared" si="13"/>
        <v>46059</v>
      </c>
      <c r="B510" s="3">
        <f t="shared" si="14"/>
        <v>9.6041666666666661</v>
      </c>
      <c r="C510" s="1">
        <v>24.981300000000001</v>
      </c>
      <c r="D510" s="1">
        <v>25.767299999999999</v>
      </c>
      <c r="E510" s="1">
        <v>21.6568</v>
      </c>
      <c r="F510" s="1">
        <v>23.328499999999998</v>
      </c>
    </row>
    <row r="511" spans="1:6" x14ac:dyDescent="0.3">
      <c r="A511" s="2">
        <f t="shared" si="13"/>
        <v>46059</v>
      </c>
      <c r="B511" s="3">
        <f t="shared" si="14"/>
        <v>9.625</v>
      </c>
      <c r="C511" s="1">
        <v>24.988199999999999</v>
      </c>
      <c r="D511" s="1">
        <v>25.7683</v>
      </c>
      <c r="E511" s="1">
        <v>21.772099999999998</v>
      </c>
      <c r="F511" s="1">
        <v>23.359500000000001</v>
      </c>
    </row>
    <row r="512" spans="1:6" x14ac:dyDescent="0.3">
      <c r="A512" s="2">
        <f t="shared" si="13"/>
        <v>46059</v>
      </c>
      <c r="B512" s="3">
        <f t="shared" si="14"/>
        <v>9.6458333333333339</v>
      </c>
      <c r="C512" s="1">
        <v>29.510100000000001</v>
      </c>
      <c r="D512" s="1">
        <v>31.167000000000002</v>
      </c>
      <c r="E512" s="1">
        <v>29.751200000000001</v>
      </c>
      <c r="F512" s="1">
        <v>27.812799999999999</v>
      </c>
    </row>
    <row r="513" spans="1:6" x14ac:dyDescent="0.3">
      <c r="A513" s="2">
        <f t="shared" si="13"/>
        <v>46059</v>
      </c>
      <c r="B513" s="3">
        <f t="shared" si="14"/>
        <v>9.6666666666666679</v>
      </c>
      <c r="C513" s="1">
        <v>25.080500000000001</v>
      </c>
      <c r="D513" s="1">
        <v>26.426600000000001</v>
      </c>
      <c r="E513" s="1">
        <v>25.464700000000001</v>
      </c>
      <c r="F513" s="1">
        <v>23.669699999999999</v>
      </c>
    </row>
    <row r="514" spans="1:6" x14ac:dyDescent="0.3">
      <c r="A514" s="2">
        <f t="shared" si="13"/>
        <v>46059</v>
      </c>
      <c r="B514" s="3">
        <f t="shared" si="14"/>
        <v>9.6875000000000018</v>
      </c>
      <c r="C514" s="1">
        <v>29.4696</v>
      </c>
      <c r="D514" s="1">
        <v>30.995999999999999</v>
      </c>
      <c r="E514" s="1">
        <v>30.231999999999999</v>
      </c>
      <c r="F514" s="1">
        <v>27.820399999999999</v>
      </c>
    </row>
    <row r="515" spans="1:6" x14ac:dyDescent="0.3">
      <c r="A515" s="2">
        <f t="shared" si="13"/>
        <v>46059</v>
      </c>
      <c r="B515" s="3">
        <f t="shared" si="14"/>
        <v>9.7083333333333357</v>
      </c>
      <c r="C515" s="1">
        <v>29.838999999999999</v>
      </c>
      <c r="D515" s="1">
        <v>31.3384</v>
      </c>
      <c r="E515" s="1">
        <v>30.943200000000001</v>
      </c>
      <c r="F515" s="1">
        <v>28.218599999999999</v>
      </c>
    </row>
    <row r="516" spans="1:6" x14ac:dyDescent="0.3">
      <c r="A516" s="2">
        <f t="shared" si="13"/>
        <v>46059</v>
      </c>
      <c r="B516" s="3">
        <f t="shared" si="14"/>
        <v>9.7291666666666696</v>
      </c>
      <c r="C516" s="1">
        <v>25.678100000000001</v>
      </c>
      <c r="D516" s="1">
        <v>26.902999999999999</v>
      </c>
      <c r="E516" s="1">
        <v>26.826699999999999</v>
      </c>
      <c r="F516" s="1">
        <v>24.322600000000001</v>
      </c>
    </row>
    <row r="517" spans="1:6" x14ac:dyDescent="0.3">
      <c r="A517" s="2">
        <f t="shared" si="13"/>
        <v>46059</v>
      </c>
      <c r="B517" s="3">
        <f t="shared" si="14"/>
        <v>9.7500000000000036</v>
      </c>
      <c r="C517" s="1">
        <v>24.7837</v>
      </c>
      <c r="D517" s="1">
        <v>25.838999999999999</v>
      </c>
      <c r="E517" s="1">
        <v>26.107600000000001</v>
      </c>
      <c r="F517" s="1">
        <v>23.535399999999999</v>
      </c>
    </row>
    <row r="518" spans="1:6" x14ac:dyDescent="0.3">
      <c r="A518" s="2">
        <f t="shared" si="13"/>
        <v>46059</v>
      </c>
      <c r="B518" s="3">
        <f t="shared" si="14"/>
        <v>9.7708333333333375</v>
      </c>
      <c r="C518" s="1">
        <v>24.789100000000001</v>
      </c>
      <c r="D518" s="1">
        <v>25.851400000000002</v>
      </c>
      <c r="E518" s="1">
        <v>26.223700000000001</v>
      </c>
      <c r="F518" s="1">
        <v>23.5792</v>
      </c>
    </row>
    <row r="519" spans="1:6" x14ac:dyDescent="0.3">
      <c r="A519" s="2">
        <f t="shared" si="13"/>
        <v>46059</v>
      </c>
      <c r="B519" s="3">
        <f t="shared" si="14"/>
        <v>9.7916666666666714</v>
      </c>
      <c r="C519" s="1">
        <v>29.805499999999999</v>
      </c>
      <c r="D519" s="1">
        <v>31.353400000000001</v>
      </c>
      <c r="E519" s="1">
        <v>31.567900000000002</v>
      </c>
      <c r="F519" s="1">
        <v>28.360499999999998</v>
      </c>
    </row>
    <row r="520" spans="1:6" x14ac:dyDescent="0.3">
      <c r="A520" s="2">
        <f t="shared" si="13"/>
        <v>46059</v>
      </c>
      <c r="B520" s="3">
        <f t="shared" si="14"/>
        <v>9.8125000000000053</v>
      </c>
      <c r="C520" s="1">
        <v>30.5059</v>
      </c>
      <c r="D520" s="1">
        <v>32.1997</v>
      </c>
      <c r="E520" s="1">
        <v>32.3444</v>
      </c>
      <c r="F520" s="1">
        <v>29.040900000000001</v>
      </c>
    </row>
    <row r="521" spans="1:6" x14ac:dyDescent="0.3">
      <c r="A521" s="2">
        <f t="shared" si="13"/>
        <v>46059</v>
      </c>
      <c r="B521" s="3">
        <f t="shared" si="14"/>
        <v>9.8333333333333393</v>
      </c>
      <c r="C521" s="1">
        <v>30.461600000000001</v>
      </c>
      <c r="D521" s="1">
        <v>32.151200000000003</v>
      </c>
      <c r="E521" s="1">
        <v>32.318100000000001</v>
      </c>
      <c r="F521" s="1">
        <v>29.012699999999999</v>
      </c>
    </row>
    <row r="522" spans="1:6" x14ac:dyDescent="0.3">
      <c r="A522" s="2">
        <f t="shared" si="13"/>
        <v>46059</v>
      </c>
      <c r="B522" s="3">
        <f t="shared" si="14"/>
        <v>9.8541666666666732</v>
      </c>
      <c r="C522" s="1">
        <v>29.825500000000002</v>
      </c>
      <c r="D522" s="1">
        <v>31.411899999999999</v>
      </c>
      <c r="E522" s="1">
        <v>31.732399999999998</v>
      </c>
      <c r="F522" s="1">
        <v>28.432300000000001</v>
      </c>
    </row>
    <row r="523" spans="1:6" x14ac:dyDescent="0.3">
      <c r="A523" s="2">
        <f t="shared" si="13"/>
        <v>46059</v>
      </c>
      <c r="B523" s="3">
        <f t="shared" si="14"/>
        <v>9.8750000000000071</v>
      </c>
      <c r="C523" s="1">
        <v>36.401600000000002</v>
      </c>
      <c r="D523" s="1">
        <v>38.366799999999998</v>
      </c>
      <c r="E523" s="1">
        <v>38.707700000000003</v>
      </c>
      <c r="F523" s="1">
        <v>34.670200000000001</v>
      </c>
    </row>
    <row r="524" spans="1:6" x14ac:dyDescent="0.3">
      <c r="A524" s="2">
        <f t="shared" si="13"/>
        <v>46059</v>
      </c>
      <c r="B524" s="3">
        <f t="shared" si="14"/>
        <v>9.895833333333341</v>
      </c>
      <c r="C524" s="1">
        <v>29.793199999999999</v>
      </c>
      <c r="D524" s="1">
        <v>31.4041</v>
      </c>
      <c r="E524" s="1">
        <v>31.597899999999999</v>
      </c>
      <c r="F524" s="1">
        <v>28.362100000000002</v>
      </c>
    </row>
    <row r="525" spans="1:6" x14ac:dyDescent="0.3">
      <c r="A525" s="2">
        <f t="shared" si="13"/>
        <v>46059</v>
      </c>
      <c r="B525" s="3">
        <f t="shared" si="14"/>
        <v>9.916666666666675</v>
      </c>
      <c r="C525" s="1">
        <v>29.773499999999999</v>
      </c>
      <c r="D525" s="1">
        <v>31.284199999999998</v>
      </c>
      <c r="E525" s="1">
        <v>31.575500000000002</v>
      </c>
      <c r="F525" s="1">
        <v>28.392600000000002</v>
      </c>
    </row>
    <row r="526" spans="1:6" x14ac:dyDescent="0.3">
      <c r="A526" s="2">
        <f t="shared" si="13"/>
        <v>46059</v>
      </c>
      <c r="B526" s="3">
        <f t="shared" si="14"/>
        <v>9.9375000000000089</v>
      </c>
      <c r="C526" s="1">
        <v>29.425699999999999</v>
      </c>
      <c r="D526" s="1">
        <v>30.845300000000002</v>
      </c>
      <c r="E526" s="1">
        <v>31.203700000000001</v>
      </c>
      <c r="F526" s="1">
        <v>28.079599999999999</v>
      </c>
    </row>
    <row r="527" spans="1:6" x14ac:dyDescent="0.3">
      <c r="A527" s="2">
        <f t="shared" si="13"/>
        <v>46059</v>
      </c>
      <c r="B527" s="3">
        <f t="shared" si="14"/>
        <v>9.9583333333333428</v>
      </c>
      <c r="C527" s="1">
        <v>24.916</v>
      </c>
      <c r="D527" s="1">
        <v>26.009899999999998</v>
      </c>
      <c r="E527" s="1">
        <v>26.386099999999999</v>
      </c>
      <c r="F527" s="1">
        <v>23.766400000000001</v>
      </c>
    </row>
    <row r="528" spans="1:6" x14ac:dyDescent="0.3">
      <c r="A528" s="2">
        <f t="shared" si="13"/>
        <v>46059</v>
      </c>
      <c r="B528" s="3">
        <f t="shared" si="14"/>
        <v>9.9791666666666767</v>
      </c>
      <c r="C528" s="1">
        <v>24.521599999999999</v>
      </c>
      <c r="D528" s="1">
        <v>25.5365</v>
      </c>
      <c r="E528" s="1">
        <v>25.9224</v>
      </c>
      <c r="F528" s="1">
        <v>23.366</v>
      </c>
    </row>
    <row r="529" spans="1:6" x14ac:dyDescent="0.3">
      <c r="A529" s="2">
        <f t="shared" si="13"/>
        <v>46059</v>
      </c>
      <c r="B529" s="3">
        <f t="shared" si="14"/>
        <v>10.000000000000011</v>
      </c>
      <c r="C529" s="1">
        <v>24.394300000000001</v>
      </c>
      <c r="D529" s="1">
        <v>25.3079</v>
      </c>
      <c r="E529" s="1">
        <v>25.7423</v>
      </c>
      <c r="F529" s="1">
        <v>23.243500000000001</v>
      </c>
    </row>
    <row r="530" spans="1:6" x14ac:dyDescent="0.3">
      <c r="A530" s="2">
        <f t="shared" si="13"/>
        <v>46060</v>
      </c>
      <c r="B530" s="3">
        <f t="shared" si="14"/>
        <v>10.020833333333345</v>
      </c>
    </row>
    <row r="531" spans="1:6" x14ac:dyDescent="0.3">
      <c r="A531" s="2">
        <f t="shared" si="13"/>
        <v>46060</v>
      </c>
      <c r="B531" s="3">
        <f t="shared" si="14"/>
        <v>10.041666666666679</v>
      </c>
    </row>
    <row r="532" spans="1:6" x14ac:dyDescent="0.3">
      <c r="A532" s="2">
        <f t="shared" si="13"/>
        <v>46060</v>
      </c>
      <c r="B532" s="3">
        <f t="shared" si="14"/>
        <v>10.062500000000012</v>
      </c>
    </row>
    <row r="533" spans="1:6" x14ac:dyDescent="0.3">
      <c r="A533" s="2">
        <f t="shared" si="13"/>
        <v>46060</v>
      </c>
      <c r="B533" s="3">
        <f t="shared" si="14"/>
        <v>10.083333333333346</v>
      </c>
    </row>
    <row r="534" spans="1:6" x14ac:dyDescent="0.3">
      <c r="A534" s="2">
        <f t="shared" si="13"/>
        <v>46060</v>
      </c>
      <c r="B534" s="3">
        <f t="shared" si="14"/>
        <v>10.10416666666668</v>
      </c>
    </row>
    <row r="535" spans="1:6" x14ac:dyDescent="0.3">
      <c r="A535" s="2">
        <f t="shared" si="13"/>
        <v>46060</v>
      </c>
      <c r="B535" s="3">
        <f t="shared" si="14"/>
        <v>10.125000000000014</v>
      </c>
    </row>
    <row r="536" spans="1:6" x14ac:dyDescent="0.3">
      <c r="A536" s="2">
        <f t="shared" si="13"/>
        <v>46060</v>
      </c>
      <c r="B536" s="3">
        <f t="shared" si="14"/>
        <v>10.145833333333348</v>
      </c>
    </row>
    <row r="537" spans="1:6" x14ac:dyDescent="0.3">
      <c r="A537" s="2">
        <f t="shared" si="13"/>
        <v>46060</v>
      </c>
      <c r="B537" s="3">
        <f t="shared" si="14"/>
        <v>10.166666666666682</v>
      </c>
    </row>
    <row r="538" spans="1:6" x14ac:dyDescent="0.3">
      <c r="A538" s="2">
        <f t="shared" si="13"/>
        <v>46060</v>
      </c>
      <c r="B538" s="3">
        <f t="shared" si="14"/>
        <v>10.187500000000016</v>
      </c>
    </row>
    <row r="539" spans="1:6" x14ac:dyDescent="0.3">
      <c r="A539" s="2">
        <f t="shared" si="13"/>
        <v>46060</v>
      </c>
      <c r="B539" s="3">
        <f t="shared" si="14"/>
        <v>10.20833333333335</v>
      </c>
    </row>
    <row r="540" spans="1:6" x14ac:dyDescent="0.3">
      <c r="A540" s="2">
        <f t="shared" si="13"/>
        <v>46060</v>
      </c>
      <c r="B540" s="3">
        <f t="shared" si="14"/>
        <v>10.229166666666684</v>
      </c>
    </row>
    <row r="541" spans="1:6" x14ac:dyDescent="0.3">
      <c r="A541" s="2">
        <f t="shared" si="13"/>
        <v>46060</v>
      </c>
      <c r="B541" s="3">
        <f t="shared" si="14"/>
        <v>10.250000000000018</v>
      </c>
    </row>
    <row r="542" spans="1:6" x14ac:dyDescent="0.3">
      <c r="A542" s="2">
        <f t="shared" si="13"/>
        <v>46060</v>
      </c>
      <c r="B542" s="3">
        <f t="shared" si="14"/>
        <v>10.270833333333352</v>
      </c>
    </row>
    <row r="543" spans="1:6" x14ac:dyDescent="0.3">
      <c r="A543" s="2">
        <f t="shared" si="13"/>
        <v>46060</v>
      </c>
      <c r="B543" s="3">
        <f t="shared" si="14"/>
        <v>10.291666666666686</v>
      </c>
    </row>
    <row r="544" spans="1:6" x14ac:dyDescent="0.3">
      <c r="A544" s="2">
        <f t="shared" si="13"/>
        <v>46060</v>
      </c>
      <c r="B544" s="3">
        <f t="shared" si="14"/>
        <v>10.31250000000002</v>
      </c>
    </row>
    <row r="545" spans="1:2" x14ac:dyDescent="0.3">
      <c r="A545" s="2">
        <f t="shared" si="13"/>
        <v>46060</v>
      </c>
      <c r="B545" s="3">
        <f t="shared" si="14"/>
        <v>10.333333333333353</v>
      </c>
    </row>
    <row r="546" spans="1:2" x14ac:dyDescent="0.3">
      <c r="A546" s="2">
        <f t="shared" si="13"/>
        <v>46060</v>
      </c>
      <c r="B546" s="3">
        <f t="shared" si="14"/>
        <v>10.354166666666687</v>
      </c>
    </row>
    <row r="547" spans="1:2" x14ac:dyDescent="0.3">
      <c r="A547" s="2">
        <f t="shared" ref="A547:A610" si="15">+A499+1</f>
        <v>46060</v>
      </c>
      <c r="B547" s="3">
        <f t="shared" si="14"/>
        <v>10.375000000000021</v>
      </c>
    </row>
    <row r="548" spans="1:2" x14ac:dyDescent="0.3">
      <c r="A548" s="2">
        <f t="shared" si="15"/>
        <v>46060</v>
      </c>
      <c r="B548" s="3">
        <f t="shared" si="14"/>
        <v>10.395833333333355</v>
      </c>
    </row>
    <row r="549" spans="1:2" x14ac:dyDescent="0.3">
      <c r="A549" s="2">
        <f t="shared" si="15"/>
        <v>46060</v>
      </c>
      <c r="B549" s="3">
        <f t="shared" si="14"/>
        <v>10.416666666666689</v>
      </c>
    </row>
    <row r="550" spans="1:2" x14ac:dyDescent="0.3">
      <c r="A550" s="2">
        <f t="shared" si="15"/>
        <v>46060</v>
      </c>
      <c r="B550" s="3">
        <f t="shared" si="14"/>
        <v>10.437500000000023</v>
      </c>
    </row>
    <row r="551" spans="1:2" x14ac:dyDescent="0.3">
      <c r="A551" s="2">
        <f t="shared" si="15"/>
        <v>46060</v>
      </c>
      <c r="B551" s="3">
        <f t="shared" si="14"/>
        <v>10.458333333333357</v>
      </c>
    </row>
    <row r="552" spans="1:2" x14ac:dyDescent="0.3">
      <c r="A552" s="2">
        <f t="shared" si="15"/>
        <v>46060</v>
      </c>
      <c r="B552" s="3">
        <f t="shared" si="14"/>
        <v>10.479166666666691</v>
      </c>
    </row>
    <row r="553" spans="1:2" x14ac:dyDescent="0.3">
      <c r="A553" s="2">
        <f t="shared" si="15"/>
        <v>46060</v>
      </c>
      <c r="B553" s="3">
        <f t="shared" si="14"/>
        <v>10.500000000000025</v>
      </c>
    </row>
    <row r="554" spans="1:2" x14ac:dyDescent="0.3">
      <c r="A554" s="2">
        <f t="shared" si="15"/>
        <v>46060</v>
      </c>
      <c r="B554" s="3">
        <f t="shared" si="14"/>
        <v>10.520833333333359</v>
      </c>
    </row>
    <row r="555" spans="1:2" x14ac:dyDescent="0.3">
      <c r="A555" s="2">
        <f t="shared" si="15"/>
        <v>46060</v>
      </c>
      <c r="B555" s="3">
        <f t="shared" si="14"/>
        <v>10.541666666666693</v>
      </c>
    </row>
    <row r="556" spans="1:2" x14ac:dyDescent="0.3">
      <c r="A556" s="2">
        <f t="shared" si="15"/>
        <v>46060</v>
      </c>
      <c r="B556" s="3">
        <f t="shared" si="14"/>
        <v>10.562500000000027</v>
      </c>
    </row>
    <row r="557" spans="1:2" x14ac:dyDescent="0.3">
      <c r="A557" s="2">
        <f t="shared" si="15"/>
        <v>46060</v>
      </c>
      <c r="B557" s="3">
        <f t="shared" si="14"/>
        <v>10.583333333333361</v>
      </c>
    </row>
    <row r="558" spans="1:2" x14ac:dyDescent="0.3">
      <c r="A558" s="2">
        <f t="shared" si="15"/>
        <v>46060</v>
      </c>
      <c r="B558" s="3">
        <f t="shared" si="14"/>
        <v>10.604166666666694</v>
      </c>
    </row>
    <row r="559" spans="1:2" x14ac:dyDescent="0.3">
      <c r="A559" s="2">
        <f t="shared" si="15"/>
        <v>46060</v>
      </c>
      <c r="B559" s="3">
        <f t="shared" si="14"/>
        <v>10.625000000000028</v>
      </c>
    </row>
    <row r="560" spans="1:2" x14ac:dyDescent="0.3">
      <c r="A560" s="2">
        <f t="shared" si="15"/>
        <v>46060</v>
      </c>
      <c r="B560" s="3">
        <f t="shared" si="14"/>
        <v>10.645833333333362</v>
      </c>
    </row>
    <row r="561" spans="1:2" x14ac:dyDescent="0.3">
      <c r="A561" s="2">
        <f t="shared" si="15"/>
        <v>46060</v>
      </c>
      <c r="B561" s="3">
        <f t="shared" si="14"/>
        <v>10.666666666666696</v>
      </c>
    </row>
    <row r="562" spans="1:2" x14ac:dyDescent="0.3">
      <c r="A562" s="2">
        <f t="shared" si="15"/>
        <v>46060</v>
      </c>
      <c r="B562" s="3">
        <f t="shared" si="14"/>
        <v>10.68750000000003</v>
      </c>
    </row>
    <row r="563" spans="1:2" x14ac:dyDescent="0.3">
      <c r="A563" s="2">
        <f t="shared" si="15"/>
        <v>46060</v>
      </c>
      <c r="B563" s="3">
        <f t="shared" si="14"/>
        <v>10.708333333333364</v>
      </c>
    </row>
    <row r="564" spans="1:2" x14ac:dyDescent="0.3">
      <c r="A564" s="2">
        <f t="shared" si="15"/>
        <v>46060</v>
      </c>
      <c r="B564" s="3">
        <f t="shared" ref="B564:B627" si="16">+B563+1/48</f>
        <v>10.729166666666698</v>
      </c>
    </row>
    <row r="565" spans="1:2" x14ac:dyDescent="0.3">
      <c r="A565" s="2">
        <f t="shared" si="15"/>
        <v>46060</v>
      </c>
      <c r="B565" s="3">
        <f t="shared" si="16"/>
        <v>10.750000000000032</v>
      </c>
    </row>
    <row r="566" spans="1:2" x14ac:dyDescent="0.3">
      <c r="A566" s="2">
        <f t="shared" si="15"/>
        <v>46060</v>
      </c>
      <c r="B566" s="3">
        <f t="shared" si="16"/>
        <v>10.770833333333366</v>
      </c>
    </row>
    <row r="567" spans="1:2" x14ac:dyDescent="0.3">
      <c r="A567" s="2">
        <f t="shared" si="15"/>
        <v>46060</v>
      </c>
      <c r="B567" s="3">
        <f t="shared" si="16"/>
        <v>10.7916666666667</v>
      </c>
    </row>
    <row r="568" spans="1:2" x14ac:dyDescent="0.3">
      <c r="A568" s="2">
        <f t="shared" si="15"/>
        <v>46060</v>
      </c>
      <c r="B568" s="3">
        <f t="shared" si="16"/>
        <v>10.812500000000034</v>
      </c>
    </row>
    <row r="569" spans="1:2" x14ac:dyDescent="0.3">
      <c r="A569" s="2">
        <f t="shared" si="15"/>
        <v>46060</v>
      </c>
      <c r="B569" s="3">
        <f t="shared" si="16"/>
        <v>10.833333333333368</v>
      </c>
    </row>
    <row r="570" spans="1:2" x14ac:dyDescent="0.3">
      <c r="A570" s="2">
        <f t="shared" si="15"/>
        <v>46060</v>
      </c>
      <c r="B570" s="3">
        <f t="shared" si="16"/>
        <v>10.854166666666702</v>
      </c>
    </row>
    <row r="571" spans="1:2" x14ac:dyDescent="0.3">
      <c r="A571" s="2">
        <f t="shared" si="15"/>
        <v>46060</v>
      </c>
      <c r="B571" s="3">
        <f t="shared" si="16"/>
        <v>10.875000000000036</v>
      </c>
    </row>
    <row r="572" spans="1:2" x14ac:dyDescent="0.3">
      <c r="A572" s="2">
        <f t="shared" si="15"/>
        <v>46060</v>
      </c>
      <c r="B572" s="3">
        <f t="shared" si="16"/>
        <v>10.895833333333369</v>
      </c>
    </row>
    <row r="573" spans="1:2" x14ac:dyDescent="0.3">
      <c r="A573" s="2">
        <f t="shared" si="15"/>
        <v>46060</v>
      </c>
      <c r="B573" s="3">
        <f t="shared" si="16"/>
        <v>10.916666666666703</v>
      </c>
    </row>
    <row r="574" spans="1:2" x14ac:dyDescent="0.3">
      <c r="A574" s="2">
        <f t="shared" si="15"/>
        <v>46060</v>
      </c>
      <c r="B574" s="3">
        <f t="shared" si="16"/>
        <v>10.937500000000037</v>
      </c>
    </row>
    <row r="575" spans="1:2" x14ac:dyDescent="0.3">
      <c r="A575" s="2">
        <f t="shared" si="15"/>
        <v>46060</v>
      </c>
      <c r="B575" s="3">
        <f t="shared" si="16"/>
        <v>10.958333333333371</v>
      </c>
    </row>
    <row r="576" spans="1:2" x14ac:dyDescent="0.3">
      <c r="A576" s="2">
        <f t="shared" si="15"/>
        <v>46060</v>
      </c>
      <c r="B576" s="3">
        <f t="shared" si="16"/>
        <v>10.979166666666705</v>
      </c>
    </row>
    <row r="577" spans="1:2" x14ac:dyDescent="0.3">
      <c r="A577" s="2">
        <f t="shared" si="15"/>
        <v>46060</v>
      </c>
      <c r="B577" s="3">
        <f t="shared" si="16"/>
        <v>11.000000000000039</v>
      </c>
    </row>
    <row r="578" spans="1:2" x14ac:dyDescent="0.3">
      <c r="A578" s="2"/>
      <c r="B578" s="3"/>
    </row>
    <row r="579" spans="1:2" x14ac:dyDescent="0.3">
      <c r="A579" s="2"/>
      <c r="B579" s="3"/>
    </row>
    <row r="580" spans="1:2" x14ac:dyDescent="0.3">
      <c r="A580" s="2"/>
      <c r="B580" s="3"/>
    </row>
    <row r="581" spans="1:2" x14ac:dyDescent="0.3">
      <c r="A581" s="2"/>
      <c r="B581" s="3"/>
    </row>
    <row r="582" spans="1:2" x14ac:dyDescent="0.3">
      <c r="A582" s="2"/>
      <c r="B582" s="3"/>
    </row>
    <row r="583" spans="1:2" x14ac:dyDescent="0.3">
      <c r="A583" s="2"/>
      <c r="B583" s="3"/>
    </row>
    <row r="584" spans="1:2" x14ac:dyDescent="0.3">
      <c r="A584" s="2"/>
      <c r="B584" s="3"/>
    </row>
    <row r="585" spans="1:2" x14ac:dyDescent="0.3">
      <c r="A585" s="2"/>
      <c r="B585" s="3"/>
    </row>
    <row r="586" spans="1:2" x14ac:dyDescent="0.3">
      <c r="A586" s="2"/>
      <c r="B586" s="3"/>
    </row>
    <row r="587" spans="1:2" x14ac:dyDescent="0.3">
      <c r="A587" s="2"/>
      <c r="B587" s="3"/>
    </row>
    <row r="588" spans="1:2" x14ac:dyDescent="0.3">
      <c r="A588" s="2"/>
      <c r="B588" s="3"/>
    </row>
    <row r="589" spans="1:2" x14ac:dyDescent="0.3">
      <c r="A589" s="2"/>
      <c r="B589" s="3"/>
    </row>
    <row r="590" spans="1:2" x14ac:dyDescent="0.3">
      <c r="A590" s="2"/>
      <c r="B590" s="3"/>
    </row>
    <row r="591" spans="1:2" x14ac:dyDescent="0.3">
      <c r="A591" s="2"/>
      <c r="B591" s="3"/>
    </row>
    <row r="592" spans="1:2" x14ac:dyDescent="0.3">
      <c r="A592" s="2"/>
      <c r="B592" s="3"/>
    </row>
    <row r="593" spans="1:2" x14ac:dyDescent="0.3">
      <c r="A593" s="2"/>
      <c r="B593" s="3"/>
    </row>
    <row r="594" spans="1:2" x14ac:dyDescent="0.3">
      <c r="A594" s="2"/>
      <c r="B594" s="3"/>
    </row>
    <row r="595" spans="1:2" x14ac:dyDescent="0.3">
      <c r="A595" s="2"/>
      <c r="B595" s="3"/>
    </row>
    <row r="596" spans="1:2" x14ac:dyDescent="0.3">
      <c r="A596" s="2"/>
      <c r="B596" s="3"/>
    </row>
    <row r="597" spans="1:2" x14ac:dyDescent="0.3">
      <c r="A597" s="2"/>
      <c r="B597" s="3"/>
    </row>
    <row r="598" spans="1:2" x14ac:dyDescent="0.3">
      <c r="A598" s="2"/>
      <c r="B598" s="3"/>
    </row>
    <row r="599" spans="1:2" x14ac:dyDescent="0.3">
      <c r="A599" s="2"/>
      <c r="B599" s="3"/>
    </row>
    <row r="600" spans="1:2" x14ac:dyDescent="0.3">
      <c r="A600" s="2"/>
      <c r="B600" s="3"/>
    </row>
    <row r="601" spans="1:2" x14ac:dyDescent="0.3">
      <c r="A601" s="2"/>
      <c r="B601" s="3"/>
    </row>
    <row r="602" spans="1:2" x14ac:dyDescent="0.3">
      <c r="A602" s="2"/>
      <c r="B602" s="3"/>
    </row>
    <row r="603" spans="1:2" x14ac:dyDescent="0.3">
      <c r="A603" s="2"/>
      <c r="B603" s="3"/>
    </row>
    <row r="604" spans="1:2" x14ac:dyDescent="0.3">
      <c r="A604" s="2"/>
      <c r="B604" s="3"/>
    </row>
    <row r="605" spans="1:2" x14ac:dyDescent="0.3">
      <c r="A605" s="2"/>
      <c r="B605" s="3"/>
    </row>
    <row r="606" spans="1:2" x14ac:dyDescent="0.3">
      <c r="A606" s="2"/>
      <c r="B606" s="3"/>
    </row>
    <row r="607" spans="1:2" x14ac:dyDescent="0.3">
      <c r="A607" s="2"/>
      <c r="B607" s="3"/>
    </row>
    <row r="608" spans="1:2" x14ac:dyDescent="0.3">
      <c r="A608" s="2"/>
      <c r="B608" s="3"/>
    </row>
    <row r="609" spans="1:2" x14ac:dyDescent="0.3">
      <c r="A609" s="2"/>
      <c r="B609" s="3"/>
    </row>
    <row r="610" spans="1:2" x14ac:dyDescent="0.3">
      <c r="A610" s="2"/>
      <c r="B610" s="3"/>
    </row>
    <row r="611" spans="1:2" x14ac:dyDescent="0.3">
      <c r="A611" s="2"/>
      <c r="B611" s="3"/>
    </row>
    <row r="612" spans="1:2" x14ac:dyDescent="0.3">
      <c r="A612" s="2"/>
      <c r="B612" s="3"/>
    </row>
    <row r="613" spans="1:2" x14ac:dyDescent="0.3">
      <c r="A613" s="2"/>
      <c r="B613" s="3"/>
    </row>
    <row r="614" spans="1:2" x14ac:dyDescent="0.3">
      <c r="A614" s="2"/>
      <c r="B614" s="3"/>
    </row>
    <row r="615" spans="1:2" x14ac:dyDescent="0.3">
      <c r="A615" s="2"/>
      <c r="B615" s="3"/>
    </row>
    <row r="616" spans="1:2" x14ac:dyDescent="0.3">
      <c r="A616" s="2"/>
      <c r="B616" s="3"/>
    </row>
    <row r="617" spans="1:2" x14ac:dyDescent="0.3">
      <c r="A617" s="2"/>
      <c r="B617" s="3"/>
    </row>
    <row r="618" spans="1:2" x14ac:dyDescent="0.3">
      <c r="A618" s="2"/>
      <c r="B618" s="3"/>
    </row>
    <row r="619" spans="1:2" x14ac:dyDescent="0.3">
      <c r="A619" s="2"/>
      <c r="B619" s="3"/>
    </row>
    <row r="620" spans="1:2" x14ac:dyDescent="0.3">
      <c r="A620" s="2"/>
      <c r="B620" s="3"/>
    </row>
    <row r="621" spans="1:2" x14ac:dyDescent="0.3">
      <c r="A621" s="2"/>
      <c r="B621" s="3"/>
    </row>
    <row r="622" spans="1:2" x14ac:dyDescent="0.3">
      <c r="A622" s="2"/>
      <c r="B622" s="3"/>
    </row>
    <row r="623" spans="1:2" x14ac:dyDescent="0.3">
      <c r="A623" s="2"/>
      <c r="B623" s="3"/>
    </row>
    <row r="624" spans="1:2" x14ac:dyDescent="0.3">
      <c r="A624" s="2"/>
      <c r="B624" s="3"/>
    </row>
    <row r="625" spans="1:2" x14ac:dyDescent="0.3">
      <c r="A625" s="2"/>
      <c r="B625" s="3"/>
    </row>
    <row r="626" spans="1:2" x14ac:dyDescent="0.3">
      <c r="A626" s="2"/>
      <c r="B626" s="3"/>
    </row>
    <row r="627" spans="1:2" x14ac:dyDescent="0.3">
      <c r="A627" s="2"/>
      <c r="B627" s="3"/>
    </row>
    <row r="628" spans="1:2" x14ac:dyDescent="0.3">
      <c r="A628" s="2"/>
      <c r="B628" s="3"/>
    </row>
    <row r="629" spans="1:2" x14ac:dyDescent="0.3">
      <c r="A629" s="2"/>
      <c r="B629" s="3"/>
    </row>
    <row r="630" spans="1:2" x14ac:dyDescent="0.3">
      <c r="A630" s="2"/>
      <c r="B630" s="3"/>
    </row>
    <row r="631" spans="1:2" x14ac:dyDescent="0.3">
      <c r="A631" s="2"/>
      <c r="B631" s="3"/>
    </row>
    <row r="632" spans="1:2" x14ac:dyDescent="0.3">
      <c r="A632" s="2"/>
      <c r="B632" s="3"/>
    </row>
    <row r="633" spans="1:2" x14ac:dyDescent="0.3">
      <c r="A633" s="2"/>
      <c r="B633" s="3"/>
    </row>
    <row r="634" spans="1:2" x14ac:dyDescent="0.3">
      <c r="A634" s="2"/>
      <c r="B634" s="3"/>
    </row>
    <row r="635" spans="1:2" x14ac:dyDescent="0.3">
      <c r="A635" s="2"/>
      <c r="B635" s="3"/>
    </row>
    <row r="636" spans="1:2" x14ac:dyDescent="0.3">
      <c r="A636" s="2"/>
      <c r="B636" s="3"/>
    </row>
    <row r="637" spans="1:2" x14ac:dyDescent="0.3">
      <c r="A637" s="2"/>
      <c r="B637" s="3"/>
    </row>
    <row r="638" spans="1:2" x14ac:dyDescent="0.3">
      <c r="A638" s="2"/>
      <c r="B638" s="3"/>
    </row>
    <row r="639" spans="1:2" x14ac:dyDescent="0.3">
      <c r="A639" s="2"/>
      <c r="B639" s="3"/>
    </row>
    <row r="640" spans="1:2" x14ac:dyDescent="0.3">
      <c r="A640" s="2"/>
      <c r="B640" s="3"/>
    </row>
    <row r="641" spans="1:2" x14ac:dyDescent="0.3">
      <c r="A641" s="2"/>
      <c r="B641" s="3"/>
    </row>
    <row r="642" spans="1:2" x14ac:dyDescent="0.3">
      <c r="A642" s="2"/>
      <c r="B642" s="3"/>
    </row>
    <row r="643" spans="1:2" x14ac:dyDescent="0.3">
      <c r="A643" s="2"/>
      <c r="B643" s="3"/>
    </row>
    <row r="644" spans="1:2" x14ac:dyDescent="0.3">
      <c r="A644" s="2"/>
      <c r="B644" s="3"/>
    </row>
    <row r="645" spans="1:2" x14ac:dyDescent="0.3">
      <c r="A645" s="2"/>
      <c r="B645" s="3"/>
    </row>
    <row r="646" spans="1:2" x14ac:dyDescent="0.3">
      <c r="A646" s="2"/>
      <c r="B646" s="3"/>
    </row>
    <row r="647" spans="1:2" x14ac:dyDescent="0.3">
      <c r="A647" s="2"/>
      <c r="B647" s="3"/>
    </row>
    <row r="648" spans="1:2" x14ac:dyDescent="0.3">
      <c r="A648" s="2"/>
      <c r="B648" s="3"/>
    </row>
    <row r="649" spans="1:2" x14ac:dyDescent="0.3">
      <c r="A649" s="2"/>
      <c r="B649" s="3"/>
    </row>
    <row r="650" spans="1:2" x14ac:dyDescent="0.3">
      <c r="A650" s="2"/>
      <c r="B650" s="3"/>
    </row>
    <row r="651" spans="1:2" x14ac:dyDescent="0.3">
      <c r="A651" s="2"/>
      <c r="B651" s="3"/>
    </row>
    <row r="652" spans="1:2" x14ac:dyDescent="0.3">
      <c r="A652" s="2"/>
      <c r="B652" s="3"/>
    </row>
    <row r="653" spans="1:2" x14ac:dyDescent="0.3">
      <c r="A653" s="2"/>
      <c r="B653" s="3"/>
    </row>
    <row r="654" spans="1:2" x14ac:dyDescent="0.3">
      <c r="A654" s="2"/>
      <c r="B654" s="3"/>
    </row>
    <row r="655" spans="1:2" x14ac:dyDescent="0.3">
      <c r="A655" s="2"/>
      <c r="B655" s="3"/>
    </row>
    <row r="656" spans="1:2" x14ac:dyDescent="0.3">
      <c r="A656" s="2"/>
      <c r="B656" s="3"/>
    </row>
    <row r="657" spans="1:2" x14ac:dyDescent="0.3">
      <c r="A657" s="2"/>
      <c r="B657" s="3"/>
    </row>
    <row r="658" spans="1:2" x14ac:dyDescent="0.3">
      <c r="A658" s="2"/>
      <c r="B658" s="3"/>
    </row>
    <row r="659" spans="1:2" x14ac:dyDescent="0.3">
      <c r="A659" s="2"/>
      <c r="B659" s="3"/>
    </row>
    <row r="660" spans="1:2" x14ac:dyDescent="0.3">
      <c r="A660" s="2"/>
      <c r="B660" s="3"/>
    </row>
    <row r="661" spans="1:2" x14ac:dyDescent="0.3">
      <c r="A661" s="2"/>
      <c r="B661" s="3"/>
    </row>
    <row r="662" spans="1:2" x14ac:dyDescent="0.3">
      <c r="A662" s="2"/>
      <c r="B662" s="3"/>
    </row>
    <row r="663" spans="1:2" x14ac:dyDescent="0.3">
      <c r="A663" s="2"/>
      <c r="B663" s="3"/>
    </row>
    <row r="664" spans="1:2" x14ac:dyDescent="0.3">
      <c r="A664" s="2"/>
      <c r="B664" s="3"/>
    </row>
    <row r="665" spans="1:2" x14ac:dyDescent="0.3">
      <c r="A665" s="2"/>
      <c r="B665" s="3"/>
    </row>
    <row r="666" spans="1:2" x14ac:dyDescent="0.3">
      <c r="A666" s="2"/>
      <c r="B666" s="3"/>
    </row>
    <row r="667" spans="1:2" x14ac:dyDescent="0.3">
      <c r="A667" s="2"/>
      <c r="B667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CD36B-17E1-41D9-8D6C-88D183DDE349}">
  <dimension ref="A1:F617"/>
  <sheetViews>
    <sheetView topLeftCell="A527" workbookViewId="0">
      <selection activeCell="A578" sqref="A578:B617"/>
    </sheetView>
  </sheetViews>
  <sheetFormatPr baseColWidth="10" defaultRowHeight="16.5" x14ac:dyDescent="0.3"/>
  <cols>
    <col min="1" max="1" width="10.42578125" style="1" bestFit="1" customWidth="1"/>
    <col min="2" max="2" width="11.42578125" style="5"/>
    <col min="3" max="3" width="11" style="5" bestFit="1" customWidth="1"/>
    <col min="4" max="4" width="9.42578125" style="5" bestFit="1" customWidth="1"/>
    <col min="5" max="5" width="9.7109375" style="5" bestFit="1" customWidth="1"/>
    <col min="6" max="6" width="14.28515625" style="5" bestFit="1" customWidth="1"/>
    <col min="7" max="16384" width="11.42578125" style="1"/>
  </cols>
  <sheetData>
    <row r="1" spans="1:6" s="4" customFormat="1" x14ac:dyDescent="0.3">
      <c r="A1" s="4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30.8477</v>
      </c>
      <c r="D2" s="7">
        <v>31.808800000000002</v>
      </c>
      <c r="E2" s="7">
        <v>33.201700000000002</v>
      </c>
      <c r="F2" s="7">
        <v>29.1691</v>
      </c>
    </row>
    <row r="3" spans="1:6" s="4" customFormat="1" x14ac:dyDescent="0.3">
      <c r="A3" s="2">
        <v>46049</v>
      </c>
      <c r="B3" s="8">
        <v>4.1666666666666664E-2</v>
      </c>
      <c r="C3" s="7">
        <v>25.363399999999999</v>
      </c>
      <c r="D3" s="7">
        <v>26.208300000000001</v>
      </c>
      <c r="E3" s="7">
        <v>27.302800000000001</v>
      </c>
      <c r="F3" s="7">
        <v>23.9938</v>
      </c>
    </row>
    <row r="4" spans="1:6" s="4" customFormat="1" x14ac:dyDescent="0.3">
      <c r="A4" s="2">
        <v>46049</v>
      </c>
      <c r="B4" s="8">
        <v>6.25E-2</v>
      </c>
      <c r="C4" s="7">
        <v>25.300799999999999</v>
      </c>
      <c r="D4" s="7">
        <v>26.117699999999999</v>
      </c>
      <c r="E4" s="7">
        <v>27.2469</v>
      </c>
      <c r="F4" s="7">
        <v>23.942799999999998</v>
      </c>
    </row>
    <row r="5" spans="1:6" s="4" customFormat="1" x14ac:dyDescent="0.3">
      <c r="A5" s="2">
        <v>46049</v>
      </c>
      <c r="B5" s="8">
        <v>8.3333333333333301E-2</v>
      </c>
      <c r="C5" s="7">
        <v>25.2057</v>
      </c>
      <c r="D5" s="7">
        <v>25.979800000000001</v>
      </c>
      <c r="E5" s="7">
        <v>27.120999999999999</v>
      </c>
      <c r="F5" s="7">
        <v>23.848099999999999</v>
      </c>
    </row>
    <row r="6" spans="1:6" s="4" customFormat="1" x14ac:dyDescent="0.3">
      <c r="A6" s="2">
        <v>46049</v>
      </c>
      <c r="B6" s="8">
        <v>0.104166666666667</v>
      </c>
      <c r="C6" s="7">
        <v>25.1646</v>
      </c>
      <c r="D6" s="7">
        <v>25.9358</v>
      </c>
      <c r="E6" s="7">
        <v>27.073799999999999</v>
      </c>
      <c r="F6" s="7">
        <v>23.8124</v>
      </c>
    </row>
    <row r="7" spans="1:6" s="4" customFormat="1" x14ac:dyDescent="0.3">
      <c r="A7" s="2">
        <v>46049</v>
      </c>
      <c r="B7" s="8">
        <v>0.125</v>
      </c>
      <c r="C7" s="7">
        <v>25.1464</v>
      </c>
      <c r="D7" s="7">
        <v>25.910799999999998</v>
      </c>
      <c r="E7" s="7">
        <v>27.091000000000001</v>
      </c>
      <c r="F7" s="7">
        <v>23.7989</v>
      </c>
    </row>
    <row r="8" spans="1:6" s="4" customFormat="1" x14ac:dyDescent="0.3">
      <c r="A8" s="2">
        <v>46049</v>
      </c>
      <c r="B8" s="8">
        <v>0.14583333333333301</v>
      </c>
      <c r="C8" s="7">
        <v>25.133199999999999</v>
      </c>
      <c r="D8" s="7">
        <v>25.880299999999998</v>
      </c>
      <c r="E8" s="7">
        <v>27.075199999999999</v>
      </c>
      <c r="F8" s="7">
        <v>23.795000000000002</v>
      </c>
    </row>
    <row r="9" spans="1:6" s="4" customFormat="1" x14ac:dyDescent="0.3">
      <c r="A9" s="2">
        <v>46049</v>
      </c>
      <c r="B9" s="8">
        <v>0.16666666666666599</v>
      </c>
      <c r="C9" s="7">
        <v>25.235299999999999</v>
      </c>
      <c r="D9" s="7">
        <v>25.970300000000002</v>
      </c>
      <c r="E9" s="7">
        <v>27.198499999999999</v>
      </c>
      <c r="F9" s="7">
        <v>23.8933</v>
      </c>
    </row>
    <row r="10" spans="1:6" s="4" customFormat="1" x14ac:dyDescent="0.3">
      <c r="A10" s="2">
        <v>46049</v>
      </c>
      <c r="B10" s="8">
        <v>0.1875</v>
      </c>
      <c r="C10" s="7">
        <v>25.282299999999999</v>
      </c>
      <c r="D10" s="7">
        <v>26.033000000000001</v>
      </c>
      <c r="E10" s="7">
        <v>27.2972</v>
      </c>
      <c r="F10" s="7">
        <v>23.945599999999999</v>
      </c>
    </row>
    <row r="11" spans="1:6" s="4" customFormat="1" x14ac:dyDescent="0.3">
      <c r="A11" s="2">
        <v>46049</v>
      </c>
      <c r="B11" s="8">
        <v>0.20833333333333301</v>
      </c>
      <c r="C11" s="7">
        <v>25.298100000000002</v>
      </c>
      <c r="D11" s="7">
        <v>26.0641</v>
      </c>
      <c r="E11" s="7">
        <v>27.320799999999998</v>
      </c>
      <c r="F11" s="7">
        <v>23.958100000000002</v>
      </c>
    </row>
    <row r="12" spans="1:6" s="4" customFormat="1" x14ac:dyDescent="0.3">
      <c r="A12" s="2">
        <v>46049</v>
      </c>
      <c r="B12" s="8">
        <v>0.22916666666666599</v>
      </c>
      <c r="C12" s="7">
        <v>25.29</v>
      </c>
      <c r="D12" s="7">
        <v>26.091799999999999</v>
      </c>
      <c r="E12" s="7">
        <v>27.308700000000002</v>
      </c>
      <c r="F12" s="7">
        <v>23.951699999999999</v>
      </c>
    </row>
    <row r="13" spans="1:6" s="4" customFormat="1" x14ac:dyDescent="0.3">
      <c r="A13" s="2">
        <v>46049</v>
      </c>
      <c r="B13" s="8">
        <v>0.25</v>
      </c>
      <c r="C13" s="7">
        <v>25.312999999999999</v>
      </c>
      <c r="D13" s="7">
        <v>26.117899999999999</v>
      </c>
      <c r="E13" s="7">
        <v>27.1708</v>
      </c>
      <c r="F13" s="7">
        <v>23.943300000000001</v>
      </c>
    </row>
    <row r="14" spans="1:6" s="4" customFormat="1" x14ac:dyDescent="0.3">
      <c r="A14" s="2">
        <v>46049</v>
      </c>
      <c r="B14" s="8">
        <v>0.27083333333333298</v>
      </c>
      <c r="C14" s="7">
        <v>25.142700000000001</v>
      </c>
      <c r="D14" s="7">
        <v>25.992000000000001</v>
      </c>
      <c r="E14" s="7">
        <v>26.5974</v>
      </c>
      <c r="F14" s="7">
        <v>23.743200000000002</v>
      </c>
    </row>
    <row r="15" spans="1:6" s="4" customFormat="1" x14ac:dyDescent="0.3">
      <c r="A15" s="2">
        <v>46049</v>
      </c>
      <c r="B15" s="8">
        <v>0.29166666666666602</v>
      </c>
      <c r="C15" s="7">
        <v>25.087700000000002</v>
      </c>
      <c r="D15" s="7">
        <v>25.957899999999999</v>
      </c>
      <c r="E15" s="7">
        <v>26.051500000000001</v>
      </c>
      <c r="F15" s="7">
        <v>23.641100000000002</v>
      </c>
    </row>
    <row r="16" spans="1:6" s="4" customFormat="1" x14ac:dyDescent="0.3">
      <c r="A16" s="2">
        <v>46049</v>
      </c>
      <c r="B16" s="8">
        <v>0.3125</v>
      </c>
      <c r="C16" s="7">
        <v>25.2301</v>
      </c>
      <c r="D16" s="7">
        <v>26.166599999999999</v>
      </c>
      <c r="E16" s="7">
        <v>25.921099999999999</v>
      </c>
      <c r="F16" s="7">
        <v>23.7346</v>
      </c>
    </row>
    <row r="17" spans="1:6" s="4" customFormat="1" x14ac:dyDescent="0.3">
      <c r="A17" s="2">
        <v>46049</v>
      </c>
      <c r="B17" s="8">
        <v>0.33333333333333298</v>
      </c>
      <c r="C17" s="7">
        <v>25.3048</v>
      </c>
      <c r="D17" s="7">
        <v>26.2559</v>
      </c>
      <c r="E17" s="7">
        <v>25.782900000000001</v>
      </c>
      <c r="F17" s="7">
        <v>23.784700000000001</v>
      </c>
    </row>
    <row r="18" spans="1:6" s="4" customFormat="1" x14ac:dyDescent="0.3">
      <c r="A18" s="2">
        <v>46049</v>
      </c>
      <c r="B18" s="8">
        <v>0.35416666666666602</v>
      </c>
      <c r="C18" s="7">
        <v>24.689</v>
      </c>
      <c r="D18" s="7">
        <v>25.6906</v>
      </c>
      <c r="E18" s="7">
        <v>24.9709</v>
      </c>
      <c r="F18" s="7">
        <v>23.113399999999999</v>
      </c>
    </row>
    <row r="19" spans="1:6" s="4" customFormat="1" x14ac:dyDescent="0.3">
      <c r="A19" s="2">
        <v>46049</v>
      </c>
      <c r="B19" s="8">
        <v>0.375</v>
      </c>
      <c r="C19" s="7">
        <v>24.888000000000002</v>
      </c>
      <c r="D19" s="7">
        <v>25.9086</v>
      </c>
      <c r="E19" s="7">
        <v>25.013400000000001</v>
      </c>
      <c r="F19" s="7">
        <v>23.269100000000002</v>
      </c>
    </row>
    <row r="20" spans="1:6" s="4" customFormat="1" x14ac:dyDescent="0.3">
      <c r="A20" s="2">
        <v>46049</v>
      </c>
      <c r="B20" s="8">
        <v>0.39583333333333298</v>
      </c>
      <c r="C20" s="7">
        <v>24.9131</v>
      </c>
      <c r="D20" s="7">
        <v>25.943200000000001</v>
      </c>
      <c r="E20" s="7">
        <v>24.8874</v>
      </c>
      <c r="F20" s="7">
        <v>23.2636</v>
      </c>
    </row>
    <row r="21" spans="1:6" s="4" customFormat="1" x14ac:dyDescent="0.3">
      <c r="A21" s="2">
        <v>46049</v>
      </c>
      <c r="B21" s="8">
        <v>0.41666666666666602</v>
      </c>
      <c r="C21" s="7">
        <v>25.091699999999999</v>
      </c>
      <c r="D21" s="7">
        <v>26.167400000000001</v>
      </c>
      <c r="E21" s="7">
        <v>24.9831</v>
      </c>
      <c r="F21" s="7">
        <v>23.4084</v>
      </c>
    </row>
    <row r="22" spans="1:6" s="4" customFormat="1" x14ac:dyDescent="0.3">
      <c r="A22" s="2">
        <v>46049</v>
      </c>
      <c r="B22" s="8">
        <v>0.4375</v>
      </c>
      <c r="C22" s="7">
        <v>25.1723</v>
      </c>
      <c r="D22" s="7">
        <v>26.287800000000001</v>
      </c>
      <c r="E22" s="7">
        <v>24.987500000000001</v>
      </c>
      <c r="F22" s="7">
        <v>23.467400000000001</v>
      </c>
    </row>
    <row r="23" spans="1:6" s="4" customFormat="1" x14ac:dyDescent="0.3">
      <c r="A23" s="2">
        <v>46049</v>
      </c>
      <c r="B23" s="8">
        <v>0.45833333333333298</v>
      </c>
      <c r="C23" s="7">
        <v>25.220300000000002</v>
      </c>
      <c r="D23" s="7">
        <v>26.322399999999998</v>
      </c>
      <c r="E23" s="7">
        <v>25.000699999999998</v>
      </c>
      <c r="F23" s="7">
        <v>23.5016</v>
      </c>
    </row>
    <row r="24" spans="1:6" s="4" customFormat="1" x14ac:dyDescent="0.3">
      <c r="A24" s="2">
        <v>46049</v>
      </c>
      <c r="B24" s="8">
        <v>0.47916666666666602</v>
      </c>
      <c r="C24" s="7">
        <v>25.250499999999999</v>
      </c>
      <c r="D24" s="7">
        <v>26.401800000000001</v>
      </c>
      <c r="E24" s="7">
        <v>25.036000000000001</v>
      </c>
      <c r="F24" s="7">
        <v>23.509599999999999</v>
      </c>
    </row>
    <row r="25" spans="1:6" s="4" customFormat="1" x14ac:dyDescent="0.3">
      <c r="A25" s="2">
        <v>46049</v>
      </c>
      <c r="B25" s="8">
        <v>0.5</v>
      </c>
      <c r="C25" s="7">
        <v>25.2788</v>
      </c>
      <c r="D25" s="7">
        <v>26.428999999999998</v>
      </c>
      <c r="E25" s="7">
        <v>25.0579</v>
      </c>
      <c r="F25" s="7">
        <v>23.526399999999999</v>
      </c>
    </row>
    <row r="26" spans="1:6" s="4" customFormat="1" x14ac:dyDescent="0.3">
      <c r="A26" s="2">
        <v>46049</v>
      </c>
      <c r="B26" s="8">
        <v>0.52083333333333304</v>
      </c>
      <c r="C26" s="7">
        <v>25.298300000000001</v>
      </c>
      <c r="D26" s="7">
        <v>26.416499999999999</v>
      </c>
      <c r="E26" s="7">
        <v>25.049600000000002</v>
      </c>
      <c r="F26" s="7">
        <v>23.518599999999999</v>
      </c>
    </row>
    <row r="27" spans="1:6" s="4" customFormat="1" x14ac:dyDescent="0.3">
      <c r="A27" s="2">
        <v>46049</v>
      </c>
      <c r="B27" s="8">
        <v>0.54166666666666596</v>
      </c>
      <c r="C27" s="7">
        <v>25.093699999999998</v>
      </c>
      <c r="D27" s="7">
        <v>26.122199999999999</v>
      </c>
      <c r="E27" s="7">
        <v>24.895199999999999</v>
      </c>
      <c r="F27" s="7">
        <v>23.321100000000001</v>
      </c>
    </row>
    <row r="28" spans="1:6" s="4" customFormat="1" x14ac:dyDescent="0.3">
      <c r="A28" s="2">
        <v>46049</v>
      </c>
      <c r="B28" s="8">
        <v>0.5625</v>
      </c>
      <c r="C28" s="7">
        <v>25.0792</v>
      </c>
      <c r="D28" s="7">
        <v>26.066400000000002</v>
      </c>
      <c r="E28" s="7">
        <v>24.934100000000001</v>
      </c>
      <c r="F28" s="7">
        <v>23.3123</v>
      </c>
    </row>
    <row r="29" spans="1:6" s="4" customFormat="1" x14ac:dyDescent="0.3">
      <c r="A29" s="2">
        <v>46049</v>
      </c>
      <c r="B29" s="8">
        <v>0.58333333333333304</v>
      </c>
      <c r="C29" s="7">
        <v>25.226900000000001</v>
      </c>
      <c r="D29" s="7">
        <v>26.2258</v>
      </c>
      <c r="E29" s="7">
        <v>25.254000000000001</v>
      </c>
      <c r="F29" s="7">
        <v>23.4772</v>
      </c>
    </row>
    <row r="30" spans="1:6" s="4" customFormat="1" x14ac:dyDescent="0.3">
      <c r="A30" s="2">
        <v>46049</v>
      </c>
      <c r="B30" s="8">
        <v>0.60416666666666596</v>
      </c>
      <c r="C30" s="7">
        <v>25.2441</v>
      </c>
      <c r="D30" s="7">
        <v>26.3049</v>
      </c>
      <c r="E30" s="7">
        <v>25.433399999999999</v>
      </c>
      <c r="F30" s="7">
        <v>23.521799999999999</v>
      </c>
    </row>
    <row r="31" spans="1:6" s="4" customFormat="1" x14ac:dyDescent="0.3">
      <c r="A31" s="2">
        <v>46049</v>
      </c>
      <c r="B31" s="8">
        <v>0.625</v>
      </c>
      <c r="C31" s="7">
        <v>25.252099999999999</v>
      </c>
      <c r="D31" s="7">
        <v>26.3416</v>
      </c>
      <c r="E31" s="7">
        <v>25.613299999999999</v>
      </c>
      <c r="F31" s="7">
        <v>23.553999999999998</v>
      </c>
    </row>
    <row r="32" spans="1:6" s="4" customFormat="1" x14ac:dyDescent="0.3">
      <c r="A32" s="2">
        <v>46049</v>
      </c>
      <c r="B32" s="8">
        <v>0.64583333333333304</v>
      </c>
      <c r="C32" s="7">
        <v>25.264500000000002</v>
      </c>
      <c r="D32" s="7">
        <v>26.377199999999998</v>
      </c>
      <c r="E32" s="7">
        <v>25.754000000000001</v>
      </c>
      <c r="F32" s="7">
        <v>23.581800000000001</v>
      </c>
    </row>
    <row r="33" spans="1:6" s="4" customFormat="1" x14ac:dyDescent="0.3">
      <c r="A33" s="2">
        <v>46049</v>
      </c>
      <c r="B33" s="8">
        <v>0.66666666666666596</v>
      </c>
      <c r="C33" s="7">
        <v>25.314399999999999</v>
      </c>
      <c r="D33" s="7">
        <v>26.407900000000001</v>
      </c>
      <c r="E33" s="7">
        <v>25.9925</v>
      </c>
      <c r="F33" s="7">
        <v>23.631699999999999</v>
      </c>
    </row>
    <row r="34" spans="1:6" s="4" customFormat="1" x14ac:dyDescent="0.3">
      <c r="A34" s="2">
        <v>46049</v>
      </c>
      <c r="B34" s="8">
        <v>0.6875</v>
      </c>
      <c r="C34" s="7">
        <v>25.1311</v>
      </c>
      <c r="D34" s="7">
        <v>26.4907</v>
      </c>
      <c r="E34" s="7">
        <v>26.383099999999999</v>
      </c>
      <c r="F34" s="7">
        <v>23.659500000000001</v>
      </c>
    </row>
    <row r="35" spans="1:6" s="4" customFormat="1" x14ac:dyDescent="0.3">
      <c r="A35" s="2">
        <v>46049</v>
      </c>
      <c r="B35" s="8">
        <v>0.70833333333333304</v>
      </c>
      <c r="C35" s="7">
        <v>25.1403</v>
      </c>
      <c r="D35" s="7">
        <v>26.4848</v>
      </c>
      <c r="E35" s="7">
        <v>26.721499999999999</v>
      </c>
      <c r="F35" s="7">
        <v>23.670500000000001</v>
      </c>
    </row>
    <row r="36" spans="1:6" s="4" customFormat="1" x14ac:dyDescent="0.3">
      <c r="A36" s="2">
        <v>46049</v>
      </c>
      <c r="B36" s="8">
        <v>0.72916666666666596</v>
      </c>
      <c r="C36" s="7">
        <v>25.184699999999999</v>
      </c>
      <c r="D36" s="7">
        <v>26.503900000000002</v>
      </c>
      <c r="E36" s="7">
        <v>27.061</v>
      </c>
      <c r="F36" s="7">
        <v>23.735099999999999</v>
      </c>
    </row>
    <row r="37" spans="1:6" s="4" customFormat="1" x14ac:dyDescent="0.3">
      <c r="A37" s="2">
        <v>46049</v>
      </c>
      <c r="B37" s="8">
        <v>0.75</v>
      </c>
      <c r="C37" s="7">
        <v>25.110199999999999</v>
      </c>
      <c r="D37" s="7">
        <v>26.267499999999998</v>
      </c>
      <c r="E37" s="7">
        <v>27.146599999999999</v>
      </c>
      <c r="F37" s="7">
        <v>23.680299999999999</v>
      </c>
    </row>
    <row r="38" spans="1:6" s="4" customFormat="1" x14ac:dyDescent="0.3">
      <c r="A38" s="2">
        <v>46049</v>
      </c>
      <c r="B38" s="8">
        <v>0.77083333333333304</v>
      </c>
      <c r="C38" s="7">
        <v>25.114699999999999</v>
      </c>
      <c r="D38" s="7">
        <v>26.370999999999999</v>
      </c>
      <c r="E38" s="7">
        <v>27.3217</v>
      </c>
      <c r="F38" s="7">
        <v>23.717600000000001</v>
      </c>
    </row>
    <row r="39" spans="1:6" s="4" customFormat="1" x14ac:dyDescent="0.3">
      <c r="A39" s="2">
        <v>46049</v>
      </c>
      <c r="B39" s="8">
        <v>0.79166666666666596</v>
      </c>
      <c r="C39" s="7">
        <v>25.459599999999998</v>
      </c>
      <c r="D39" s="7">
        <v>26.930099999999999</v>
      </c>
      <c r="E39" s="7">
        <v>27.777999999999999</v>
      </c>
      <c r="F39" s="7">
        <v>24.092700000000001</v>
      </c>
    </row>
    <row r="40" spans="1:6" s="4" customFormat="1" x14ac:dyDescent="0.3">
      <c r="A40" s="2">
        <v>46049</v>
      </c>
      <c r="B40" s="8">
        <v>0.8125</v>
      </c>
      <c r="C40" s="7">
        <v>25.458200000000001</v>
      </c>
      <c r="D40" s="7">
        <v>27.010300000000001</v>
      </c>
      <c r="E40" s="7">
        <v>27.753599999999999</v>
      </c>
      <c r="F40" s="7">
        <v>24.101500000000001</v>
      </c>
    </row>
    <row r="41" spans="1:6" s="4" customFormat="1" x14ac:dyDescent="0.3">
      <c r="A41" s="2">
        <v>46049</v>
      </c>
      <c r="B41" s="8">
        <v>0.83333333333333304</v>
      </c>
      <c r="C41" s="7">
        <v>30.520099999999999</v>
      </c>
      <c r="D41" s="7">
        <v>32.3643</v>
      </c>
      <c r="E41" s="7">
        <v>33.334099999999999</v>
      </c>
      <c r="F41" s="7">
        <v>28.908799999999999</v>
      </c>
    </row>
    <row r="42" spans="1:6" s="4" customFormat="1" x14ac:dyDescent="0.3">
      <c r="A42" s="2">
        <v>46049</v>
      </c>
      <c r="B42" s="8">
        <v>0.85416666666666596</v>
      </c>
      <c r="C42" s="7">
        <v>30.5337</v>
      </c>
      <c r="D42" s="7">
        <v>32.3538</v>
      </c>
      <c r="E42" s="7">
        <v>33.400500000000001</v>
      </c>
      <c r="F42" s="7">
        <v>28.925799999999999</v>
      </c>
    </row>
    <row r="43" spans="1:6" s="4" customFormat="1" x14ac:dyDescent="0.3">
      <c r="A43" s="2">
        <v>46049</v>
      </c>
      <c r="B43" s="8">
        <v>0.875</v>
      </c>
      <c r="C43" s="7">
        <v>30.521599999999999</v>
      </c>
      <c r="D43" s="7">
        <v>32.35</v>
      </c>
      <c r="E43" s="7">
        <v>33.406500000000001</v>
      </c>
      <c r="F43" s="7">
        <v>28.921399999999998</v>
      </c>
    </row>
    <row r="44" spans="1:6" s="4" customFormat="1" x14ac:dyDescent="0.3">
      <c r="A44" s="2">
        <v>46049</v>
      </c>
      <c r="B44" s="8">
        <v>0.89583333333333304</v>
      </c>
      <c r="C44" s="7">
        <v>30.470800000000001</v>
      </c>
      <c r="D44" s="7">
        <v>32.350299999999997</v>
      </c>
      <c r="E44" s="7">
        <v>33.302599999999998</v>
      </c>
      <c r="F44" s="7">
        <v>28.874400000000001</v>
      </c>
    </row>
    <row r="45" spans="1:6" s="4" customFormat="1" x14ac:dyDescent="0.3">
      <c r="A45" s="2">
        <v>46049</v>
      </c>
      <c r="B45" s="8">
        <v>0.91666666666666596</v>
      </c>
      <c r="C45" s="7">
        <v>30.5823</v>
      </c>
      <c r="D45" s="7">
        <v>32.369100000000003</v>
      </c>
      <c r="E45" s="7">
        <v>33.432000000000002</v>
      </c>
      <c r="F45" s="7">
        <v>29.009899999999998</v>
      </c>
    </row>
    <row r="46" spans="1:6" s="4" customFormat="1" x14ac:dyDescent="0.3">
      <c r="A46" s="2">
        <v>46049</v>
      </c>
      <c r="B46" s="8">
        <v>0.9375</v>
      </c>
      <c r="C46" s="7">
        <v>25.267099999999999</v>
      </c>
      <c r="D46" s="7">
        <v>26.605499999999999</v>
      </c>
      <c r="E46" s="7">
        <v>27.5291</v>
      </c>
      <c r="F46" s="7">
        <v>23.978999999999999</v>
      </c>
    </row>
    <row r="47" spans="1:6" s="4" customFormat="1" x14ac:dyDescent="0.3">
      <c r="A47" s="2">
        <v>46049</v>
      </c>
      <c r="B47" s="8">
        <v>0.95833333333333304</v>
      </c>
      <c r="C47" s="7">
        <v>25.078299999999999</v>
      </c>
      <c r="D47" s="7">
        <v>26.274799999999999</v>
      </c>
      <c r="E47" s="7">
        <v>27.2346</v>
      </c>
      <c r="F47" s="7">
        <v>23.766500000000001</v>
      </c>
    </row>
    <row r="48" spans="1:6" s="4" customFormat="1" x14ac:dyDescent="0.3">
      <c r="A48" s="2">
        <v>46049</v>
      </c>
      <c r="B48" s="8">
        <v>0.97916666666666596</v>
      </c>
      <c r="C48" s="7">
        <v>30.659600000000001</v>
      </c>
      <c r="D48" s="7">
        <v>32.015000000000001</v>
      </c>
      <c r="E48" s="7">
        <v>33.3855</v>
      </c>
      <c r="F48" s="7">
        <v>29.093699999999998</v>
      </c>
    </row>
    <row r="49" spans="1:6" s="4" customFormat="1" x14ac:dyDescent="0.3">
      <c r="A49" s="2">
        <v>46049</v>
      </c>
      <c r="B49" s="8">
        <v>1</v>
      </c>
      <c r="C49" s="7">
        <v>25.245100000000001</v>
      </c>
      <c r="D49" s="7">
        <v>26.310700000000001</v>
      </c>
      <c r="E49" s="7">
        <v>27.469799999999999</v>
      </c>
      <c r="F49" s="7">
        <v>23.9681</v>
      </c>
    </row>
    <row r="50" spans="1:6" x14ac:dyDescent="0.3">
      <c r="A50" s="2">
        <f>+'CMG-PDO'!A50</f>
        <v>46050</v>
      </c>
      <c r="B50" s="8">
        <f>+'CMG-PDO'!B50</f>
        <v>2.0833333333333332E-2</v>
      </c>
      <c r="C50" s="7">
        <v>29.411899999999999</v>
      </c>
      <c r="D50" s="7">
        <v>30.347899999999999</v>
      </c>
      <c r="E50" s="7">
        <v>31.659800000000001</v>
      </c>
      <c r="F50" s="7">
        <v>27.766100000000002</v>
      </c>
    </row>
    <row r="51" spans="1:6" x14ac:dyDescent="0.3">
      <c r="A51" s="2">
        <f>+'CMG-PDO'!A51</f>
        <v>46050</v>
      </c>
      <c r="B51" s="8">
        <f>+'CMG-PDO'!B51</f>
        <v>4.1666666666666664E-2</v>
      </c>
      <c r="C51" s="7">
        <v>30.309699999999999</v>
      </c>
      <c r="D51" s="7">
        <v>31.203800000000001</v>
      </c>
      <c r="E51" s="7">
        <v>32.619199999999999</v>
      </c>
      <c r="F51" s="7">
        <v>28.590399999999999</v>
      </c>
    </row>
    <row r="52" spans="1:6" x14ac:dyDescent="0.3">
      <c r="A52" s="2">
        <f>+'CMG-PDO'!A52</f>
        <v>46050</v>
      </c>
      <c r="B52" s="8">
        <f>+'CMG-PDO'!B52</f>
        <v>6.25E-2</v>
      </c>
      <c r="C52" s="7">
        <v>30.230799999999999</v>
      </c>
      <c r="D52" s="7">
        <v>31.226600000000001</v>
      </c>
      <c r="E52" s="7">
        <v>32.535499999999999</v>
      </c>
      <c r="F52" s="7">
        <v>28.544499999999999</v>
      </c>
    </row>
    <row r="53" spans="1:6" x14ac:dyDescent="0.3">
      <c r="A53" s="2">
        <f>+'CMG-PDO'!A53</f>
        <v>46050</v>
      </c>
      <c r="B53" s="8">
        <f>+'CMG-PDO'!B53</f>
        <v>8.3333333333333329E-2</v>
      </c>
      <c r="C53" s="7">
        <v>24.549800000000001</v>
      </c>
      <c r="D53" s="7">
        <v>25.320900000000002</v>
      </c>
      <c r="E53" s="7">
        <v>26.404</v>
      </c>
      <c r="F53" s="7">
        <v>23.2011</v>
      </c>
    </row>
    <row r="54" spans="1:6" x14ac:dyDescent="0.3">
      <c r="A54" s="2">
        <f>+'CMG-PDO'!A54</f>
        <v>46050</v>
      </c>
      <c r="B54" s="8">
        <f>+'CMG-PDO'!B54</f>
        <v>0.10416666666666666</v>
      </c>
      <c r="C54" s="7">
        <v>24.540900000000001</v>
      </c>
      <c r="D54" s="7">
        <v>25.296199999999999</v>
      </c>
      <c r="E54" s="7">
        <v>26.3917</v>
      </c>
      <c r="F54" s="7">
        <v>23.196000000000002</v>
      </c>
    </row>
    <row r="55" spans="1:6" x14ac:dyDescent="0.3">
      <c r="A55" s="2">
        <f>+'CMG-PDO'!A55</f>
        <v>46050</v>
      </c>
      <c r="B55" s="8">
        <f>+'CMG-PDO'!B55</f>
        <v>0.12499999999999999</v>
      </c>
      <c r="C55" s="7">
        <v>24.521699999999999</v>
      </c>
      <c r="D55" s="7">
        <v>25.27</v>
      </c>
      <c r="E55" s="7">
        <v>26.390699999999999</v>
      </c>
      <c r="F55" s="7">
        <v>23.176500000000001</v>
      </c>
    </row>
    <row r="56" spans="1:6" x14ac:dyDescent="0.3">
      <c r="A56" s="2">
        <f>+'CMG-PDO'!A56</f>
        <v>46050</v>
      </c>
      <c r="B56" s="8">
        <f>+'CMG-PDO'!B56</f>
        <v>0.14583333333333331</v>
      </c>
      <c r="C56" s="7">
        <v>24.512899999999998</v>
      </c>
      <c r="D56" s="7">
        <v>25.243600000000001</v>
      </c>
      <c r="E56" s="7">
        <v>26.357099999999999</v>
      </c>
      <c r="F56" s="7">
        <v>23.1599</v>
      </c>
    </row>
    <row r="57" spans="1:6" x14ac:dyDescent="0.3">
      <c r="A57" s="2">
        <f>+'CMG-PDO'!A57</f>
        <v>46050</v>
      </c>
      <c r="B57" s="8">
        <f>+'CMG-PDO'!B57</f>
        <v>0.16666666666666666</v>
      </c>
      <c r="C57" s="7">
        <v>24.5229</v>
      </c>
      <c r="D57" s="7">
        <v>25.272200000000002</v>
      </c>
      <c r="E57" s="7">
        <v>26.389600000000002</v>
      </c>
      <c r="F57" s="7">
        <v>23.174900000000001</v>
      </c>
    </row>
    <row r="58" spans="1:6" x14ac:dyDescent="0.3">
      <c r="A58" s="2">
        <f>+'CMG-PDO'!A58</f>
        <v>46050</v>
      </c>
      <c r="B58" s="8">
        <f>+'CMG-PDO'!B58</f>
        <v>0.1875</v>
      </c>
      <c r="C58" s="7">
        <v>23.629300000000001</v>
      </c>
      <c r="D58" s="7">
        <v>24.3444</v>
      </c>
      <c r="E58" s="7">
        <v>25.475999999999999</v>
      </c>
      <c r="F58" s="7">
        <v>22.3447</v>
      </c>
    </row>
    <row r="59" spans="1:6" x14ac:dyDescent="0.3">
      <c r="A59" s="2">
        <f>+'CMG-PDO'!A59</f>
        <v>46050</v>
      </c>
      <c r="B59" s="8">
        <f>+'CMG-PDO'!B59</f>
        <v>0.20833333333333334</v>
      </c>
      <c r="C59" s="7">
        <v>24.556999999999999</v>
      </c>
      <c r="D59" s="7">
        <v>25.313199999999998</v>
      </c>
      <c r="E59" s="7">
        <v>26.478000000000002</v>
      </c>
      <c r="F59" s="7">
        <v>23.2212</v>
      </c>
    </row>
    <row r="60" spans="1:6" x14ac:dyDescent="0.3">
      <c r="A60" s="2">
        <f>+'CMG-PDO'!A60</f>
        <v>46050</v>
      </c>
      <c r="B60" s="8">
        <f>+'CMG-PDO'!B60</f>
        <v>0.22916666666666669</v>
      </c>
      <c r="C60" s="7">
        <v>30.271999999999998</v>
      </c>
      <c r="D60" s="7">
        <v>31.3001</v>
      </c>
      <c r="E60" s="7">
        <v>32.716700000000003</v>
      </c>
      <c r="F60" s="7">
        <v>28.634799999999998</v>
      </c>
    </row>
    <row r="61" spans="1:6" x14ac:dyDescent="0.3">
      <c r="A61" s="2">
        <f>+'CMG-PDO'!A61</f>
        <v>46050</v>
      </c>
      <c r="B61" s="8">
        <f>+'CMG-PDO'!B61</f>
        <v>0.25</v>
      </c>
      <c r="C61" s="7">
        <v>29.5716</v>
      </c>
      <c r="D61" s="7">
        <v>30.611799999999999</v>
      </c>
      <c r="E61" s="7">
        <v>31.738299999999999</v>
      </c>
      <c r="F61" s="7">
        <v>27.917899999999999</v>
      </c>
    </row>
    <row r="62" spans="1:6" x14ac:dyDescent="0.3">
      <c r="A62" s="2">
        <f>+'CMG-PDO'!A62</f>
        <v>46050</v>
      </c>
      <c r="B62" s="8">
        <f>+'CMG-PDO'!B62</f>
        <v>0.27083333333333331</v>
      </c>
      <c r="C62" s="7">
        <v>24.566600000000001</v>
      </c>
      <c r="D62" s="7">
        <v>25.466200000000001</v>
      </c>
      <c r="E62" s="7">
        <v>25.925699999999999</v>
      </c>
      <c r="F62" s="7">
        <v>23.1995</v>
      </c>
    </row>
    <row r="63" spans="1:6" x14ac:dyDescent="0.3">
      <c r="A63" s="2">
        <f>+'CMG-PDO'!A63</f>
        <v>46050</v>
      </c>
      <c r="B63" s="8">
        <f>+'CMG-PDO'!B63</f>
        <v>0.29166666666666663</v>
      </c>
      <c r="C63" s="7">
        <v>23.693200000000001</v>
      </c>
      <c r="D63" s="7">
        <v>24.566700000000001</v>
      </c>
      <c r="E63" s="7">
        <v>24.488499999999998</v>
      </c>
      <c r="F63" s="7">
        <v>22.325199999999999</v>
      </c>
    </row>
    <row r="64" spans="1:6" x14ac:dyDescent="0.3">
      <c r="A64" s="2">
        <f>+'CMG-PDO'!A64</f>
        <v>46050</v>
      </c>
      <c r="B64" s="8">
        <f>+'CMG-PDO'!B64</f>
        <v>0.31249999999999994</v>
      </c>
      <c r="C64" s="7">
        <v>25.367899999999999</v>
      </c>
      <c r="D64" s="7">
        <v>26.390499999999999</v>
      </c>
      <c r="E64" s="7">
        <v>25.895499999999998</v>
      </c>
      <c r="F64" s="7">
        <v>23.8489</v>
      </c>
    </row>
    <row r="65" spans="1:6" x14ac:dyDescent="0.3">
      <c r="A65" s="2">
        <f>+'CMG-PDO'!A65</f>
        <v>46050</v>
      </c>
      <c r="B65" s="8">
        <f>+'CMG-PDO'!B65</f>
        <v>0.33333333333333326</v>
      </c>
      <c r="C65" s="7">
        <v>30.360700000000001</v>
      </c>
      <c r="D65" s="7">
        <v>31.581800000000001</v>
      </c>
      <c r="E65" s="7">
        <v>30.7315</v>
      </c>
      <c r="F65" s="7">
        <v>28.501799999999999</v>
      </c>
    </row>
    <row r="66" spans="1:6" x14ac:dyDescent="0.3">
      <c r="A66" s="2">
        <f>+'CMG-PDO'!A66</f>
        <v>46050</v>
      </c>
      <c r="B66" s="8">
        <f>+'CMG-PDO'!B66</f>
        <v>0.35416666666666657</v>
      </c>
      <c r="C66" s="7">
        <v>21.511900000000001</v>
      </c>
      <c r="D66" s="7">
        <v>22.554400000000001</v>
      </c>
      <c r="E66" s="7">
        <v>21.808399999999999</v>
      </c>
      <c r="F66" s="7">
        <v>20.234500000000001</v>
      </c>
    </row>
    <row r="67" spans="1:6" x14ac:dyDescent="0.3">
      <c r="A67" s="2">
        <f>+'CMG-PDO'!A67</f>
        <v>46050</v>
      </c>
      <c r="B67" s="8">
        <f>+'CMG-PDO'!B67</f>
        <v>0.37499999999999989</v>
      </c>
      <c r="C67" s="7">
        <v>23.910499999999999</v>
      </c>
      <c r="D67" s="7">
        <v>25.127400000000002</v>
      </c>
      <c r="E67" s="7">
        <v>24.093499999999999</v>
      </c>
      <c r="F67" s="7">
        <v>22.466200000000001</v>
      </c>
    </row>
    <row r="68" spans="1:6" x14ac:dyDescent="0.3">
      <c r="A68" s="2">
        <f>+'CMG-PDO'!A68</f>
        <v>46050</v>
      </c>
      <c r="B68" s="8">
        <f>+'CMG-PDO'!B68</f>
        <v>0.3958333333333332</v>
      </c>
      <c r="C68" s="7">
        <v>24.372</v>
      </c>
      <c r="D68" s="7">
        <v>25.679099999999998</v>
      </c>
      <c r="E68" s="7">
        <v>24.4802</v>
      </c>
      <c r="F68" s="7">
        <v>22.902999999999999</v>
      </c>
    </row>
    <row r="69" spans="1:6" x14ac:dyDescent="0.3">
      <c r="A69" s="2">
        <f>+'CMG-PDO'!A69</f>
        <v>46050</v>
      </c>
      <c r="B69" s="8">
        <f>+'CMG-PDO'!B69</f>
        <v>0.41666666666666652</v>
      </c>
      <c r="C69" s="7">
        <v>24.375499999999999</v>
      </c>
      <c r="D69" s="7">
        <v>25.726500000000001</v>
      </c>
      <c r="E69" s="7">
        <v>24.369299999999999</v>
      </c>
      <c r="F69" s="7">
        <v>22.885200000000001</v>
      </c>
    </row>
    <row r="70" spans="1:6" x14ac:dyDescent="0.3">
      <c r="A70" s="2">
        <f>+'CMG-PDO'!A70</f>
        <v>46050</v>
      </c>
      <c r="B70" s="8">
        <f>+'CMG-PDO'!B70</f>
        <v>0.43749999999999983</v>
      </c>
      <c r="C70" s="7">
        <v>24.488099999999999</v>
      </c>
      <c r="D70" s="7">
        <v>25.878799999999998</v>
      </c>
      <c r="E70" s="7">
        <v>24.389500000000002</v>
      </c>
      <c r="F70" s="7">
        <v>22.965599999999998</v>
      </c>
    </row>
    <row r="71" spans="1:6" x14ac:dyDescent="0.3">
      <c r="A71" s="2">
        <f>+'CMG-PDO'!A71</f>
        <v>46050</v>
      </c>
      <c r="B71" s="8">
        <f>+'CMG-PDO'!B71</f>
        <v>0.45833333333333315</v>
      </c>
      <c r="C71" s="7">
        <v>25.0915</v>
      </c>
      <c r="D71" s="7">
        <v>26.529199999999999</v>
      </c>
      <c r="E71" s="7">
        <v>24.985600000000002</v>
      </c>
      <c r="F71" s="7">
        <v>23.5154</v>
      </c>
    </row>
    <row r="72" spans="1:6" x14ac:dyDescent="0.3">
      <c r="A72" s="2">
        <f>+'CMG-PDO'!A72</f>
        <v>46050</v>
      </c>
      <c r="B72" s="8">
        <f>+'CMG-PDO'!B72</f>
        <v>0.47916666666666646</v>
      </c>
      <c r="C72" s="7">
        <v>25.118099999999998</v>
      </c>
      <c r="D72" s="7">
        <v>26.610299999999999</v>
      </c>
      <c r="E72" s="7">
        <v>25.0275</v>
      </c>
      <c r="F72" s="7">
        <v>23.532399999999999</v>
      </c>
    </row>
    <row r="73" spans="1:6" x14ac:dyDescent="0.3">
      <c r="A73" s="2">
        <f>+'CMG-PDO'!A73</f>
        <v>46050</v>
      </c>
      <c r="B73" s="8">
        <f>+'CMG-PDO'!B73</f>
        <v>0.49999999999999978</v>
      </c>
      <c r="C73" s="7">
        <v>25.1187</v>
      </c>
      <c r="D73" s="7">
        <v>26.592400000000001</v>
      </c>
      <c r="E73" s="7">
        <v>25.026</v>
      </c>
      <c r="F73" s="7">
        <v>23.523099999999999</v>
      </c>
    </row>
    <row r="74" spans="1:6" x14ac:dyDescent="0.3">
      <c r="A74" s="2">
        <f>+'CMG-PDO'!A74</f>
        <v>46050</v>
      </c>
      <c r="B74" s="8">
        <f>+'CMG-PDO'!B74</f>
        <v>0.52083333333333315</v>
      </c>
      <c r="C74" s="7">
        <v>25.1112</v>
      </c>
      <c r="D74" s="7">
        <v>26.5596</v>
      </c>
      <c r="E74" s="7">
        <v>24.98</v>
      </c>
      <c r="F74" s="7">
        <v>23.505800000000001</v>
      </c>
    </row>
    <row r="75" spans="1:6" x14ac:dyDescent="0.3">
      <c r="A75" s="2">
        <f>+'CMG-PDO'!A75</f>
        <v>46050</v>
      </c>
      <c r="B75" s="8">
        <f>+'CMG-PDO'!B75</f>
        <v>0.54166666666666652</v>
      </c>
      <c r="C75" s="7">
        <v>23.9787</v>
      </c>
      <c r="D75" s="7">
        <v>25.2727</v>
      </c>
      <c r="E75" s="7">
        <v>23.795300000000001</v>
      </c>
      <c r="F75" s="7">
        <v>22.420999999999999</v>
      </c>
    </row>
    <row r="76" spans="1:6" x14ac:dyDescent="0.3">
      <c r="A76" s="2">
        <f>+'CMG-PDO'!A76</f>
        <v>46050</v>
      </c>
      <c r="B76" s="8">
        <f>+'CMG-PDO'!B76</f>
        <v>0.56249999999999989</v>
      </c>
      <c r="C76" s="7">
        <v>23.9666</v>
      </c>
      <c r="D76" s="7">
        <v>25.241099999999999</v>
      </c>
      <c r="E76" s="7">
        <v>23.773399999999999</v>
      </c>
      <c r="F76" s="7">
        <v>22.410499999999999</v>
      </c>
    </row>
    <row r="77" spans="1:6" x14ac:dyDescent="0.3">
      <c r="A77" s="2">
        <f>+'CMG-PDO'!A77</f>
        <v>46050</v>
      </c>
      <c r="B77" s="8">
        <f>+'CMG-PDO'!B77</f>
        <v>0.58333333333333326</v>
      </c>
      <c r="C77" s="7">
        <v>23.973700000000001</v>
      </c>
      <c r="D77" s="7">
        <v>25.235299999999999</v>
      </c>
      <c r="E77" s="7">
        <v>23.852399999999999</v>
      </c>
      <c r="F77" s="7">
        <v>22.427499999999998</v>
      </c>
    </row>
    <row r="78" spans="1:6" x14ac:dyDescent="0.3">
      <c r="A78" s="2">
        <f>+'CMG-PDO'!A78</f>
        <v>46050</v>
      </c>
      <c r="B78" s="8">
        <f>+'CMG-PDO'!B78</f>
        <v>0.60416666666666663</v>
      </c>
      <c r="C78" s="7">
        <v>24.492599999999999</v>
      </c>
      <c r="D78" s="7">
        <v>25.825199999999999</v>
      </c>
      <c r="E78" s="7">
        <v>24.4511</v>
      </c>
      <c r="F78" s="7">
        <v>22.9237</v>
      </c>
    </row>
    <row r="79" spans="1:6" x14ac:dyDescent="0.3">
      <c r="A79" s="2">
        <f>+'CMG-PDO'!A79</f>
        <v>46050</v>
      </c>
      <c r="B79" s="8">
        <f>+'CMG-PDO'!B79</f>
        <v>0.625</v>
      </c>
      <c r="C79" s="7">
        <v>25.11</v>
      </c>
      <c r="D79" s="7">
        <v>26.495899999999999</v>
      </c>
      <c r="E79" s="7">
        <v>25.268999999999998</v>
      </c>
      <c r="F79" s="7">
        <v>23.519400000000001</v>
      </c>
    </row>
    <row r="80" spans="1:6" x14ac:dyDescent="0.3">
      <c r="A80" s="2">
        <f>+'CMG-PDO'!A80</f>
        <v>46050</v>
      </c>
      <c r="B80" s="8">
        <f>+'CMG-PDO'!B80</f>
        <v>0.64583333333333337</v>
      </c>
      <c r="C80" s="7">
        <v>25.1266</v>
      </c>
      <c r="D80" s="7">
        <v>26.537500000000001</v>
      </c>
      <c r="E80" s="7">
        <v>25.437899999999999</v>
      </c>
      <c r="F80" s="7">
        <v>23.5472</v>
      </c>
    </row>
    <row r="81" spans="1:6" x14ac:dyDescent="0.3">
      <c r="A81" s="2">
        <f>+'CMG-PDO'!A81</f>
        <v>46050</v>
      </c>
      <c r="B81" s="8">
        <f>+'CMG-PDO'!B81</f>
        <v>0.66666666666666674</v>
      </c>
      <c r="C81" s="7">
        <v>25.1524</v>
      </c>
      <c r="D81" s="7">
        <v>26.547899999999998</v>
      </c>
      <c r="E81" s="7">
        <v>25.651599999999998</v>
      </c>
      <c r="F81" s="7">
        <v>23.591799999999999</v>
      </c>
    </row>
    <row r="82" spans="1:6" x14ac:dyDescent="0.3">
      <c r="A82" s="2">
        <f>+'CMG-PDO'!A82</f>
        <v>46050</v>
      </c>
      <c r="B82" s="8">
        <f>+'CMG-PDO'!B82</f>
        <v>0.68750000000000011</v>
      </c>
      <c r="C82" s="7">
        <v>25.1402</v>
      </c>
      <c r="D82" s="7">
        <v>26.5411</v>
      </c>
      <c r="E82" s="7">
        <v>25.9605</v>
      </c>
      <c r="F82" s="7">
        <v>23.594799999999999</v>
      </c>
    </row>
    <row r="83" spans="1:6" x14ac:dyDescent="0.3">
      <c r="A83" s="2">
        <f>+'CMG-PDO'!A83</f>
        <v>46050</v>
      </c>
      <c r="B83" s="8">
        <f>+'CMG-PDO'!B83</f>
        <v>0.70833333333333348</v>
      </c>
      <c r="C83" s="7">
        <v>25.126899999999999</v>
      </c>
      <c r="D83" s="7">
        <v>26.539400000000001</v>
      </c>
      <c r="E83" s="7">
        <v>26.4405</v>
      </c>
      <c r="F83" s="7">
        <v>23.6206</v>
      </c>
    </row>
    <row r="84" spans="1:6" x14ac:dyDescent="0.3">
      <c r="A84" s="2">
        <f>+'CMG-PDO'!A84</f>
        <v>46050</v>
      </c>
      <c r="B84" s="8">
        <f>+'CMG-PDO'!B84</f>
        <v>0.72916666666666685</v>
      </c>
      <c r="C84" s="7">
        <v>25.507100000000001</v>
      </c>
      <c r="D84" s="7">
        <v>26.9268</v>
      </c>
      <c r="E84" s="7">
        <v>27.302</v>
      </c>
      <c r="F84" s="7">
        <v>24.0182</v>
      </c>
    </row>
    <row r="85" spans="1:6" x14ac:dyDescent="0.3">
      <c r="A85" s="2">
        <f>+'CMG-PDO'!A85</f>
        <v>46050</v>
      </c>
      <c r="B85" s="8">
        <f>+'CMG-PDO'!B85</f>
        <v>0.75000000000000022</v>
      </c>
      <c r="C85" s="7">
        <v>25.1082</v>
      </c>
      <c r="D85" s="7">
        <v>26.351700000000001</v>
      </c>
      <c r="E85" s="7">
        <v>27.055599999999998</v>
      </c>
      <c r="F85" s="7">
        <v>23.6555</v>
      </c>
    </row>
    <row r="86" spans="1:6" x14ac:dyDescent="0.3">
      <c r="A86" s="2">
        <f>+'CMG-PDO'!A86</f>
        <v>46050</v>
      </c>
      <c r="B86" s="8">
        <f>+'CMG-PDO'!B86</f>
        <v>0.77083333333333359</v>
      </c>
      <c r="C86" s="7">
        <v>25.054600000000001</v>
      </c>
      <c r="D86" s="7">
        <v>26.392900000000001</v>
      </c>
      <c r="E86" s="7">
        <v>27.1722</v>
      </c>
      <c r="F86" s="7">
        <v>23.630800000000001</v>
      </c>
    </row>
    <row r="87" spans="1:6" x14ac:dyDescent="0.3">
      <c r="A87" s="2">
        <f>+'CMG-PDO'!A87</f>
        <v>46050</v>
      </c>
      <c r="B87" s="8">
        <f>+'CMG-PDO'!B87</f>
        <v>0.79166666666666696</v>
      </c>
      <c r="C87" s="7">
        <v>30.4374</v>
      </c>
      <c r="D87" s="7">
        <v>32.128100000000003</v>
      </c>
      <c r="E87" s="7">
        <v>33.078400000000002</v>
      </c>
      <c r="F87" s="7">
        <v>28.718900000000001</v>
      </c>
    </row>
    <row r="88" spans="1:6" x14ac:dyDescent="0.3">
      <c r="A88" s="2">
        <f>+'CMG-PDO'!A88</f>
        <v>46050</v>
      </c>
      <c r="B88" s="8">
        <f>+'CMG-PDO'!B88</f>
        <v>0.81250000000000033</v>
      </c>
      <c r="C88" s="7">
        <v>26.754100000000001</v>
      </c>
      <c r="D88" s="7">
        <v>28.288900000000002</v>
      </c>
      <c r="E88" s="7">
        <v>29.0547</v>
      </c>
      <c r="F88" s="7">
        <v>25.2163</v>
      </c>
    </row>
    <row r="89" spans="1:6" x14ac:dyDescent="0.3">
      <c r="A89" s="2">
        <f>+'CMG-PDO'!A89</f>
        <v>46050</v>
      </c>
      <c r="B89" s="8">
        <f>+'CMG-PDO'!B89</f>
        <v>0.8333333333333337</v>
      </c>
      <c r="C89" s="7">
        <v>30.432500000000001</v>
      </c>
      <c r="D89" s="7">
        <v>32.165399999999998</v>
      </c>
      <c r="E89" s="7">
        <v>33.102899999999998</v>
      </c>
      <c r="F89" s="7">
        <v>28.691099999999999</v>
      </c>
    </row>
    <row r="90" spans="1:6" x14ac:dyDescent="0.3">
      <c r="A90" s="2">
        <f>+'CMG-PDO'!A90</f>
        <v>46050</v>
      </c>
      <c r="B90" s="8">
        <f>+'CMG-PDO'!B90</f>
        <v>0.85416666666666707</v>
      </c>
      <c r="C90" s="7">
        <v>30.391200000000001</v>
      </c>
      <c r="D90" s="7">
        <v>32.095700000000001</v>
      </c>
      <c r="E90" s="7">
        <v>33.104399999999998</v>
      </c>
      <c r="F90" s="7">
        <v>28.659400000000002</v>
      </c>
    </row>
    <row r="91" spans="1:6" x14ac:dyDescent="0.3">
      <c r="A91" s="2">
        <f>+'CMG-PDO'!A91</f>
        <v>46050</v>
      </c>
      <c r="B91" s="8">
        <f>+'CMG-PDO'!B91</f>
        <v>0.87500000000000044</v>
      </c>
      <c r="C91" s="7">
        <v>26.785599999999999</v>
      </c>
      <c r="D91" s="7">
        <v>28.3004</v>
      </c>
      <c r="E91" s="7">
        <v>29.1784</v>
      </c>
      <c r="F91" s="7">
        <v>25.277200000000001</v>
      </c>
    </row>
    <row r="92" spans="1:6" x14ac:dyDescent="0.3">
      <c r="A92" s="2">
        <f>+'CMG-PDO'!A92</f>
        <v>46050</v>
      </c>
      <c r="B92" s="8">
        <f>+'CMG-PDO'!B92</f>
        <v>0.89583333333333381</v>
      </c>
      <c r="C92" s="7">
        <v>26.783999999999999</v>
      </c>
      <c r="D92" s="7">
        <v>28.340399999999999</v>
      </c>
      <c r="E92" s="7">
        <v>29.155000000000001</v>
      </c>
      <c r="F92" s="7">
        <v>25.274699999999999</v>
      </c>
    </row>
    <row r="93" spans="1:6" x14ac:dyDescent="0.3">
      <c r="A93" s="2">
        <f>+'CMG-PDO'!A93</f>
        <v>46050</v>
      </c>
      <c r="B93" s="8">
        <f>+'CMG-PDO'!B93</f>
        <v>0.91666666666666718</v>
      </c>
      <c r="C93" s="7">
        <v>25.447800000000001</v>
      </c>
      <c r="D93" s="7">
        <v>26.808599999999998</v>
      </c>
      <c r="E93" s="7">
        <v>27.6221</v>
      </c>
      <c r="F93" s="7">
        <v>24.042000000000002</v>
      </c>
    </row>
    <row r="94" spans="1:6" x14ac:dyDescent="0.3">
      <c r="A94" s="2">
        <f>+'CMG-PDO'!A94</f>
        <v>46050</v>
      </c>
      <c r="B94" s="8">
        <f>+'CMG-PDO'!B94</f>
        <v>0.93750000000000056</v>
      </c>
      <c r="C94" s="7">
        <v>26.747199999999999</v>
      </c>
      <c r="D94" s="7">
        <v>28.054500000000001</v>
      </c>
      <c r="E94" s="7">
        <v>29.0166</v>
      </c>
      <c r="F94" s="7">
        <v>25.279399999999999</v>
      </c>
    </row>
    <row r="95" spans="1:6" x14ac:dyDescent="0.3">
      <c r="A95" s="2">
        <f>+'CMG-PDO'!A95</f>
        <v>46050</v>
      </c>
      <c r="B95" s="8">
        <f>+'CMG-PDO'!B95</f>
        <v>0.95833333333333393</v>
      </c>
      <c r="C95" s="7">
        <v>25.015599999999999</v>
      </c>
      <c r="D95" s="7">
        <v>26.133199999999999</v>
      </c>
      <c r="E95" s="7">
        <v>27.097899999999999</v>
      </c>
      <c r="F95" s="7">
        <v>23.651399999999999</v>
      </c>
    </row>
    <row r="96" spans="1:6" x14ac:dyDescent="0.3">
      <c r="A96" s="2">
        <f>+'CMG-PDO'!A96</f>
        <v>46050</v>
      </c>
      <c r="B96" s="8">
        <f>+'CMG-PDO'!B96</f>
        <v>0.9791666666666673</v>
      </c>
      <c r="C96" s="7">
        <v>26.746300000000002</v>
      </c>
      <c r="D96" s="7">
        <v>27.909099999999999</v>
      </c>
      <c r="E96" s="7">
        <v>28.979900000000001</v>
      </c>
      <c r="F96" s="7">
        <v>25.287500000000001</v>
      </c>
    </row>
    <row r="97" spans="1:6" x14ac:dyDescent="0.3">
      <c r="A97" s="2">
        <f>+'CMG-PDO'!A97</f>
        <v>46050</v>
      </c>
      <c r="B97" s="8">
        <f>+'CMG-PDO'!B97</f>
        <v>1.0000000000000007</v>
      </c>
      <c r="C97" s="7">
        <v>24.924700000000001</v>
      </c>
      <c r="D97" s="7">
        <v>25.9251</v>
      </c>
      <c r="E97" s="7">
        <v>26.983599999999999</v>
      </c>
      <c r="F97" s="7">
        <v>23.564599999999999</v>
      </c>
    </row>
    <row r="98" spans="1:6" x14ac:dyDescent="0.3">
      <c r="A98" s="2">
        <f>+'CMG-PDO'!A98</f>
        <v>46051</v>
      </c>
      <c r="B98" s="8">
        <f>+'CMG-PDO'!B98</f>
        <v>1.0208333333333339</v>
      </c>
      <c r="C98" s="7">
        <v>23.750699999999998</v>
      </c>
      <c r="D98" s="7">
        <v>24.7453</v>
      </c>
      <c r="E98" s="7">
        <v>25.66</v>
      </c>
      <c r="F98" s="7">
        <v>22.4878</v>
      </c>
    </row>
    <row r="99" spans="1:6" x14ac:dyDescent="0.3">
      <c r="A99" s="2">
        <f>+'CMG-PDO'!A99</f>
        <v>46051</v>
      </c>
      <c r="B99" s="8">
        <f>+'CMG-PDO'!B99</f>
        <v>1.0416666666666672</v>
      </c>
      <c r="C99" s="7">
        <v>23.735299999999999</v>
      </c>
      <c r="D99" s="7">
        <v>24.685400000000001</v>
      </c>
      <c r="E99" s="7">
        <v>25.660799999999998</v>
      </c>
      <c r="F99" s="7">
        <v>22.474699999999999</v>
      </c>
    </row>
    <row r="100" spans="1:6" x14ac:dyDescent="0.3">
      <c r="A100" s="2">
        <f>+'CMG-PDO'!A100</f>
        <v>46051</v>
      </c>
      <c r="B100" s="8">
        <f>+'CMG-PDO'!B100</f>
        <v>1.0625000000000004</v>
      </c>
      <c r="C100" s="7">
        <v>23.7393</v>
      </c>
      <c r="D100" s="7">
        <v>24.645499999999998</v>
      </c>
      <c r="E100" s="7">
        <v>25.642399999999999</v>
      </c>
      <c r="F100" s="7">
        <v>22.4742</v>
      </c>
    </row>
    <row r="101" spans="1:6" x14ac:dyDescent="0.3">
      <c r="A101" s="2">
        <f>+'CMG-PDO'!A101</f>
        <v>46051</v>
      </c>
      <c r="B101" s="8">
        <f>+'CMG-PDO'!B101</f>
        <v>1.0833333333333337</v>
      </c>
      <c r="C101" s="7">
        <v>21.549700000000001</v>
      </c>
      <c r="D101" s="7">
        <v>22.363499999999998</v>
      </c>
      <c r="E101" s="7">
        <v>23.265000000000001</v>
      </c>
      <c r="F101" s="7">
        <v>20.404800000000002</v>
      </c>
    </row>
    <row r="102" spans="1:6" x14ac:dyDescent="0.3">
      <c r="A102" s="2">
        <f>+'CMG-PDO'!A102</f>
        <v>46051</v>
      </c>
      <c r="B102" s="8">
        <f>+'CMG-PDO'!B102</f>
        <v>1.104166666666667</v>
      </c>
      <c r="C102" s="7">
        <v>21.469799999999999</v>
      </c>
      <c r="D102" s="7">
        <v>22.280200000000001</v>
      </c>
      <c r="E102" s="7">
        <v>23.1767</v>
      </c>
      <c r="F102" s="7">
        <v>20.335100000000001</v>
      </c>
    </row>
    <row r="103" spans="1:6" x14ac:dyDescent="0.3">
      <c r="A103" s="2">
        <f>+'CMG-PDO'!A103</f>
        <v>46051</v>
      </c>
      <c r="B103" s="8">
        <f>+'CMG-PDO'!B103</f>
        <v>1.1250000000000002</v>
      </c>
      <c r="C103" s="7">
        <v>21.434200000000001</v>
      </c>
      <c r="D103" s="7">
        <v>22.2315</v>
      </c>
      <c r="E103" s="7">
        <v>23.156500000000001</v>
      </c>
      <c r="F103" s="7">
        <v>20.303100000000001</v>
      </c>
    </row>
    <row r="104" spans="1:6" x14ac:dyDescent="0.3">
      <c r="A104" s="2">
        <f>+'CMG-PDO'!A104</f>
        <v>46051</v>
      </c>
      <c r="B104" s="8">
        <f>+'CMG-PDO'!B104</f>
        <v>1.1458333333333335</v>
      </c>
      <c r="C104" s="7">
        <v>21.4101</v>
      </c>
      <c r="D104" s="7">
        <v>22.201000000000001</v>
      </c>
      <c r="E104" s="7">
        <v>23.118600000000001</v>
      </c>
      <c r="F104" s="7">
        <v>20.285399999999999</v>
      </c>
    </row>
    <row r="105" spans="1:6" x14ac:dyDescent="0.3">
      <c r="A105" s="2">
        <f>+'CMG-PDO'!A105</f>
        <v>46051</v>
      </c>
      <c r="B105" s="8">
        <f>+'CMG-PDO'!B105</f>
        <v>1.1666666666666667</v>
      </c>
      <c r="C105" s="7">
        <v>21.4786</v>
      </c>
      <c r="D105" s="7">
        <v>22.2898</v>
      </c>
      <c r="E105" s="7">
        <v>23.240300000000001</v>
      </c>
      <c r="F105" s="7">
        <v>20.3584</v>
      </c>
    </row>
    <row r="106" spans="1:6" x14ac:dyDescent="0.3">
      <c r="A106" s="2">
        <f>+'CMG-PDO'!A106</f>
        <v>46051</v>
      </c>
      <c r="B106" s="8">
        <f>+'CMG-PDO'!B106</f>
        <v>1.1875</v>
      </c>
      <c r="C106" s="7">
        <v>21.5441</v>
      </c>
      <c r="D106" s="7">
        <v>22.354800000000001</v>
      </c>
      <c r="E106" s="7">
        <v>23.331800000000001</v>
      </c>
      <c r="F106" s="7">
        <v>20.421500000000002</v>
      </c>
    </row>
    <row r="107" spans="1:6" x14ac:dyDescent="0.3">
      <c r="A107" s="2">
        <f>+'CMG-PDO'!A107</f>
        <v>46051</v>
      </c>
      <c r="B107" s="8">
        <f>+'CMG-PDO'!B107</f>
        <v>1.2083333333333333</v>
      </c>
      <c r="C107" s="7">
        <v>21.644400000000001</v>
      </c>
      <c r="D107" s="7">
        <v>22.449200000000001</v>
      </c>
      <c r="E107" s="7">
        <v>23.4605</v>
      </c>
      <c r="F107" s="7">
        <v>20.512499999999999</v>
      </c>
    </row>
    <row r="108" spans="1:6" x14ac:dyDescent="0.3">
      <c r="A108" s="2">
        <f>+'CMG-PDO'!A108</f>
        <v>46051</v>
      </c>
      <c r="B108" s="8">
        <f>+'CMG-PDO'!B108</f>
        <v>1.2291666666666665</v>
      </c>
      <c r="C108" s="7">
        <v>23.730799999999999</v>
      </c>
      <c r="D108" s="7">
        <v>24.6313</v>
      </c>
      <c r="E108" s="7">
        <v>25.696999999999999</v>
      </c>
      <c r="F108" s="7">
        <v>22.476900000000001</v>
      </c>
    </row>
    <row r="109" spans="1:6" x14ac:dyDescent="0.3">
      <c r="A109" s="2">
        <f>+'CMG-PDO'!A109</f>
        <v>46051</v>
      </c>
      <c r="B109" s="8">
        <f>+'CMG-PDO'!B109</f>
        <v>1.2499999999999998</v>
      </c>
      <c r="C109" s="7">
        <v>21.5609</v>
      </c>
      <c r="D109" s="7">
        <v>22.422599999999999</v>
      </c>
      <c r="E109" s="7">
        <v>23.180599999999998</v>
      </c>
      <c r="F109" s="7">
        <v>20.404</v>
      </c>
    </row>
    <row r="110" spans="1:6" x14ac:dyDescent="0.3">
      <c r="A110" s="2">
        <f>+'CMG-PDO'!A110</f>
        <v>46051</v>
      </c>
      <c r="B110" s="8">
        <f>+'CMG-PDO'!B110</f>
        <v>1.270833333333333</v>
      </c>
      <c r="C110" s="7">
        <v>21.4405</v>
      </c>
      <c r="D110" s="7">
        <v>22.330200000000001</v>
      </c>
      <c r="E110" s="7">
        <v>22.6922</v>
      </c>
      <c r="F110" s="7">
        <v>20.254999999999999</v>
      </c>
    </row>
    <row r="111" spans="1:6" x14ac:dyDescent="0.3">
      <c r="A111" s="2">
        <f>+'CMG-PDO'!A111</f>
        <v>46051</v>
      </c>
      <c r="B111" s="8">
        <f>+'CMG-PDO'!B111</f>
        <v>1.2916666666666663</v>
      </c>
      <c r="C111" s="7">
        <v>21.457699999999999</v>
      </c>
      <c r="D111" s="7">
        <v>22.362200000000001</v>
      </c>
      <c r="E111" s="7">
        <v>22.265499999999999</v>
      </c>
      <c r="F111" s="7">
        <v>20.2225</v>
      </c>
    </row>
    <row r="112" spans="1:6" x14ac:dyDescent="0.3">
      <c r="A112" s="2">
        <f>+'CMG-PDO'!A112</f>
        <v>46051</v>
      </c>
      <c r="B112" s="8">
        <f>+'CMG-PDO'!B112</f>
        <v>1.3124999999999996</v>
      </c>
      <c r="C112" s="7">
        <v>21.509599999999999</v>
      </c>
      <c r="D112" s="7">
        <v>22.4801</v>
      </c>
      <c r="E112" s="7">
        <v>22.008099999999999</v>
      </c>
      <c r="F112" s="7">
        <v>20.273700000000002</v>
      </c>
    </row>
    <row r="113" spans="1:6" x14ac:dyDescent="0.3">
      <c r="A113" s="2">
        <f>+'CMG-PDO'!A113</f>
        <v>46051</v>
      </c>
      <c r="B113" s="8">
        <f>+'CMG-PDO'!B113</f>
        <v>1.3333333333333328</v>
      </c>
      <c r="C113" s="7">
        <v>21.639600000000002</v>
      </c>
      <c r="D113" s="7">
        <v>22.5976</v>
      </c>
      <c r="E113" s="7">
        <v>21.984400000000001</v>
      </c>
      <c r="F113" s="7">
        <v>20.377199999999998</v>
      </c>
    </row>
    <row r="114" spans="1:6" x14ac:dyDescent="0.3">
      <c r="A114" s="2">
        <f>+'CMG-PDO'!A114</f>
        <v>46051</v>
      </c>
      <c r="B114" s="8">
        <f>+'CMG-PDO'!B114</f>
        <v>1.3541666666666661</v>
      </c>
      <c r="C114" s="7">
        <v>23.927099999999999</v>
      </c>
      <c r="D114" s="7">
        <v>25.081600000000002</v>
      </c>
      <c r="E114" s="7">
        <v>24.1998</v>
      </c>
      <c r="F114" s="7">
        <v>22.516300000000001</v>
      </c>
    </row>
    <row r="115" spans="1:6" x14ac:dyDescent="0.3">
      <c r="A115" s="2">
        <f>+'CMG-PDO'!A115</f>
        <v>46051</v>
      </c>
      <c r="B115" s="8">
        <f>+'CMG-PDO'!B115</f>
        <v>1.3749999999999993</v>
      </c>
      <c r="C115" s="7">
        <v>24.3779</v>
      </c>
      <c r="D115" s="7">
        <v>25.599399999999999</v>
      </c>
      <c r="E115" s="7">
        <v>24.608000000000001</v>
      </c>
      <c r="F115" s="7">
        <v>22.916399999999999</v>
      </c>
    </row>
    <row r="116" spans="1:6" x14ac:dyDescent="0.3">
      <c r="A116" s="2">
        <f>+'CMG-PDO'!A116</f>
        <v>46051</v>
      </c>
      <c r="B116" s="8">
        <f>+'CMG-PDO'!B116</f>
        <v>1.3958333333333326</v>
      </c>
      <c r="C116" s="7">
        <v>25.113700000000001</v>
      </c>
      <c r="D116" s="7">
        <v>26.428699999999999</v>
      </c>
      <c r="E116" s="7">
        <v>25.308</v>
      </c>
      <c r="F116" s="7">
        <v>23.601299999999998</v>
      </c>
    </row>
    <row r="117" spans="1:6" x14ac:dyDescent="0.3">
      <c r="A117" s="2">
        <f>+'CMG-PDO'!A117</f>
        <v>46051</v>
      </c>
      <c r="B117" s="8">
        <f>+'CMG-PDO'!B117</f>
        <v>1.4166666666666659</v>
      </c>
      <c r="C117" s="7">
        <v>25.1541</v>
      </c>
      <c r="D117" s="7">
        <v>26.514500000000002</v>
      </c>
      <c r="E117" s="7">
        <v>25.325800000000001</v>
      </c>
      <c r="F117" s="7">
        <v>23.6328</v>
      </c>
    </row>
    <row r="118" spans="1:6" x14ac:dyDescent="0.3">
      <c r="A118" s="2">
        <f>+'CMG-PDO'!A118</f>
        <v>46051</v>
      </c>
      <c r="B118" s="8">
        <f>+'CMG-PDO'!B118</f>
        <v>1.4374999999999991</v>
      </c>
      <c r="C118" s="7">
        <v>25.229099999999999</v>
      </c>
      <c r="D118" s="7">
        <v>26.705500000000001</v>
      </c>
      <c r="E118" s="7">
        <v>25.4511</v>
      </c>
      <c r="F118" s="7">
        <v>23.717600000000001</v>
      </c>
    </row>
    <row r="119" spans="1:6" x14ac:dyDescent="0.3">
      <c r="A119" s="2">
        <f>+'CMG-PDO'!A119</f>
        <v>46051</v>
      </c>
      <c r="B119" s="8">
        <f>+'CMG-PDO'!B119</f>
        <v>1.4583333333333324</v>
      </c>
      <c r="C119" s="7">
        <v>25.250499999999999</v>
      </c>
      <c r="D119" s="7">
        <v>26.74</v>
      </c>
      <c r="E119" s="7">
        <v>25.528400000000001</v>
      </c>
      <c r="F119" s="7">
        <v>23.744700000000002</v>
      </c>
    </row>
    <row r="120" spans="1:6" x14ac:dyDescent="0.3">
      <c r="A120" s="2">
        <f>+'CMG-PDO'!A120</f>
        <v>46051</v>
      </c>
      <c r="B120" s="8">
        <f>+'CMG-PDO'!B120</f>
        <v>1.4791666666666656</v>
      </c>
      <c r="C120" s="7">
        <v>25.280100000000001</v>
      </c>
      <c r="D120" s="7">
        <v>26.824300000000001</v>
      </c>
      <c r="E120" s="7">
        <v>25.5868</v>
      </c>
      <c r="F120" s="7">
        <v>23.757999999999999</v>
      </c>
    </row>
    <row r="121" spans="1:6" x14ac:dyDescent="0.3">
      <c r="A121" s="2">
        <f>+'CMG-PDO'!A121</f>
        <v>46051</v>
      </c>
      <c r="B121" s="8">
        <f>+'CMG-PDO'!B121</f>
        <v>1.4999999999999989</v>
      </c>
      <c r="C121" s="7">
        <v>25.261299999999999</v>
      </c>
      <c r="D121" s="7">
        <v>26.771100000000001</v>
      </c>
      <c r="E121" s="7">
        <v>25.567499999999999</v>
      </c>
      <c r="F121" s="7">
        <v>23.7333</v>
      </c>
    </row>
    <row r="122" spans="1:6" x14ac:dyDescent="0.3">
      <c r="A122" s="2">
        <f>+'CMG-PDO'!A122</f>
        <v>46051</v>
      </c>
      <c r="B122" s="8">
        <f>+'CMG-PDO'!B122</f>
        <v>1.5208333333333321</v>
      </c>
      <c r="C122" s="7">
        <v>25.2499</v>
      </c>
      <c r="D122" s="7">
        <v>26.732099999999999</v>
      </c>
      <c r="E122" s="7">
        <v>25.550899999999999</v>
      </c>
      <c r="F122" s="7">
        <v>23.706399999999999</v>
      </c>
    </row>
    <row r="123" spans="1:6" x14ac:dyDescent="0.3">
      <c r="A123" s="2">
        <f>+'CMG-PDO'!A123</f>
        <v>46051</v>
      </c>
      <c r="B123" s="8">
        <f>+'CMG-PDO'!B123</f>
        <v>1.5416666666666654</v>
      </c>
      <c r="C123" s="7">
        <v>25.2136</v>
      </c>
      <c r="D123" s="7">
        <v>26.561699999999998</v>
      </c>
      <c r="E123" s="7">
        <v>25.432300000000001</v>
      </c>
      <c r="F123" s="7">
        <v>23.641400000000001</v>
      </c>
    </row>
    <row r="124" spans="1:6" x14ac:dyDescent="0.3">
      <c r="A124" s="2">
        <f>+'CMG-PDO'!A124</f>
        <v>46051</v>
      </c>
      <c r="B124" s="8">
        <f>+'CMG-PDO'!B124</f>
        <v>1.5624999999999987</v>
      </c>
      <c r="C124" s="7">
        <v>25.2026</v>
      </c>
      <c r="D124" s="7">
        <v>26.5244</v>
      </c>
      <c r="E124" s="7">
        <v>25.482099999999999</v>
      </c>
      <c r="F124" s="7">
        <v>23.639900000000001</v>
      </c>
    </row>
    <row r="125" spans="1:6" x14ac:dyDescent="0.3">
      <c r="A125" s="2">
        <f>+'CMG-PDO'!A125</f>
        <v>46051</v>
      </c>
      <c r="B125" s="8">
        <f>+'CMG-PDO'!B125</f>
        <v>1.5833333333333319</v>
      </c>
      <c r="C125" s="7">
        <v>25.218299999999999</v>
      </c>
      <c r="D125" s="7">
        <v>26.527200000000001</v>
      </c>
      <c r="E125" s="7">
        <v>25.643599999999999</v>
      </c>
      <c r="F125" s="7">
        <v>23.674199999999999</v>
      </c>
    </row>
    <row r="126" spans="1:6" x14ac:dyDescent="0.3">
      <c r="A126" s="2">
        <f>+'CMG-PDO'!A126</f>
        <v>46051</v>
      </c>
      <c r="B126" s="8">
        <f>+'CMG-PDO'!B126</f>
        <v>1.6041666666666652</v>
      </c>
      <c r="C126" s="7">
        <v>25.26</v>
      </c>
      <c r="D126" s="7">
        <v>26.6496</v>
      </c>
      <c r="E126" s="7">
        <v>25.861799999999999</v>
      </c>
      <c r="F126" s="7">
        <v>23.740200000000002</v>
      </c>
    </row>
    <row r="127" spans="1:6" x14ac:dyDescent="0.3">
      <c r="A127" s="2">
        <f>+'CMG-PDO'!A127</f>
        <v>46051</v>
      </c>
      <c r="B127" s="8">
        <f>+'CMG-PDO'!B127</f>
        <v>1.6249999999999984</v>
      </c>
      <c r="C127" s="7">
        <v>26.8855</v>
      </c>
      <c r="D127" s="7">
        <v>28.357800000000001</v>
      </c>
      <c r="E127" s="7">
        <v>27.678599999999999</v>
      </c>
      <c r="F127" s="7">
        <v>25.275099999999998</v>
      </c>
    </row>
    <row r="128" spans="1:6" x14ac:dyDescent="0.3">
      <c r="A128" s="2">
        <f>+'CMG-PDO'!A128</f>
        <v>46051</v>
      </c>
      <c r="B128" s="8">
        <f>+'CMG-PDO'!B128</f>
        <v>1.6458333333333317</v>
      </c>
      <c r="C128" s="7">
        <v>26.982500000000002</v>
      </c>
      <c r="D128" s="7">
        <v>28.494299999999999</v>
      </c>
      <c r="E128" s="7">
        <v>27.9634</v>
      </c>
      <c r="F128" s="7">
        <v>25.395600000000002</v>
      </c>
    </row>
    <row r="129" spans="1:6" x14ac:dyDescent="0.3">
      <c r="A129" s="2">
        <f>+'CMG-PDO'!A129</f>
        <v>46051</v>
      </c>
      <c r="B129" s="8">
        <f>+'CMG-PDO'!B129</f>
        <v>1.666666666666665</v>
      </c>
      <c r="C129" s="7">
        <v>26.9983</v>
      </c>
      <c r="D129" s="7">
        <v>28.470300000000002</v>
      </c>
      <c r="E129" s="7">
        <v>28.228100000000001</v>
      </c>
      <c r="F129" s="7">
        <v>25.4236</v>
      </c>
    </row>
    <row r="130" spans="1:6" x14ac:dyDescent="0.3">
      <c r="A130" s="2">
        <f>+'CMG-PDO'!A130</f>
        <v>46051</v>
      </c>
      <c r="B130" s="8">
        <f>+'CMG-PDO'!B130</f>
        <v>1.6874999999999982</v>
      </c>
      <c r="C130" s="7">
        <v>27.081700000000001</v>
      </c>
      <c r="D130" s="7">
        <v>28.573599999999999</v>
      </c>
      <c r="E130" s="7">
        <v>28.590499999999999</v>
      </c>
      <c r="F130" s="7">
        <v>25.525400000000001</v>
      </c>
    </row>
    <row r="131" spans="1:6" x14ac:dyDescent="0.3">
      <c r="A131" s="2">
        <f>+'CMG-PDO'!A131</f>
        <v>46051</v>
      </c>
      <c r="B131" s="8">
        <f>+'CMG-PDO'!B131</f>
        <v>1.7083333333333315</v>
      </c>
      <c r="C131" s="7">
        <v>27.048200000000001</v>
      </c>
      <c r="D131" s="7">
        <v>28.513400000000001</v>
      </c>
      <c r="E131" s="7">
        <v>28.855</v>
      </c>
      <c r="F131" s="7">
        <v>25.488099999999999</v>
      </c>
    </row>
    <row r="132" spans="1:6" x14ac:dyDescent="0.3">
      <c r="A132" s="2">
        <f>+'CMG-PDO'!A132</f>
        <v>46051</v>
      </c>
      <c r="B132" s="8">
        <f>+'CMG-PDO'!B132</f>
        <v>1.7291666666666647</v>
      </c>
      <c r="C132" s="7">
        <v>27.012699999999999</v>
      </c>
      <c r="D132" s="7">
        <v>28.438700000000001</v>
      </c>
      <c r="E132" s="7">
        <v>29.055599999999998</v>
      </c>
      <c r="F132" s="7">
        <v>25.462599999999998</v>
      </c>
    </row>
    <row r="133" spans="1:6" x14ac:dyDescent="0.3">
      <c r="A133" s="2">
        <f>+'CMG-PDO'!A133</f>
        <v>46051</v>
      </c>
      <c r="B133" s="8">
        <f>+'CMG-PDO'!B133</f>
        <v>1.749999999999998</v>
      </c>
      <c r="C133" s="7">
        <v>25.319900000000001</v>
      </c>
      <c r="D133" s="7">
        <v>26.497199999999999</v>
      </c>
      <c r="E133" s="7">
        <v>27.332999999999998</v>
      </c>
      <c r="F133" s="7">
        <v>23.816299999999998</v>
      </c>
    </row>
    <row r="134" spans="1:6" x14ac:dyDescent="0.3">
      <c r="A134" s="2">
        <f>+'CMG-PDO'!A134</f>
        <v>46051</v>
      </c>
      <c r="B134" s="8">
        <f>+'CMG-PDO'!B134</f>
        <v>1.7708333333333313</v>
      </c>
      <c r="C134" s="7">
        <v>25.281300000000002</v>
      </c>
      <c r="D134" s="7">
        <v>26.567499999999999</v>
      </c>
      <c r="E134" s="7">
        <v>27.4514</v>
      </c>
      <c r="F134" s="7">
        <v>23.820799999999998</v>
      </c>
    </row>
    <row r="135" spans="1:6" x14ac:dyDescent="0.3">
      <c r="A135" s="2">
        <f>+'CMG-PDO'!A135</f>
        <v>46051</v>
      </c>
      <c r="B135" s="8">
        <f>+'CMG-PDO'!B135</f>
        <v>1.7916666666666645</v>
      </c>
      <c r="C135" s="7">
        <v>43.233499999999999</v>
      </c>
      <c r="D135" s="7">
        <v>45.511699999999998</v>
      </c>
      <c r="E135" s="7">
        <v>47.034500000000001</v>
      </c>
      <c r="F135" s="7">
        <v>40.744500000000002</v>
      </c>
    </row>
    <row r="136" spans="1:6" x14ac:dyDescent="0.3">
      <c r="A136" s="2">
        <f>+'CMG-PDO'!A136</f>
        <v>46051</v>
      </c>
      <c r="B136" s="8">
        <f>+'CMG-PDO'!B136</f>
        <v>1.8124999999999978</v>
      </c>
      <c r="C136" s="7">
        <v>28.591799999999999</v>
      </c>
      <c r="D136" s="7">
        <v>30.170999999999999</v>
      </c>
      <c r="E136" s="7">
        <v>31.133500000000002</v>
      </c>
      <c r="F136" s="7">
        <v>26.974599999999999</v>
      </c>
    </row>
    <row r="137" spans="1:6" x14ac:dyDescent="0.3">
      <c r="A137" s="2">
        <f>+'CMG-PDO'!A137</f>
        <v>46051</v>
      </c>
      <c r="B137" s="8">
        <f>+'CMG-PDO'!B137</f>
        <v>1.833333333333331</v>
      </c>
      <c r="C137" s="7">
        <v>28.639199999999999</v>
      </c>
      <c r="D137" s="7">
        <v>30.222300000000001</v>
      </c>
      <c r="E137" s="7">
        <v>31.250499999999999</v>
      </c>
      <c r="F137" s="7">
        <v>27.038900000000002</v>
      </c>
    </row>
    <row r="138" spans="1:6" x14ac:dyDescent="0.3">
      <c r="A138" s="2">
        <f>+'CMG-PDO'!A138</f>
        <v>46051</v>
      </c>
      <c r="B138" s="8">
        <f>+'CMG-PDO'!B138</f>
        <v>1.8541666666666643</v>
      </c>
      <c r="C138" s="7">
        <v>28.6431</v>
      </c>
      <c r="D138" s="7">
        <v>30.200099999999999</v>
      </c>
      <c r="E138" s="7">
        <v>31.316400000000002</v>
      </c>
      <c r="F138" s="7">
        <v>27.048400000000001</v>
      </c>
    </row>
    <row r="139" spans="1:6" x14ac:dyDescent="0.3">
      <c r="A139" s="2">
        <f>+'CMG-PDO'!A139</f>
        <v>46051</v>
      </c>
      <c r="B139" s="8">
        <f>+'CMG-PDO'!B139</f>
        <v>1.8749999999999976</v>
      </c>
      <c r="C139" s="7">
        <v>28.634599999999999</v>
      </c>
      <c r="D139" s="7">
        <v>30.200500000000002</v>
      </c>
      <c r="E139" s="7">
        <v>31.321999999999999</v>
      </c>
      <c r="F139" s="7">
        <v>27.044799999999999</v>
      </c>
    </row>
    <row r="140" spans="1:6" x14ac:dyDescent="0.3">
      <c r="A140" s="2">
        <f>+'CMG-PDO'!A140</f>
        <v>46051</v>
      </c>
      <c r="B140" s="8">
        <f>+'CMG-PDO'!B140</f>
        <v>1.8958333333333308</v>
      </c>
      <c r="C140" s="7">
        <v>28.602499999999999</v>
      </c>
      <c r="D140" s="7">
        <v>30.2029</v>
      </c>
      <c r="E140" s="7">
        <v>31.241700000000002</v>
      </c>
      <c r="F140" s="7">
        <v>27.0124</v>
      </c>
    </row>
    <row r="141" spans="1:6" x14ac:dyDescent="0.3">
      <c r="A141" s="2">
        <f>+'CMG-PDO'!A141</f>
        <v>46051</v>
      </c>
      <c r="B141" s="8">
        <f>+'CMG-PDO'!B141</f>
        <v>1.9166666666666641</v>
      </c>
      <c r="C141" s="7">
        <v>28.617899999999999</v>
      </c>
      <c r="D141" s="7">
        <v>30.127800000000001</v>
      </c>
      <c r="E141" s="7">
        <v>31.248999999999999</v>
      </c>
      <c r="F141" s="7">
        <v>27.061199999999999</v>
      </c>
    </row>
    <row r="142" spans="1:6" x14ac:dyDescent="0.3">
      <c r="A142" s="2">
        <f>+'CMG-PDO'!A142</f>
        <v>46051</v>
      </c>
      <c r="B142" s="8">
        <f>+'CMG-PDO'!B142</f>
        <v>1.9374999999999973</v>
      </c>
      <c r="C142" s="7">
        <v>26.943300000000001</v>
      </c>
      <c r="D142" s="7">
        <v>28.271999999999998</v>
      </c>
      <c r="E142" s="7">
        <v>29.4054</v>
      </c>
      <c r="F142" s="7">
        <v>25.5078</v>
      </c>
    </row>
    <row r="143" spans="1:6" x14ac:dyDescent="0.3">
      <c r="A143" s="2">
        <f>+'CMG-PDO'!A143</f>
        <v>46051</v>
      </c>
      <c r="B143" s="8">
        <f>+'CMG-PDO'!B143</f>
        <v>1.9583333333333306</v>
      </c>
      <c r="C143" s="7">
        <v>26.646799999999999</v>
      </c>
      <c r="D143" s="7">
        <v>27.833600000000001</v>
      </c>
      <c r="E143" s="7">
        <v>29.015000000000001</v>
      </c>
      <c r="F143" s="7">
        <v>25.198399999999999</v>
      </c>
    </row>
    <row r="144" spans="1:6" x14ac:dyDescent="0.3">
      <c r="A144" s="2">
        <f>+'CMG-PDO'!A144</f>
        <v>46051</v>
      </c>
      <c r="B144" s="8">
        <f>+'CMG-PDO'!B144</f>
        <v>1.9791666666666639</v>
      </c>
      <c r="C144" s="7">
        <v>25.0275</v>
      </c>
      <c r="D144" s="7">
        <v>26.026299999999999</v>
      </c>
      <c r="E144" s="7">
        <v>27.1234</v>
      </c>
      <c r="F144" s="7">
        <v>23.636800000000001</v>
      </c>
    </row>
    <row r="145" spans="1:6" x14ac:dyDescent="0.3">
      <c r="A145" s="2">
        <f>+'CMG-PDO'!A145</f>
        <v>46051</v>
      </c>
      <c r="B145" s="8">
        <f>+'CMG-PDO'!B145</f>
        <v>1.9999999999999971</v>
      </c>
      <c r="C145" s="7">
        <v>27.517800000000001</v>
      </c>
      <c r="D145" s="7">
        <v>28.6709</v>
      </c>
      <c r="E145" s="7">
        <v>29.957000000000001</v>
      </c>
      <c r="F145" s="7">
        <v>26.052</v>
      </c>
    </row>
    <row r="146" spans="1:6" x14ac:dyDescent="0.3">
      <c r="A146" s="2">
        <f>+'CMG-PDO'!A146</f>
        <v>46052</v>
      </c>
      <c r="B146" s="8">
        <f>+'CMG-PDO'!B146</f>
        <v>2.0208333333333304</v>
      </c>
      <c r="C146" s="7">
        <v>24.968599999999999</v>
      </c>
      <c r="D146" s="7">
        <v>25.959299999999999</v>
      </c>
      <c r="E146" s="7">
        <v>26.3307</v>
      </c>
      <c r="F146" s="7">
        <v>23.911200000000001</v>
      </c>
    </row>
    <row r="147" spans="1:6" x14ac:dyDescent="0.3">
      <c r="A147" s="2">
        <f>+'CMG-PDO'!A147</f>
        <v>46052</v>
      </c>
      <c r="B147" s="8">
        <f>+'CMG-PDO'!B147</f>
        <v>2.0416666666666639</v>
      </c>
      <c r="C147" s="7">
        <v>24.4146</v>
      </c>
      <c r="D147" s="7">
        <v>25.368300000000001</v>
      </c>
      <c r="E147" s="7">
        <v>25.7561</v>
      </c>
      <c r="F147" s="7">
        <v>23.394600000000001</v>
      </c>
    </row>
    <row r="148" spans="1:6" x14ac:dyDescent="0.3">
      <c r="A148" s="2">
        <f>+'CMG-PDO'!A148</f>
        <v>46052</v>
      </c>
      <c r="B148" s="8">
        <f>+'CMG-PDO'!B148</f>
        <v>2.0624999999999973</v>
      </c>
      <c r="C148" s="7">
        <v>30.740500000000001</v>
      </c>
      <c r="D148" s="7">
        <v>31.959299999999999</v>
      </c>
      <c r="E148" s="7">
        <v>32.515999999999998</v>
      </c>
      <c r="F148" s="7">
        <v>29.491299999999999</v>
      </c>
    </row>
    <row r="149" spans="1:6" x14ac:dyDescent="0.3">
      <c r="A149" s="2">
        <f>+'CMG-PDO'!A149</f>
        <v>46052</v>
      </c>
      <c r="B149" s="8">
        <f>+'CMG-PDO'!B149</f>
        <v>2.0833333333333308</v>
      </c>
      <c r="C149" s="7">
        <v>25.017099999999999</v>
      </c>
      <c r="D149" s="7">
        <v>25.950199999999999</v>
      </c>
      <c r="E149" s="7">
        <v>26.423400000000001</v>
      </c>
      <c r="F149" s="7">
        <v>23.994700000000002</v>
      </c>
    </row>
    <row r="150" spans="1:6" x14ac:dyDescent="0.3">
      <c r="A150" s="2">
        <f>+'CMG-PDO'!A150</f>
        <v>46052</v>
      </c>
      <c r="B150" s="8">
        <f>+'CMG-PDO'!B150</f>
        <v>2.1041666666666643</v>
      </c>
      <c r="C150" s="7">
        <v>25.025099999999998</v>
      </c>
      <c r="D150" s="7">
        <v>25.956800000000001</v>
      </c>
      <c r="E150" s="7">
        <v>26.459299999999999</v>
      </c>
      <c r="F150" s="7">
        <v>24.029199999999999</v>
      </c>
    </row>
    <row r="151" spans="1:6" x14ac:dyDescent="0.3">
      <c r="A151" s="2">
        <f>+'CMG-PDO'!A151</f>
        <v>46052</v>
      </c>
      <c r="B151" s="8">
        <f>+'CMG-PDO'!B151</f>
        <v>2.1249999999999978</v>
      </c>
      <c r="C151" s="7">
        <v>25.0137</v>
      </c>
      <c r="D151" s="7">
        <v>25.930399999999999</v>
      </c>
      <c r="E151" s="7">
        <v>26.467700000000001</v>
      </c>
      <c r="F151" s="7">
        <v>24.018699999999999</v>
      </c>
    </row>
    <row r="152" spans="1:6" x14ac:dyDescent="0.3">
      <c r="A152" s="2">
        <f>+'CMG-PDO'!A152</f>
        <v>46052</v>
      </c>
      <c r="B152" s="8">
        <f>+'CMG-PDO'!B152</f>
        <v>2.1458333333333313</v>
      </c>
      <c r="C152" s="7">
        <v>25.003499999999999</v>
      </c>
      <c r="D152" s="7">
        <v>25.9068</v>
      </c>
      <c r="E152" s="7">
        <v>26.448</v>
      </c>
      <c r="F152" s="7">
        <v>24.010999999999999</v>
      </c>
    </row>
    <row r="153" spans="1:6" x14ac:dyDescent="0.3">
      <c r="A153" s="2">
        <f>+'CMG-PDO'!A153</f>
        <v>46052</v>
      </c>
      <c r="B153" s="8">
        <f>+'CMG-PDO'!B153</f>
        <v>2.1666666666666647</v>
      </c>
      <c r="C153" s="7">
        <v>25.006900000000002</v>
      </c>
      <c r="D153" s="7">
        <v>25.9224</v>
      </c>
      <c r="E153" s="7">
        <v>26.469899999999999</v>
      </c>
      <c r="F153" s="7">
        <v>24.021899999999999</v>
      </c>
    </row>
    <row r="154" spans="1:6" x14ac:dyDescent="0.3">
      <c r="A154" s="2">
        <f>+'CMG-PDO'!A154</f>
        <v>46052</v>
      </c>
      <c r="B154" s="8">
        <f>+'CMG-PDO'!B154</f>
        <v>2.1874999999999982</v>
      </c>
      <c r="C154" s="7">
        <v>25.014900000000001</v>
      </c>
      <c r="D154" s="7">
        <v>25.940999999999999</v>
      </c>
      <c r="E154" s="7">
        <v>26.501200000000001</v>
      </c>
      <c r="F154" s="7">
        <v>24.036100000000001</v>
      </c>
    </row>
    <row r="155" spans="1:6" x14ac:dyDescent="0.3">
      <c r="A155" s="2">
        <f>+'CMG-PDO'!A155</f>
        <v>46052</v>
      </c>
      <c r="B155" s="8">
        <f>+'CMG-PDO'!B155</f>
        <v>2.2083333333333317</v>
      </c>
      <c r="C155" s="7">
        <v>25.028600000000001</v>
      </c>
      <c r="D155" s="7">
        <v>25.969200000000001</v>
      </c>
      <c r="E155" s="7">
        <v>26.516400000000001</v>
      </c>
      <c r="F155" s="7">
        <v>24.048100000000002</v>
      </c>
    </row>
    <row r="156" spans="1:6" x14ac:dyDescent="0.3">
      <c r="A156" s="2">
        <f>+'CMG-PDO'!A156</f>
        <v>46052</v>
      </c>
      <c r="B156" s="8">
        <f>+'CMG-PDO'!B156</f>
        <v>2.2291666666666652</v>
      </c>
      <c r="C156" s="7">
        <v>25.0336</v>
      </c>
      <c r="D156" s="7">
        <v>26.0017</v>
      </c>
      <c r="E156" s="7">
        <v>26.493200000000002</v>
      </c>
      <c r="F156" s="7">
        <v>24.025099999999998</v>
      </c>
    </row>
    <row r="157" spans="1:6" x14ac:dyDescent="0.3">
      <c r="A157" s="2">
        <f>+'CMG-PDO'!A157</f>
        <v>46052</v>
      </c>
      <c r="B157" s="8">
        <f>+'CMG-PDO'!B157</f>
        <v>2.2499999999999987</v>
      </c>
      <c r="C157" s="7">
        <v>25.0243</v>
      </c>
      <c r="D157" s="7">
        <v>26.009399999999999</v>
      </c>
      <c r="E157" s="7">
        <v>26.264700000000001</v>
      </c>
      <c r="F157" s="7">
        <v>23.977399999999999</v>
      </c>
    </row>
    <row r="158" spans="1:6" x14ac:dyDescent="0.3">
      <c r="A158" s="2">
        <f>+'CMG-PDO'!A158</f>
        <v>46052</v>
      </c>
      <c r="B158" s="8">
        <f>+'CMG-PDO'!B158</f>
        <v>2.2708333333333321</v>
      </c>
      <c r="C158" s="7">
        <v>24.939499999999999</v>
      </c>
      <c r="D158" s="7">
        <v>25.892099999999999</v>
      </c>
      <c r="E158" s="7">
        <v>25.594200000000001</v>
      </c>
      <c r="F158" s="7">
        <v>23.756599999999999</v>
      </c>
    </row>
    <row r="159" spans="1:6" x14ac:dyDescent="0.3">
      <c r="A159" s="2">
        <f>+'CMG-PDO'!A159</f>
        <v>46052</v>
      </c>
      <c r="B159" s="8">
        <f>+'CMG-PDO'!B159</f>
        <v>2.2916666666666656</v>
      </c>
      <c r="C159" s="7">
        <v>24.391400000000001</v>
      </c>
      <c r="D159" s="7">
        <v>25.354800000000001</v>
      </c>
      <c r="E159" s="7">
        <v>24.468499999999999</v>
      </c>
      <c r="F159" s="7">
        <v>23.114699999999999</v>
      </c>
    </row>
    <row r="160" spans="1:6" x14ac:dyDescent="0.3">
      <c r="A160" s="2">
        <f>+'CMG-PDO'!A160</f>
        <v>46052</v>
      </c>
      <c r="B160" s="8">
        <f>+'CMG-PDO'!B160</f>
        <v>2.3124999999999991</v>
      </c>
      <c r="C160" s="7">
        <v>24.470400000000001</v>
      </c>
      <c r="D160" s="7">
        <v>25.5046</v>
      </c>
      <c r="E160" s="7">
        <v>24.299099999999999</v>
      </c>
      <c r="F160" s="7">
        <v>23.128699999999998</v>
      </c>
    </row>
    <row r="161" spans="1:6" x14ac:dyDescent="0.3">
      <c r="A161" s="2">
        <f>+'CMG-PDO'!A161</f>
        <v>46052</v>
      </c>
      <c r="B161" s="8">
        <f>+'CMG-PDO'!B161</f>
        <v>2.3333333333333326</v>
      </c>
      <c r="C161" s="7">
        <v>24.980699999999999</v>
      </c>
      <c r="D161" s="7">
        <v>26.0273</v>
      </c>
      <c r="E161" s="7">
        <v>24.599</v>
      </c>
      <c r="F161" s="7">
        <v>23.568899999999999</v>
      </c>
    </row>
    <row r="162" spans="1:6" x14ac:dyDescent="0.3">
      <c r="A162" s="2">
        <f>+'CMG-PDO'!A162</f>
        <v>46052</v>
      </c>
      <c r="B162" s="8">
        <f>+'CMG-PDO'!B162</f>
        <v>2.3541666666666661</v>
      </c>
      <c r="C162" s="7">
        <v>25.178899999999999</v>
      </c>
      <c r="D162" s="7">
        <v>26.3672</v>
      </c>
      <c r="E162" s="7">
        <v>24.7728</v>
      </c>
      <c r="F162" s="7">
        <v>23.758700000000001</v>
      </c>
    </row>
    <row r="163" spans="1:6" x14ac:dyDescent="0.3">
      <c r="A163" s="2">
        <f>+'CMG-PDO'!A163</f>
        <v>46052</v>
      </c>
      <c r="B163" s="8">
        <f>+'CMG-PDO'!B163</f>
        <v>2.3749999999999996</v>
      </c>
      <c r="C163" s="7">
        <v>25.302199999999999</v>
      </c>
      <c r="D163" s="7">
        <v>26.571400000000001</v>
      </c>
      <c r="E163" s="7">
        <v>24.8749</v>
      </c>
      <c r="F163" s="7">
        <v>23.859200000000001</v>
      </c>
    </row>
    <row r="164" spans="1:6" x14ac:dyDescent="0.3">
      <c r="A164" s="2">
        <f>+'CMG-PDO'!A164</f>
        <v>46052</v>
      </c>
      <c r="B164" s="8">
        <f>+'CMG-PDO'!B164</f>
        <v>2.395833333333333</v>
      </c>
      <c r="C164" s="7">
        <v>29.226299999999998</v>
      </c>
      <c r="D164" s="7">
        <v>30.786899999999999</v>
      </c>
      <c r="E164" s="7">
        <v>28.746300000000002</v>
      </c>
      <c r="F164" s="7">
        <v>27.5486</v>
      </c>
    </row>
    <row r="165" spans="1:6" x14ac:dyDescent="0.3">
      <c r="A165" s="2">
        <f>+'CMG-PDO'!A165</f>
        <v>46052</v>
      </c>
      <c r="B165" s="8">
        <f>+'CMG-PDO'!B165</f>
        <v>2.4166666666666665</v>
      </c>
      <c r="C165" s="7">
        <v>29.251300000000001</v>
      </c>
      <c r="D165" s="7">
        <v>30.882200000000001</v>
      </c>
      <c r="E165" s="7">
        <v>28.763400000000001</v>
      </c>
      <c r="F165" s="7">
        <v>27.571000000000002</v>
      </c>
    </row>
    <row r="166" spans="1:6" x14ac:dyDescent="0.3">
      <c r="A166" s="2">
        <f>+'CMG-PDO'!A166</f>
        <v>46052</v>
      </c>
      <c r="B166" s="8">
        <f>+'CMG-PDO'!B166</f>
        <v>2.4375</v>
      </c>
      <c r="C166" s="7">
        <v>29.287500000000001</v>
      </c>
      <c r="D166" s="7">
        <v>30.965</v>
      </c>
      <c r="E166" s="7">
        <v>28.7393</v>
      </c>
      <c r="F166" s="7">
        <v>27.590599999999998</v>
      </c>
    </row>
    <row r="167" spans="1:6" x14ac:dyDescent="0.3">
      <c r="A167" s="2">
        <f>+'CMG-PDO'!A167</f>
        <v>46052</v>
      </c>
      <c r="B167" s="8">
        <f>+'CMG-PDO'!B167</f>
        <v>2.4583333333333335</v>
      </c>
      <c r="C167" s="7">
        <v>29.398499999999999</v>
      </c>
      <c r="D167" s="7">
        <v>31.109500000000001</v>
      </c>
      <c r="E167" s="7">
        <v>28.858599999999999</v>
      </c>
      <c r="F167" s="7">
        <v>27.6995</v>
      </c>
    </row>
    <row r="168" spans="1:6" x14ac:dyDescent="0.3">
      <c r="A168" s="2">
        <f>+'CMG-PDO'!A168</f>
        <v>46052</v>
      </c>
      <c r="B168" s="8">
        <f>+'CMG-PDO'!B168</f>
        <v>2.479166666666667</v>
      </c>
      <c r="C168" s="7">
        <v>29.400600000000001</v>
      </c>
      <c r="D168" s="7">
        <v>31.0335</v>
      </c>
      <c r="E168" s="7">
        <v>28.863800000000001</v>
      </c>
      <c r="F168" s="7">
        <v>27.679500000000001</v>
      </c>
    </row>
    <row r="169" spans="1:6" x14ac:dyDescent="0.3">
      <c r="A169" s="2">
        <f>+'CMG-PDO'!A169</f>
        <v>46052</v>
      </c>
      <c r="B169" s="8">
        <f>+'CMG-PDO'!B169</f>
        <v>2.5000000000000004</v>
      </c>
      <c r="C169" s="7">
        <v>29.387499999999999</v>
      </c>
      <c r="D169" s="7">
        <v>31.005700000000001</v>
      </c>
      <c r="E169" s="7">
        <v>28.837</v>
      </c>
      <c r="F169" s="7">
        <v>27.6571</v>
      </c>
    </row>
    <row r="170" spans="1:6" x14ac:dyDescent="0.3">
      <c r="A170" s="2">
        <f>+'CMG-PDO'!A170</f>
        <v>46052</v>
      </c>
      <c r="B170" s="8">
        <f>+'CMG-PDO'!B170</f>
        <v>2.5208333333333339</v>
      </c>
      <c r="C170" s="7">
        <v>29.255199999999999</v>
      </c>
      <c r="D170" s="7">
        <v>30.818200000000001</v>
      </c>
      <c r="E170" s="7">
        <v>28.6538</v>
      </c>
      <c r="F170" s="7">
        <v>27.496700000000001</v>
      </c>
    </row>
    <row r="171" spans="1:6" x14ac:dyDescent="0.3">
      <c r="A171" s="2">
        <f>+'CMG-PDO'!A171</f>
        <v>46052</v>
      </c>
      <c r="B171" s="8">
        <f>+'CMG-PDO'!B171</f>
        <v>2.5416666666666674</v>
      </c>
      <c r="C171" s="7">
        <v>29.164899999999999</v>
      </c>
      <c r="D171" s="7">
        <v>30.613600000000002</v>
      </c>
      <c r="E171" s="7">
        <v>28.5245</v>
      </c>
      <c r="F171" s="7">
        <v>27.388999999999999</v>
      </c>
    </row>
    <row r="172" spans="1:6" x14ac:dyDescent="0.3">
      <c r="A172" s="2">
        <f>+'CMG-PDO'!A172</f>
        <v>46052</v>
      </c>
      <c r="B172" s="8">
        <f>+'CMG-PDO'!B172</f>
        <v>2.5625000000000009</v>
      </c>
      <c r="C172" s="7">
        <v>29.116800000000001</v>
      </c>
      <c r="D172" s="7">
        <v>30.5337</v>
      </c>
      <c r="E172" s="7">
        <v>28.4895</v>
      </c>
      <c r="F172" s="7">
        <v>27.349799999999998</v>
      </c>
    </row>
    <row r="173" spans="1:6" x14ac:dyDescent="0.3">
      <c r="A173" s="2">
        <f>+'CMG-PDO'!A173</f>
        <v>46052</v>
      </c>
      <c r="B173" s="8">
        <f>+'CMG-PDO'!B173</f>
        <v>2.5833333333333344</v>
      </c>
      <c r="C173" s="7">
        <v>29.147099999999998</v>
      </c>
      <c r="D173" s="7">
        <v>30.558700000000002</v>
      </c>
      <c r="E173" s="7">
        <v>28.6038</v>
      </c>
      <c r="F173" s="7">
        <v>27.3962</v>
      </c>
    </row>
    <row r="174" spans="1:6" x14ac:dyDescent="0.3">
      <c r="A174" s="2">
        <f>+'CMG-PDO'!A174</f>
        <v>46052</v>
      </c>
      <c r="B174" s="8">
        <f>+'CMG-PDO'!B174</f>
        <v>2.6041666666666679</v>
      </c>
      <c r="C174" s="7">
        <v>29.2697</v>
      </c>
      <c r="D174" s="7">
        <v>30.772600000000001</v>
      </c>
      <c r="E174" s="7">
        <v>28.836300000000001</v>
      </c>
      <c r="F174" s="7">
        <v>27.554099999999998</v>
      </c>
    </row>
    <row r="175" spans="1:6" x14ac:dyDescent="0.3">
      <c r="A175" s="2">
        <f>+'CMG-PDO'!A175</f>
        <v>46052</v>
      </c>
      <c r="B175" s="8">
        <f>+'CMG-PDO'!B175</f>
        <v>2.6250000000000013</v>
      </c>
      <c r="C175" s="7">
        <v>29.3001</v>
      </c>
      <c r="D175" s="7">
        <v>30.826699999999999</v>
      </c>
      <c r="E175" s="7">
        <v>28.9621</v>
      </c>
      <c r="F175" s="7">
        <v>27.606300000000001</v>
      </c>
    </row>
    <row r="176" spans="1:6" x14ac:dyDescent="0.3">
      <c r="A176" s="2">
        <f>+'CMG-PDO'!A176</f>
        <v>46052</v>
      </c>
      <c r="B176" s="8">
        <f>+'CMG-PDO'!B176</f>
        <v>2.6458333333333348</v>
      </c>
      <c r="C176" s="7">
        <v>29.343599999999999</v>
      </c>
      <c r="D176" s="7">
        <v>30.9056</v>
      </c>
      <c r="E176" s="7">
        <v>29.110099999999999</v>
      </c>
      <c r="F176" s="7">
        <v>27.670500000000001</v>
      </c>
    </row>
    <row r="177" spans="1:6" x14ac:dyDescent="0.3">
      <c r="A177" s="2">
        <f>+'CMG-PDO'!A177</f>
        <v>46052</v>
      </c>
      <c r="B177" s="8">
        <f>+'CMG-PDO'!B177</f>
        <v>2.6666666666666683</v>
      </c>
      <c r="C177" s="7">
        <v>25.198799999999999</v>
      </c>
      <c r="D177" s="7">
        <v>26.407699999999998</v>
      </c>
      <c r="E177" s="7">
        <v>25.0092</v>
      </c>
      <c r="F177" s="7">
        <v>23.726800000000001</v>
      </c>
    </row>
    <row r="178" spans="1:6" x14ac:dyDescent="0.3">
      <c r="A178" s="2">
        <f>+'CMG-PDO'!A178</f>
        <v>46052</v>
      </c>
      <c r="B178" s="8">
        <f>+'CMG-PDO'!B178</f>
        <v>2.6875000000000018</v>
      </c>
      <c r="C178" s="7">
        <v>25.171399999999998</v>
      </c>
      <c r="D178" s="7">
        <v>26.415600000000001</v>
      </c>
      <c r="E178" s="7">
        <v>25.304300000000001</v>
      </c>
      <c r="F178" s="7">
        <v>23.769100000000002</v>
      </c>
    </row>
    <row r="179" spans="1:6" x14ac:dyDescent="0.3">
      <c r="A179" s="2">
        <f>+'CMG-PDO'!A179</f>
        <v>46052</v>
      </c>
      <c r="B179" s="8">
        <f>+'CMG-PDO'!B179</f>
        <v>2.7083333333333353</v>
      </c>
      <c r="C179" s="7">
        <v>28.8977</v>
      </c>
      <c r="D179" s="7">
        <v>30.3141</v>
      </c>
      <c r="E179" s="7">
        <v>29.686199999999999</v>
      </c>
      <c r="F179" s="7">
        <v>27.383500000000002</v>
      </c>
    </row>
    <row r="180" spans="1:6" x14ac:dyDescent="0.3">
      <c r="A180" s="2">
        <f>+'CMG-PDO'!A180</f>
        <v>46052</v>
      </c>
      <c r="B180" s="8">
        <f>+'CMG-PDO'!B180</f>
        <v>2.7291666666666687</v>
      </c>
      <c r="C180" s="7">
        <v>29.1433</v>
      </c>
      <c r="D180" s="7">
        <v>30.573499999999999</v>
      </c>
      <c r="E180" s="7">
        <v>30.583200000000001</v>
      </c>
      <c r="F180" s="7">
        <v>27.741599999999998</v>
      </c>
    </row>
    <row r="181" spans="1:6" x14ac:dyDescent="0.3">
      <c r="A181" s="2">
        <f>+'CMG-PDO'!A181</f>
        <v>46052</v>
      </c>
      <c r="B181" s="8">
        <f>+'CMG-PDO'!B181</f>
        <v>2.7500000000000022</v>
      </c>
      <c r="C181" s="7">
        <v>29.072099999999999</v>
      </c>
      <c r="D181" s="7">
        <v>30.345800000000001</v>
      </c>
      <c r="E181" s="7">
        <v>30.7911</v>
      </c>
      <c r="F181" s="7">
        <v>27.733599999999999</v>
      </c>
    </row>
    <row r="182" spans="1:6" x14ac:dyDescent="0.3">
      <c r="A182" s="2">
        <f>+'CMG-PDO'!A182</f>
        <v>46052</v>
      </c>
      <c r="B182" s="8">
        <f>+'CMG-PDO'!B182</f>
        <v>2.7708333333333357</v>
      </c>
      <c r="C182" s="7">
        <v>29.014199999999999</v>
      </c>
      <c r="D182" s="7">
        <v>30.381399999999999</v>
      </c>
      <c r="E182" s="7">
        <v>30.8949</v>
      </c>
      <c r="F182" s="7">
        <v>27.725999999999999</v>
      </c>
    </row>
    <row r="183" spans="1:6" x14ac:dyDescent="0.3">
      <c r="A183" s="2">
        <f>+'CMG-PDO'!A183</f>
        <v>46052</v>
      </c>
      <c r="B183" s="8">
        <f>+'CMG-PDO'!B183</f>
        <v>2.7916666666666692</v>
      </c>
      <c r="C183" s="7">
        <v>29.395199999999999</v>
      </c>
      <c r="D183" s="7">
        <v>30.979900000000001</v>
      </c>
      <c r="E183" s="7">
        <v>31.368500000000001</v>
      </c>
      <c r="F183" s="7">
        <v>28.116299999999999</v>
      </c>
    </row>
    <row r="184" spans="1:6" x14ac:dyDescent="0.3">
      <c r="A184" s="2">
        <f>+'CMG-PDO'!A184</f>
        <v>46052</v>
      </c>
      <c r="B184" s="8">
        <f>+'CMG-PDO'!B184</f>
        <v>2.8125000000000027</v>
      </c>
      <c r="C184" s="7">
        <v>29.441700000000001</v>
      </c>
      <c r="D184" s="7">
        <v>31.097100000000001</v>
      </c>
      <c r="E184" s="7">
        <v>31.420100000000001</v>
      </c>
      <c r="F184" s="7">
        <v>28.171700000000001</v>
      </c>
    </row>
    <row r="185" spans="1:6" x14ac:dyDescent="0.3">
      <c r="A185" s="2">
        <f>+'CMG-PDO'!A185</f>
        <v>46052</v>
      </c>
      <c r="B185" s="8">
        <f>+'CMG-PDO'!B185</f>
        <v>2.8333333333333361</v>
      </c>
      <c r="C185" s="7">
        <v>29.4605</v>
      </c>
      <c r="D185" s="7">
        <v>31.104099999999999</v>
      </c>
      <c r="E185" s="7">
        <v>31.483899999999998</v>
      </c>
      <c r="F185" s="7">
        <v>28.212</v>
      </c>
    </row>
    <row r="186" spans="1:6" x14ac:dyDescent="0.3">
      <c r="A186" s="2">
        <f>+'CMG-PDO'!A186</f>
        <v>46052</v>
      </c>
      <c r="B186" s="8">
        <f>+'CMG-PDO'!B186</f>
        <v>2.8541666666666696</v>
      </c>
      <c r="C186" s="7">
        <v>35.606699999999996</v>
      </c>
      <c r="D186" s="7">
        <v>37.571100000000001</v>
      </c>
      <c r="E186" s="7">
        <v>38.142099999999999</v>
      </c>
      <c r="F186" s="7">
        <v>34.111499999999999</v>
      </c>
    </row>
    <row r="187" spans="1:6" x14ac:dyDescent="0.3">
      <c r="A187" s="2">
        <f>+'CMG-PDO'!A187</f>
        <v>46052</v>
      </c>
      <c r="B187" s="8">
        <f>+'CMG-PDO'!B187</f>
        <v>2.8750000000000031</v>
      </c>
      <c r="C187" s="7">
        <v>29.467300000000002</v>
      </c>
      <c r="D187" s="7">
        <v>31.09</v>
      </c>
      <c r="E187" s="7">
        <v>31.581199999999999</v>
      </c>
      <c r="F187" s="7">
        <v>28.237300000000001</v>
      </c>
    </row>
    <row r="188" spans="1:6" x14ac:dyDescent="0.3">
      <c r="A188" s="2">
        <f>+'CMG-PDO'!A188</f>
        <v>46052</v>
      </c>
      <c r="B188" s="8">
        <f>+'CMG-PDO'!B188</f>
        <v>2.8958333333333366</v>
      </c>
      <c r="C188" s="7">
        <v>35.627499999999998</v>
      </c>
      <c r="D188" s="7">
        <v>37.643000000000001</v>
      </c>
      <c r="E188" s="7">
        <v>38.193899999999999</v>
      </c>
      <c r="F188" s="7">
        <v>34.136200000000002</v>
      </c>
    </row>
    <row r="189" spans="1:6" x14ac:dyDescent="0.3">
      <c r="A189" s="2">
        <f>+'CMG-PDO'!A189</f>
        <v>46052</v>
      </c>
      <c r="B189" s="8">
        <f>+'CMG-PDO'!B189</f>
        <v>2.9166666666666701</v>
      </c>
      <c r="C189" s="7">
        <v>35.677100000000003</v>
      </c>
      <c r="D189" s="7">
        <v>37.565800000000003</v>
      </c>
      <c r="E189" s="7">
        <v>38.234499999999997</v>
      </c>
      <c r="F189" s="7">
        <v>34.215200000000003</v>
      </c>
    </row>
    <row r="190" spans="1:6" x14ac:dyDescent="0.3">
      <c r="A190" s="2">
        <f>+'CMG-PDO'!A190</f>
        <v>46052</v>
      </c>
      <c r="B190" s="8">
        <f>+'CMG-PDO'!B190</f>
        <v>2.9375000000000036</v>
      </c>
      <c r="C190" s="7">
        <v>29.368600000000001</v>
      </c>
      <c r="D190" s="7">
        <v>30.799199999999999</v>
      </c>
      <c r="E190" s="7">
        <v>31.439599999999999</v>
      </c>
      <c r="F190" s="7">
        <v>28.1845</v>
      </c>
    </row>
    <row r="191" spans="1:6" x14ac:dyDescent="0.3">
      <c r="A191" s="2">
        <f>+'CMG-PDO'!A191</f>
        <v>46052</v>
      </c>
      <c r="B191" s="8">
        <f>+'CMG-PDO'!B191</f>
        <v>2.958333333333337</v>
      </c>
      <c r="C191" s="7">
        <v>28.961300000000001</v>
      </c>
      <c r="D191" s="7">
        <v>30.197800000000001</v>
      </c>
      <c r="E191" s="7">
        <v>30.883199999999999</v>
      </c>
      <c r="F191" s="7">
        <v>27.749099999999999</v>
      </c>
    </row>
    <row r="192" spans="1:6" x14ac:dyDescent="0.3">
      <c r="A192" s="2">
        <f>+'CMG-PDO'!A192</f>
        <v>46052</v>
      </c>
      <c r="B192" s="8">
        <f>+'CMG-PDO'!B192</f>
        <v>2.9791666666666705</v>
      </c>
      <c r="C192" s="7">
        <v>25.1069</v>
      </c>
      <c r="D192" s="7">
        <v>26.2377</v>
      </c>
      <c r="E192" s="7">
        <v>26.753599999999999</v>
      </c>
      <c r="F192" s="7">
        <v>24.0626</v>
      </c>
    </row>
    <row r="193" spans="1:6" x14ac:dyDescent="0.3">
      <c r="A193" s="2">
        <f>+'CMG-PDO'!A193</f>
        <v>46052</v>
      </c>
      <c r="B193" s="8">
        <f>+'CMG-PDO'!B193</f>
        <v>3.000000000000004</v>
      </c>
      <c r="C193" s="7">
        <v>25.1708</v>
      </c>
      <c r="D193" s="7">
        <v>26.254300000000001</v>
      </c>
      <c r="E193" s="7">
        <v>26.808700000000002</v>
      </c>
      <c r="F193" s="7">
        <v>24.113099999999999</v>
      </c>
    </row>
    <row r="194" spans="1:6" x14ac:dyDescent="0.3">
      <c r="A194" s="2">
        <f>+'CMG-PDO'!A194</f>
        <v>46053</v>
      </c>
      <c r="B194" s="8">
        <f>+'CMG-PDO'!B194</f>
        <v>3.0208333333333375</v>
      </c>
      <c r="C194" s="7">
        <v>23.778099999999998</v>
      </c>
      <c r="D194" s="7">
        <v>24.8306</v>
      </c>
      <c r="E194" s="7">
        <v>25.333200000000001</v>
      </c>
      <c r="F194" s="7">
        <v>22.805700000000002</v>
      </c>
    </row>
    <row r="195" spans="1:6" x14ac:dyDescent="0.3">
      <c r="A195" s="2">
        <f>+'CMG-PDO'!A195</f>
        <v>46053</v>
      </c>
      <c r="B195" s="8">
        <f>+'CMG-PDO'!B195</f>
        <v>3.041666666666671</v>
      </c>
      <c r="C195" s="7">
        <v>22.754899999999999</v>
      </c>
      <c r="D195" s="7">
        <v>23.6675</v>
      </c>
      <c r="E195" s="7">
        <v>24.207100000000001</v>
      </c>
      <c r="F195" s="7">
        <v>21.813300000000002</v>
      </c>
    </row>
    <row r="196" spans="1:6" x14ac:dyDescent="0.3">
      <c r="A196" s="2">
        <f>+'CMG-PDO'!A196</f>
        <v>46053</v>
      </c>
      <c r="B196" s="8">
        <f>+'CMG-PDO'!B196</f>
        <v>3.0625000000000044</v>
      </c>
      <c r="C196" s="7">
        <v>22.349799999999998</v>
      </c>
      <c r="D196" s="7">
        <v>23.1997</v>
      </c>
      <c r="E196" s="7">
        <v>23.777100000000001</v>
      </c>
      <c r="F196" s="7">
        <v>21.418700000000001</v>
      </c>
    </row>
    <row r="197" spans="1:6" x14ac:dyDescent="0.3">
      <c r="A197" s="2">
        <f>+'CMG-PDO'!A197</f>
        <v>46053</v>
      </c>
      <c r="B197" s="8">
        <f>+'CMG-PDO'!B197</f>
        <v>3.0833333333333379</v>
      </c>
      <c r="C197" s="7">
        <v>21.448399999999999</v>
      </c>
      <c r="D197" s="7">
        <v>22.243400000000001</v>
      </c>
      <c r="E197" s="7">
        <v>22.806100000000001</v>
      </c>
      <c r="F197" s="7">
        <v>20.567699999999999</v>
      </c>
    </row>
    <row r="198" spans="1:6" x14ac:dyDescent="0.3">
      <c r="A198" s="2">
        <f>+'CMG-PDO'!A198</f>
        <v>46053</v>
      </c>
      <c r="B198" s="8">
        <f>+'CMG-PDO'!B198</f>
        <v>3.1041666666666714</v>
      </c>
      <c r="C198" s="7">
        <v>21.4391</v>
      </c>
      <c r="D198" s="7">
        <v>22.224</v>
      </c>
      <c r="E198" s="7">
        <v>22.800699999999999</v>
      </c>
      <c r="F198" s="7">
        <v>20.5639</v>
      </c>
    </row>
    <row r="199" spans="1:6" x14ac:dyDescent="0.3">
      <c r="A199" s="2">
        <f>+'CMG-PDO'!A199</f>
        <v>46053</v>
      </c>
      <c r="B199" s="8">
        <f>+'CMG-PDO'!B199</f>
        <v>3.1250000000000049</v>
      </c>
      <c r="C199" s="7">
        <v>21.433399999999999</v>
      </c>
      <c r="D199" s="7">
        <v>22.214400000000001</v>
      </c>
      <c r="E199" s="7">
        <v>22.820699999999999</v>
      </c>
      <c r="F199" s="7">
        <v>20.566600000000001</v>
      </c>
    </row>
    <row r="200" spans="1:6" x14ac:dyDescent="0.3">
      <c r="A200" s="2">
        <f>+'CMG-PDO'!A200</f>
        <v>46053</v>
      </c>
      <c r="B200" s="8">
        <f>+'CMG-PDO'!B200</f>
        <v>3.1458333333333384</v>
      </c>
      <c r="C200" s="7">
        <v>21.4345</v>
      </c>
      <c r="D200" s="7">
        <v>22.215</v>
      </c>
      <c r="E200" s="7">
        <v>22.817599999999999</v>
      </c>
      <c r="F200" s="7">
        <v>20.578900000000001</v>
      </c>
    </row>
    <row r="201" spans="1:6" x14ac:dyDescent="0.3">
      <c r="A201" s="2">
        <f>+'CMG-PDO'!A201</f>
        <v>46053</v>
      </c>
      <c r="B201" s="8">
        <f>+'CMG-PDO'!B201</f>
        <v>3.1666666666666718</v>
      </c>
      <c r="C201" s="7">
        <v>21.427700000000002</v>
      </c>
      <c r="D201" s="7">
        <v>22.204899999999999</v>
      </c>
      <c r="E201" s="7">
        <v>22.816299999999998</v>
      </c>
      <c r="F201" s="7">
        <v>20.5686</v>
      </c>
    </row>
    <row r="202" spans="1:6" x14ac:dyDescent="0.3">
      <c r="A202" s="2">
        <f>+'CMG-PDO'!A202</f>
        <v>46053</v>
      </c>
      <c r="B202" s="8">
        <f>+'CMG-PDO'!B202</f>
        <v>3.1875000000000053</v>
      </c>
      <c r="C202" s="7">
        <v>21.434899999999999</v>
      </c>
      <c r="D202" s="7">
        <v>22.2331</v>
      </c>
      <c r="E202" s="7">
        <v>22.863199999999999</v>
      </c>
      <c r="F202" s="7">
        <v>20.579699999999999</v>
      </c>
    </row>
    <row r="203" spans="1:6" x14ac:dyDescent="0.3">
      <c r="A203" s="2">
        <f>+'CMG-PDO'!A203</f>
        <v>46053</v>
      </c>
      <c r="B203" s="8">
        <f>+'CMG-PDO'!B203</f>
        <v>3.2083333333333388</v>
      </c>
      <c r="C203" s="7">
        <v>21.438099999999999</v>
      </c>
      <c r="D203" s="7">
        <v>22.248699999999999</v>
      </c>
      <c r="E203" s="7">
        <v>22.874300000000002</v>
      </c>
      <c r="F203" s="7">
        <v>20.5871</v>
      </c>
    </row>
    <row r="204" spans="1:6" x14ac:dyDescent="0.3">
      <c r="A204" s="2">
        <f>+'CMG-PDO'!A204</f>
        <v>46053</v>
      </c>
      <c r="B204" s="8">
        <f>+'CMG-PDO'!B204</f>
        <v>3.2291666666666723</v>
      </c>
      <c r="C204" s="7">
        <v>21.446100000000001</v>
      </c>
      <c r="D204" s="7">
        <v>22.263300000000001</v>
      </c>
      <c r="E204" s="7">
        <v>22.863800000000001</v>
      </c>
      <c r="F204" s="7">
        <v>20.584599999999998</v>
      </c>
    </row>
    <row r="205" spans="1:6" x14ac:dyDescent="0.3">
      <c r="A205" s="2">
        <f>+'CMG-PDO'!A205</f>
        <v>46053</v>
      </c>
      <c r="B205" s="8">
        <f>+'CMG-PDO'!B205</f>
        <v>3.2500000000000058</v>
      </c>
      <c r="C205" s="7">
        <v>21.4344</v>
      </c>
      <c r="D205" s="7">
        <v>22.267399999999999</v>
      </c>
      <c r="E205" s="7">
        <v>22.811299999999999</v>
      </c>
      <c r="F205" s="7">
        <v>20.566600000000001</v>
      </c>
    </row>
    <row r="206" spans="1:6" x14ac:dyDescent="0.3">
      <c r="A206" s="2">
        <f>+'CMG-PDO'!A206</f>
        <v>46053</v>
      </c>
      <c r="B206" s="8">
        <f>+'CMG-PDO'!B206</f>
        <v>3.2708333333333393</v>
      </c>
      <c r="C206" s="7">
        <v>21.437000000000001</v>
      </c>
      <c r="D206" s="7">
        <v>22.283899999999999</v>
      </c>
      <c r="E206" s="7">
        <v>22.7013</v>
      </c>
      <c r="F206" s="7">
        <v>20.549299999999999</v>
      </c>
    </row>
    <row r="207" spans="1:6" x14ac:dyDescent="0.3">
      <c r="A207" s="2">
        <f>+'CMG-PDO'!A207</f>
        <v>46053</v>
      </c>
      <c r="B207" s="8">
        <f>+'CMG-PDO'!B207</f>
        <v>3.2916666666666727</v>
      </c>
      <c r="C207" s="7">
        <v>21.450700000000001</v>
      </c>
      <c r="D207" s="7">
        <v>22.328700000000001</v>
      </c>
      <c r="E207" s="7">
        <v>22.5291</v>
      </c>
      <c r="F207" s="7">
        <v>20.526499999999999</v>
      </c>
    </row>
    <row r="208" spans="1:6" x14ac:dyDescent="0.3">
      <c r="A208" s="2">
        <f>+'CMG-PDO'!A208</f>
        <v>46053</v>
      </c>
      <c r="B208" s="8">
        <f>+'CMG-PDO'!B208</f>
        <v>3.3125000000000062</v>
      </c>
      <c r="C208" s="7">
        <v>21.475999999999999</v>
      </c>
      <c r="D208" s="7">
        <v>22.4192</v>
      </c>
      <c r="E208" s="7">
        <v>22.425899999999999</v>
      </c>
      <c r="F208" s="7">
        <v>20.560400000000001</v>
      </c>
    </row>
    <row r="209" spans="1:6" x14ac:dyDescent="0.3">
      <c r="A209" s="2">
        <f>+'CMG-PDO'!A209</f>
        <v>46053</v>
      </c>
      <c r="B209" s="8">
        <f>+'CMG-PDO'!B209</f>
        <v>3.3333333333333397</v>
      </c>
      <c r="C209" s="7">
        <v>22.3491</v>
      </c>
      <c r="D209" s="7">
        <v>23.389900000000001</v>
      </c>
      <c r="E209" s="7">
        <v>23.183800000000002</v>
      </c>
      <c r="F209" s="7">
        <v>21.384599999999999</v>
      </c>
    </row>
    <row r="210" spans="1:6" x14ac:dyDescent="0.3">
      <c r="A210" s="2">
        <f>+'CMG-PDO'!A210</f>
        <v>46053</v>
      </c>
      <c r="B210" s="8">
        <f>+'CMG-PDO'!B210</f>
        <v>3.3541666666666732</v>
      </c>
      <c r="C210" s="7">
        <v>23.887499999999999</v>
      </c>
      <c r="D210" s="7">
        <v>25.1069</v>
      </c>
      <c r="E210" s="7">
        <v>24.684699999999999</v>
      </c>
      <c r="F210" s="7">
        <v>22.834</v>
      </c>
    </row>
    <row r="211" spans="1:6" x14ac:dyDescent="0.3">
      <c r="A211" s="2">
        <f>+'CMG-PDO'!A211</f>
        <v>46053</v>
      </c>
      <c r="B211" s="8">
        <f>+'CMG-PDO'!B211</f>
        <v>3.3750000000000067</v>
      </c>
      <c r="C211" s="7">
        <v>24.340800000000002</v>
      </c>
      <c r="D211" s="7">
        <v>25.6767</v>
      </c>
      <c r="E211" s="7">
        <v>25.0059</v>
      </c>
      <c r="F211" s="7">
        <v>23.242000000000001</v>
      </c>
    </row>
    <row r="212" spans="1:6" x14ac:dyDescent="0.3">
      <c r="A212" s="2">
        <f>+'CMG-PDO'!A212</f>
        <v>46053</v>
      </c>
      <c r="B212" s="8">
        <f>+'CMG-PDO'!B212</f>
        <v>3.3958333333333401</v>
      </c>
      <c r="C212" s="7">
        <v>24.340299999999999</v>
      </c>
      <c r="D212" s="7">
        <v>25.741</v>
      </c>
      <c r="E212" s="7">
        <v>24.8278</v>
      </c>
      <c r="F212" s="7">
        <v>23.213799999999999</v>
      </c>
    </row>
    <row r="213" spans="1:6" x14ac:dyDescent="0.3">
      <c r="A213" s="2">
        <f>+'CMG-PDO'!A213</f>
        <v>46053</v>
      </c>
      <c r="B213" s="8">
        <f>+'CMG-PDO'!B213</f>
        <v>3.4166666666666736</v>
      </c>
      <c r="C213" s="7">
        <v>24.379000000000001</v>
      </c>
      <c r="D213" s="7">
        <v>25.814800000000002</v>
      </c>
      <c r="E213" s="7">
        <v>24.785499999999999</v>
      </c>
      <c r="F213" s="7">
        <v>23.232099999999999</v>
      </c>
    </row>
    <row r="214" spans="1:6" x14ac:dyDescent="0.3">
      <c r="A214" s="2">
        <f>+'CMG-PDO'!A214</f>
        <v>46053</v>
      </c>
      <c r="B214" s="8">
        <f>+'CMG-PDO'!B214</f>
        <v>3.4375000000000071</v>
      </c>
      <c r="C214" s="7">
        <v>25.015699999999999</v>
      </c>
      <c r="D214" s="7">
        <v>26.460100000000001</v>
      </c>
      <c r="E214" s="7">
        <v>25.3736</v>
      </c>
      <c r="F214" s="7">
        <v>23.8111</v>
      </c>
    </row>
    <row r="215" spans="1:6" x14ac:dyDescent="0.3">
      <c r="A215" s="2">
        <f>+'CMG-PDO'!A215</f>
        <v>46053</v>
      </c>
      <c r="B215" s="8">
        <f>+'CMG-PDO'!B215</f>
        <v>3.4583333333333406</v>
      </c>
      <c r="C215" s="7">
        <v>25.182600000000001</v>
      </c>
      <c r="D215" s="7">
        <v>26.677900000000001</v>
      </c>
      <c r="E215" s="7">
        <v>25.574100000000001</v>
      </c>
      <c r="F215" s="7">
        <v>23.980499999999999</v>
      </c>
    </row>
    <row r="216" spans="1:6" x14ac:dyDescent="0.3">
      <c r="A216" s="2">
        <f>+'CMG-PDO'!A216</f>
        <v>46053</v>
      </c>
      <c r="B216" s="8">
        <f>+'CMG-PDO'!B216</f>
        <v>3.4791666666666741</v>
      </c>
      <c r="C216" s="7">
        <v>30.824000000000002</v>
      </c>
      <c r="D216" s="7">
        <v>32.701099999999997</v>
      </c>
      <c r="E216" s="7">
        <v>31.485499999999998</v>
      </c>
      <c r="F216" s="7">
        <v>29.362100000000002</v>
      </c>
    </row>
    <row r="217" spans="1:6" x14ac:dyDescent="0.3">
      <c r="A217" s="2">
        <f>+'CMG-PDO'!A217</f>
        <v>46053</v>
      </c>
      <c r="B217" s="8">
        <f>+'CMG-PDO'!B217</f>
        <v>3.5000000000000075</v>
      </c>
      <c r="C217" s="7">
        <v>25.2012</v>
      </c>
      <c r="D217" s="7">
        <v>26.736000000000001</v>
      </c>
      <c r="E217" s="7">
        <v>25.7864</v>
      </c>
      <c r="F217" s="7">
        <v>23.9998</v>
      </c>
    </row>
    <row r="218" spans="1:6" x14ac:dyDescent="0.3">
      <c r="A218" s="2">
        <f>+'CMG-PDO'!A218</f>
        <v>46053</v>
      </c>
      <c r="B218" s="8">
        <f>+'CMG-PDO'!B218</f>
        <v>3.520833333333341</v>
      </c>
      <c r="C218" s="7">
        <v>25.149899999999999</v>
      </c>
      <c r="D218" s="7">
        <v>26.622800000000002</v>
      </c>
      <c r="E218" s="7">
        <v>25.732399999999998</v>
      </c>
      <c r="F218" s="7">
        <v>23.925899999999999</v>
      </c>
    </row>
    <row r="219" spans="1:6" x14ac:dyDescent="0.3">
      <c r="A219" s="2">
        <f>+'CMG-PDO'!A219</f>
        <v>46053</v>
      </c>
      <c r="B219" s="8">
        <f>+'CMG-PDO'!B219</f>
        <v>3.5416666666666745</v>
      </c>
      <c r="C219" s="7">
        <v>25.142600000000002</v>
      </c>
      <c r="D219" s="7">
        <v>26.5624</v>
      </c>
      <c r="E219" s="7">
        <v>25.6997</v>
      </c>
      <c r="F219" s="7">
        <v>23.919699999999999</v>
      </c>
    </row>
    <row r="220" spans="1:6" x14ac:dyDescent="0.3">
      <c r="A220" s="2">
        <f>+'CMG-PDO'!A220</f>
        <v>46053</v>
      </c>
      <c r="B220" s="8">
        <f>+'CMG-PDO'!B220</f>
        <v>3.562500000000008</v>
      </c>
      <c r="C220" s="7">
        <v>24.367599999999999</v>
      </c>
      <c r="D220" s="7">
        <v>25.673200000000001</v>
      </c>
      <c r="E220" s="7">
        <v>24.901700000000002</v>
      </c>
      <c r="F220" s="7">
        <v>23.174900000000001</v>
      </c>
    </row>
    <row r="221" spans="1:6" x14ac:dyDescent="0.3">
      <c r="A221" s="2">
        <f>+'CMG-PDO'!A221</f>
        <v>46053</v>
      </c>
      <c r="B221" s="8">
        <f>+'CMG-PDO'!B221</f>
        <v>3.5833333333333415</v>
      </c>
      <c r="C221" s="7">
        <v>24.382400000000001</v>
      </c>
      <c r="D221" s="7">
        <v>25.6539</v>
      </c>
      <c r="E221" s="7">
        <v>25.047899999999998</v>
      </c>
      <c r="F221" s="7">
        <v>23.207000000000001</v>
      </c>
    </row>
    <row r="222" spans="1:6" x14ac:dyDescent="0.3">
      <c r="A222" s="2">
        <f>+'CMG-PDO'!A222</f>
        <v>46053</v>
      </c>
      <c r="B222" s="8">
        <f>+'CMG-PDO'!B222</f>
        <v>3.604166666666675</v>
      </c>
      <c r="C222" s="7">
        <v>25.097799999999999</v>
      </c>
      <c r="D222" s="7">
        <v>26.408000000000001</v>
      </c>
      <c r="E222" s="7">
        <v>25.915800000000001</v>
      </c>
      <c r="F222" s="7">
        <v>23.908300000000001</v>
      </c>
    </row>
    <row r="223" spans="1:6" x14ac:dyDescent="0.3">
      <c r="A223" s="2">
        <f>+'CMG-PDO'!A223</f>
        <v>46053</v>
      </c>
      <c r="B223" s="8">
        <f>+'CMG-PDO'!B223</f>
        <v>3.6250000000000084</v>
      </c>
      <c r="C223" s="7">
        <v>25.113399999999999</v>
      </c>
      <c r="D223" s="7">
        <v>26.4161</v>
      </c>
      <c r="E223" s="7">
        <v>26.028500000000001</v>
      </c>
      <c r="F223" s="7">
        <v>23.9437</v>
      </c>
    </row>
    <row r="224" spans="1:6" x14ac:dyDescent="0.3">
      <c r="A224" s="2">
        <f>+'CMG-PDO'!A224</f>
        <v>46053</v>
      </c>
      <c r="B224" s="8">
        <f>+'CMG-PDO'!B224</f>
        <v>3.6458333333333419</v>
      </c>
      <c r="C224" s="7">
        <v>25.0989</v>
      </c>
      <c r="D224" s="7">
        <v>26.3934</v>
      </c>
      <c r="E224" s="7">
        <v>26.139600000000002</v>
      </c>
      <c r="F224" s="7">
        <v>23.951899999999998</v>
      </c>
    </row>
    <row r="225" spans="1:6" x14ac:dyDescent="0.3">
      <c r="A225" s="2">
        <f>+'CMG-PDO'!A225</f>
        <v>46053</v>
      </c>
      <c r="B225" s="8">
        <f>+'CMG-PDO'!B225</f>
        <v>3.6666666666666754</v>
      </c>
      <c r="C225" s="7">
        <v>25.122800000000002</v>
      </c>
      <c r="D225" s="7">
        <v>26.4133</v>
      </c>
      <c r="E225" s="7">
        <v>26.3</v>
      </c>
      <c r="F225" s="7">
        <v>23.997599999999998</v>
      </c>
    </row>
    <row r="226" spans="1:6" x14ac:dyDescent="0.3">
      <c r="A226" s="2">
        <f>+'CMG-PDO'!A226</f>
        <v>46053</v>
      </c>
      <c r="B226" s="8">
        <f>+'CMG-PDO'!B226</f>
        <v>3.6875000000000089</v>
      </c>
      <c r="C226" s="7">
        <v>25.088799999999999</v>
      </c>
      <c r="D226" s="7">
        <v>26.333600000000001</v>
      </c>
      <c r="E226" s="7">
        <v>26.3598</v>
      </c>
      <c r="F226" s="7">
        <v>23.960899999999999</v>
      </c>
    </row>
    <row r="227" spans="1:6" x14ac:dyDescent="0.3">
      <c r="A227" s="2">
        <f>+'CMG-PDO'!A227</f>
        <v>46053</v>
      </c>
      <c r="B227" s="8">
        <f>+'CMG-PDO'!B227</f>
        <v>3.7083333333333424</v>
      </c>
      <c r="C227" s="7">
        <v>25.070799999999998</v>
      </c>
      <c r="D227" s="7">
        <v>26.3399</v>
      </c>
      <c r="E227" s="7">
        <v>26.4754</v>
      </c>
      <c r="F227" s="7">
        <v>23.977599999999999</v>
      </c>
    </row>
    <row r="228" spans="1:6" x14ac:dyDescent="0.3">
      <c r="A228" s="2">
        <f>+'CMG-PDO'!A228</f>
        <v>46053</v>
      </c>
      <c r="B228" s="8">
        <f>+'CMG-PDO'!B228</f>
        <v>3.7291666666666758</v>
      </c>
      <c r="C228" s="7">
        <v>25.082899999999999</v>
      </c>
      <c r="D228" s="7">
        <v>26.314599999999999</v>
      </c>
      <c r="E228" s="7">
        <v>26.572299999999998</v>
      </c>
      <c r="F228" s="7">
        <v>24.0014</v>
      </c>
    </row>
    <row r="229" spans="1:6" x14ac:dyDescent="0.3">
      <c r="A229" s="2">
        <f>+'CMG-PDO'!A229</f>
        <v>46053</v>
      </c>
      <c r="B229" s="8">
        <f>+'CMG-PDO'!B229</f>
        <v>3.7500000000000093</v>
      </c>
      <c r="C229" s="7">
        <v>24.950199999999999</v>
      </c>
      <c r="D229" s="7">
        <v>26.110199999999999</v>
      </c>
      <c r="E229" s="7">
        <v>26.527899999999999</v>
      </c>
      <c r="F229" s="7">
        <v>23.842300000000002</v>
      </c>
    </row>
    <row r="230" spans="1:6" x14ac:dyDescent="0.3">
      <c r="A230" s="2">
        <f>+'CMG-PDO'!A230</f>
        <v>46053</v>
      </c>
      <c r="B230" s="8">
        <f>+'CMG-PDO'!B230</f>
        <v>3.7708333333333428</v>
      </c>
      <c r="C230" s="7">
        <v>30.786999999999999</v>
      </c>
      <c r="D230" s="7">
        <v>32.346200000000003</v>
      </c>
      <c r="E230" s="7">
        <v>32.909199999999998</v>
      </c>
      <c r="F230" s="7">
        <v>29.459</v>
      </c>
    </row>
    <row r="231" spans="1:6" x14ac:dyDescent="0.3">
      <c r="A231" s="2">
        <f>+'CMG-PDO'!A231</f>
        <v>46053</v>
      </c>
      <c r="B231" s="8">
        <f>+'CMG-PDO'!B231</f>
        <v>3.7916666666666763</v>
      </c>
      <c r="C231" s="7">
        <v>25.139299999999999</v>
      </c>
      <c r="D231" s="7">
        <v>26.651</v>
      </c>
      <c r="E231" s="7">
        <v>26.8963</v>
      </c>
      <c r="F231" s="7">
        <v>24.0732</v>
      </c>
    </row>
    <row r="232" spans="1:6" x14ac:dyDescent="0.3">
      <c r="A232" s="2">
        <f>+'CMG-PDO'!A232</f>
        <v>46053</v>
      </c>
      <c r="B232" s="8">
        <f>+'CMG-PDO'!B232</f>
        <v>3.8125000000000098</v>
      </c>
      <c r="C232" s="7">
        <v>30.808800000000002</v>
      </c>
      <c r="D232" s="7">
        <v>32.757800000000003</v>
      </c>
      <c r="E232" s="7">
        <v>33.036799999999999</v>
      </c>
      <c r="F232" s="7">
        <v>29.534700000000001</v>
      </c>
    </row>
    <row r="233" spans="1:6" x14ac:dyDescent="0.3">
      <c r="A233" s="2">
        <f>+'CMG-PDO'!A233</f>
        <v>46053</v>
      </c>
      <c r="B233" s="8">
        <f>+'CMG-PDO'!B233</f>
        <v>3.8333333333333433</v>
      </c>
      <c r="C233" s="7">
        <v>30.792400000000001</v>
      </c>
      <c r="D233" s="7">
        <v>32.770699999999998</v>
      </c>
      <c r="E233" s="7">
        <v>33.094799999999999</v>
      </c>
      <c r="F233" s="7">
        <v>29.560700000000001</v>
      </c>
    </row>
    <row r="234" spans="1:6" x14ac:dyDescent="0.3">
      <c r="A234" s="2">
        <f>+'CMG-PDO'!A234</f>
        <v>46053</v>
      </c>
      <c r="B234" s="8">
        <f>+'CMG-PDO'!B234</f>
        <v>3.8541666666666767</v>
      </c>
      <c r="C234" s="7">
        <v>30.753699999999998</v>
      </c>
      <c r="D234" s="7">
        <v>32.561900000000001</v>
      </c>
      <c r="E234" s="7">
        <v>33.129199999999997</v>
      </c>
      <c r="F234" s="7">
        <v>29.552</v>
      </c>
    </row>
    <row r="235" spans="1:6" x14ac:dyDescent="0.3">
      <c r="A235" s="2">
        <f>+'CMG-PDO'!A235</f>
        <v>46053</v>
      </c>
      <c r="B235" s="8">
        <f>+'CMG-PDO'!B235</f>
        <v>3.8750000000000102</v>
      </c>
      <c r="C235" s="7">
        <v>30.764099999999999</v>
      </c>
      <c r="D235" s="7">
        <v>32.556199999999997</v>
      </c>
      <c r="E235" s="7">
        <v>33.1952</v>
      </c>
      <c r="F235" s="7">
        <v>29.5746</v>
      </c>
    </row>
    <row r="236" spans="1:6" x14ac:dyDescent="0.3">
      <c r="A236" s="2">
        <f>+'CMG-PDO'!A236</f>
        <v>46053</v>
      </c>
      <c r="B236" s="8">
        <f>+'CMG-PDO'!B236</f>
        <v>3.8958333333333437</v>
      </c>
      <c r="C236" s="7">
        <v>44.531599999999997</v>
      </c>
      <c r="D236" s="7">
        <v>47.151400000000002</v>
      </c>
      <c r="E236" s="7">
        <v>48.042900000000003</v>
      </c>
      <c r="F236" s="7">
        <v>42.813000000000002</v>
      </c>
    </row>
    <row r="237" spans="1:6" x14ac:dyDescent="0.3">
      <c r="A237" s="2">
        <f>+'CMG-PDO'!A237</f>
        <v>46053</v>
      </c>
      <c r="B237" s="8">
        <f>+'CMG-PDO'!B237</f>
        <v>3.9166666666666772</v>
      </c>
      <c r="C237" s="7">
        <v>30.7468</v>
      </c>
      <c r="D237" s="7">
        <v>32.457500000000003</v>
      </c>
      <c r="E237" s="7">
        <v>33.196599999999997</v>
      </c>
      <c r="F237" s="7">
        <v>29.604299999999999</v>
      </c>
    </row>
    <row r="238" spans="1:6" x14ac:dyDescent="0.3">
      <c r="A238" s="2">
        <f>+'CMG-PDO'!A238</f>
        <v>46053</v>
      </c>
      <c r="B238" s="8">
        <f>+'CMG-PDO'!B238</f>
        <v>3.9375000000000107</v>
      </c>
      <c r="C238" s="7">
        <v>25.080400000000001</v>
      </c>
      <c r="D238" s="7">
        <v>26.3689</v>
      </c>
      <c r="E238" s="7">
        <v>27.0747</v>
      </c>
      <c r="F238" s="7">
        <v>24.1694</v>
      </c>
    </row>
    <row r="239" spans="1:6" x14ac:dyDescent="0.3">
      <c r="A239" s="2">
        <f>+'CMG-PDO'!A239</f>
        <v>46053</v>
      </c>
      <c r="B239" s="8">
        <f>+'CMG-PDO'!B239</f>
        <v>3.9583333333333441</v>
      </c>
      <c r="C239" s="7">
        <v>25.017099999999999</v>
      </c>
      <c r="D239" s="7">
        <v>26.1767</v>
      </c>
      <c r="E239" s="7">
        <v>26.941800000000001</v>
      </c>
      <c r="F239" s="7">
        <v>24.100899999999999</v>
      </c>
    </row>
    <row r="240" spans="1:6" x14ac:dyDescent="0.3">
      <c r="A240" s="2">
        <f>+'CMG-PDO'!A240</f>
        <v>46053</v>
      </c>
      <c r="B240" s="8">
        <f>+'CMG-PDO'!B240</f>
        <v>3.9791666666666776</v>
      </c>
      <c r="C240" s="7">
        <v>24.332699999999999</v>
      </c>
      <c r="D240" s="7">
        <v>25.4208</v>
      </c>
      <c r="E240" s="7">
        <v>26.177800000000001</v>
      </c>
      <c r="F240" s="7">
        <v>23.423300000000001</v>
      </c>
    </row>
    <row r="241" spans="1:6" x14ac:dyDescent="0.3">
      <c r="A241" s="2">
        <f>+'CMG-PDO'!A241</f>
        <v>46053</v>
      </c>
      <c r="B241" s="8">
        <f>+'CMG-PDO'!B241</f>
        <v>4.0000000000000107</v>
      </c>
      <c r="C241" s="7">
        <v>23.815000000000001</v>
      </c>
      <c r="D241" s="7">
        <v>24.789100000000001</v>
      </c>
      <c r="E241" s="7">
        <v>25.587199999999999</v>
      </c>
      <c r="F241" s="7">
        <v>22.9237</v>
      </c>
    </row>
    <row r="242" spans="1:6" x14ac:dyDescent="0.3">
      <c r="A242" s="2">
        <f>+'CMG-PDO'!A242</f>
        <v>46054</v>
      </c>
      <c r="B242" s="8">
        <f>+'CMG-PDO'!B242</f>
        <v>4.0208333333333437</v>
      </c>
    </row>
    <row r="243" spans="1:6" x14ac:dyDescent="0.3">
      <c r="A243" s="2">
        <f>+'CMG-PDO'!A243</f>
        <v>46054</v>
      </c>
      <c r="B243" s="8">
        <f>+'CMG-PDO'!B243</f>
        <v>4.0416666666666767</v>
      </c>
    </row>
    <row r="244" spans="1:6" x14ac:dyDescent="0.3">
      <c r="A244" s="2">
        <f>+'CMG-PDO'!A244</f>
        <v>46054</v>
      </c>
      <c r="B244" s="8">
        <f>+'CMG-PDO'!B244</f>
        <v>4.0625000000000098</v>
      </c>
    </row>
    <row r="245" spans="1:6" x14ac:dyDescent="0.3">
      <c r="A245" s="2">
        <f>+'CMG-PDO'!A245</f>
        <v>46054</v>
      </c>
      <c r="B245" s="8">
        <f>+'CMG-PDO'!B245</f>
        <v>4.0833333333333428</v>
      </c>
    </row>
    <row r="246" spans="1:6" x14ac:dyDescent="0.3">
      <c r="A246" s="2">
        <f>+'CMG-PDO'!A246</f>
        <v>46054</v>
      </c>
      <c r="B246" s="8">
        <f>+'CMG-PDO'!B246</f>
        <v>4.1041666666666758</v>
      </c>
    </row>
    <row r="247" spans="1:6" x14ac:dyDescent="0.3">
      <c r="A247" s="2">
        <f>+'CMG-PDO'!A247</f>
        <v>46054</v>
      </c>
      <c r="B247" s="8">
        <f>+'CMG-PDO'!B247</f>
        <v>4.1250000000000089</v>
      </c>
    </row>
    <row r="248" spans="1:6" x14ac:dyDescent="0.3">
      <c r="A248" s="2">
        <f>+'CMG-PDO'!A248</f>
        <v>46054</v>
      </c>
      <c r="B248" s="8">
        <f>+'CMG-PDO'!B248</f>
        <v>4.1458333333333419</v>
      </c>
    </row>
    <row r="249" spans="1:6" x14ac:dyDescent="0.3">
      <c r="A249" s="2">
        <f>+'CMG-PDO'!A249</f>
        <v>46054</v>
      </c>
      <c r="B249" s="8">
        <f>+'CMG-PDO'!B249</f>
        <v>4.166666666666675</v>
      </c>
    </row>
    <row r="250" spans="1:6" x14ac:dyDescent="0.3">
      <c r="A250" s="2">
        <f>+'CMG-PDO'!A250</f>
        <v>46054</v>
      </c>
      <c r="B250" s="8">
        <f>+'CMG-PDO'!B250</f>
        <v>4.187500000000008</v>
      </c>
    </row>
    <row r="251" spans="1:6" x14ac:dyDescent="0.3">
      <c r="A251" s="2">
        <f>+'CMG-PDO'!A251</f>
        <v>46054</v>
      </c>
      <c r="B251" s="8">
        <f>+'CMG-PDO'!B251</f>
        <v>4.208333333333341</v>
      </c>
    </row>
    <row r="252" spans="1:6" x14ac:dyDescent="0.3">
      <c r="A252" s="2">
        <f>+'CMG-PDO'!A252</f>
        <v>46054</v>
      </c>
      <c r="B252" s="8">
        <f>+'CMG-PDO'!B252</f>
        <v>4.2291666666666741</v>
      </c>
    </row>
    <row r="253" spans="1:6" x14ac:dyDescent="0.3">
      <c r="A253" s="2">
        <f>+'CMG-PDO'!A253</f>
        <v>46054</v>
      </c>
      <c r="B253" s="8">
        <f>+'CMG-PDO'!B253</f>
        <v>4.2500000000000071</v>
      </c>
    </row>
    <row r="254" spans="1:6" x14ac:dyDescent="0.3">
      <c r="A254" s="2">
        <f>+'CMG-PDO'!A254</f>
        <v>46054</v>
      </c>
      <c r="B254" s="8">
        <f>+'CMG-PDO'!B254</f>
        <v>4.2708333333333401</v>
      </c>
    </row>
    <row r="255" spans="1:6" x14ac:dyDescent="0.3">
      <c r="A255" s="2">
        <f>+'CMG-PDO'!A255</f>
        <v>46054</v>
      </c>
      <c r="B255" s="8">
        <f>+'CMG-PDO'!B255</f>
        <v>4.2916666666666732</v>
      </c>
    </row>
    <row r="256" spans="1:6" x14ac:dyDescent="0.3">
      <c r="A256" s="2">
        <f>+'CMG-PDO'!A256</f>
        <v>46054</v>
      </c>
      <c r="B256" s="8">
        <f>+'CMG-PDO'!B256</f>
        <v>4.3125000000000062</v>
      </c>
    </row>
    <row r="257" spans="1:2" x14ac:dyDescent="0.3">
      <c r="A257" s="2">
        <f>+'CMG-PDO'!A257</f>
        <v>46054</v>
      </c>
      <c r="B257" s="8">
        <f>+'CMG-PDO'!B257</f>
        <v>4.3333333333333393</v>
      </c>
    </row>
    <row r="258" spans="1:2" x14ac:dyDescent="0.3">
      <c r="A258" s="2">
        <f>+'CMG-PDO'!A258</f>
        <v>46054</v>
      </c>
      <c r="B258" s="8">
        <f>+'CMG-PDO'!B258</f>
        <v>4.3541666666666723</v>
      </c>
    </row>
    <row r="259" spans="1:2" x14ac:dyDescent="0.3">
      <c r="A259" s="2">
        <f>+'CMG-PDO'!A259</f>
        <v>46054</v>
      </c>
      <c r="B259" s="8">
        <f>+'CMG-PDO'!B259</f>
        <v>4.3750000000000053</v>
      </c>
    </row>
    <row r="260" spans="1:2" x14ac:dyDescent="0.3">
      <c r="A260" s="2">
        <f>+'CMG-PDO'!A260</f>
        <v>46054</v>
      </c>
      <c r="B260" s="8">
        <f>+'CMG-PDO'!B260</f>
        <v>4.3958333333333384</v>
      </c>
    </row>
    <row r="261" spans="1:2" x14ac:dyDescent="0.3">
      <c r="A261" s="2">
        <f>+'CMG-PDO'!A261</f>
        <v>46054</v>
      </c>
      <c r="B261" s="8">
        <f>+'CMG-PDO'!B261</f>
        <v>4.4166666666666714</v>
      </c>
    </row>
    <row r="262" spans="1:2" x14ac:dyDescent="0.3">
      <c r="A262" s="2">
        <f>+'CMG-PDO'!A262</f>
        <v>46054</v>
      </c>
      <c r="B262" s="8">
        <f>+'CMG-PDO'!B262</f>
        <v>4.4375000000000044</v>
      </c>
    </row>
    <row r="263" spans="1:2" x14ac:dyDescent="0.3">
      <c r="A263" s="2">
        <f>+'CMG-PDO'!A263</f>
        <v>46054</v>
      </c>
      <c r="B263" s="8">
        <f>+'CMG-PDO'!B263</f>
        <v>4.4583333333333375</v>
      </c>
    </row>
    <row r="264" spans="1:2" x14ac:dyDescent="0.3">
      <c r="A264" s="2">
        <f>+'CMG-PDO'!A264</f>
        <v>46054</v>
      </c>
      <c r="B264" s="8">
        <f>+'CMG-PDO'!B264</f>
        <v>4.4791666666666705</v>
      </c>
    </row>
    <row r="265" spans="1:2" x14ac:dyDescent="0.3">
      <c r="A265" s="2">
        <f>+'CMG-PDO'!A265</f>
        <v>46054</v>
      </c>
      <c r="B265" s="8">
        <f>+'CMG-PDO'!B265</f>
        <v>4.5000000000000036</v>
      </c>
    </row>
    <row r="266" spans="1:2" x14ac:dyDescent="0.3">
      <c r="A266" s="2">
        <f>+'CMG-PDO'!A266</f>
        <v>46054</v>
      </c>
      <c r="B266" s="8">
        <f>+'CMG-PDO'!B266</f>
        <v>4.5208333333333366</v>
      </c>
    </row>
    <row r="267" spans="1:2" x14ac:dyDescent="0.3">
      <c r="A267" s="2">
        <f>+'CMG-PDO'!A267</f>
        <v>46054</v>
      </c>
      <c r="B267" s="8">
        <f>+'CMG-PDO'!B267</f>
        <v>4.5416666666666696</v>
      </c>
    </row>
    <row r="268" spans="1:2" x14ac:dyDescent="0.3">
      <c r="A268" s="2">
        <f>+'CMG-PDO'!A268</f>
        <v>46054</v>
      </c>
      <c r="B268" s="8">
        <f>+'CMG-PDO'!B268</f>
        <v>4.5625000000000027</v>
      </c>
    </row>
    <row r="269" spans="1:2" x14ac:dyDescent="0.3">
      <c r="A269" s="2">
        <f>+'CMG-PDO'!A269</f>
        <v>46054</v>
      </c>
      <c r="B269" s="8">
        <f>+'CMG-PDO'!B269</f>
        <v>4.5833333333333357</v>
      </c>
    </row>
    <row r="270" spans="1:2" x14ac:dyDescent="0.3">
      <c r="A270" s="2">
        <f>+'CMG-PDO'!A270</f>
        <v>46054</v>
      </c>
      <c r="B270" s="8">
        <f>+'CMG-PDO'!B270</f>
        <v>4.6041666666666687</v>
      </c>
    </row>
    <row r="271" spans="1:2" x14ac:dyDescent="0.3">
      <c r="A271" s="2">
        <f>+'CMG-PDO'!A271</f>
        <v>46054</v>
      </c>
      <c r="B271" s="8">
        <f>+'CMG-PDO'!B271</f>
        <v>4.6250000000000018</v>
      </c>
    </row>
    <row r="272" spans="1:2" x14ac:dyDescent="0.3">
      <c r="A272" s="2">
        <f>+'CMG-PDO'!A272</f>
        <v>46054</v>
      </c>
      <c r="B272" s="8">
        <f>+'CMG-PDO'!B272</f>
        <v>4.6458333333333348</v>
      </c>
    </row>
    <row r="273" spans="1:2" x14ac:dyDescent="0.3">
      <c r="A273" s="2">
        <f>+'CMG-PDO'!A273</f>
        <v>46054</v>
      </c>
      <c r="B273" s="8">
        <f>+'CMG-PDO'!B273</f>
        <v>4.6666666666666679</v>
      </c>
    </row>
    <row r="274" spans="1:2" x14ac:dyDescent="0.3">
      <c r="A274" s="2">
        <f>+'CMG-PDO'!A274</f>
        <v>46054</v>
      </c>
      <c r="B274" s="8">
        <f>+'CMG-PDO'!B274</f>
        <v>4.6875000000000009</v>
      </c>
    </row>
    <row r="275" spans="1:2" x14ac:dyDescent="0.3">
      <c r="A275" s="2">
        <f>+'CMG-PDO'!A275</f>
        <v>46054</v>
      </c>
      <c r="B275" s="8">
        <f>+'CMG-PDO'!B275</f>
        <v>4.7083333333333339</v>
      </c>
    </row>
    <row r="276" spans="1:2" x14ac:dyDescent="0.3">
      <c r="A276" s="2">
        <f>+'CMG-PDO'!A276</f>
        <v>46054</v>
      </c>
      <c r="B276" s="8">
        <f>+'CMG-PDO'!B276</f>
        <v>4.729166666666667</v>
      </c>
    </row>
    <row r="277" spans="1:2" x14ac:dyDescent="0.3">
      <c r="A277" s="2">
        <f>+'CMG-PDO'!A277</f>
        <v>46054</v>
      </c>
      <c r="B277" s="8">
        <f>+'CMG-PDO'!B277</f>
        <v>4.75</v>
      </c>
    </row>
    <row r="278" spans="1:2" x14ac:dyDescent="0.3">
      <c r="A278" s="2">
        <f>+'CMG-PDO'!A278</f>
        <v>46054</v>
      </c>
      <c r="B278" s="8">
        <f>+'CMG-PDO'!B278</f>
        <v>4.770833333333333</v>
      </c>
    </row>
    <row r="279" spans="1:2" x14ac:dyDescent="0.3">
      <c r="A279" s="2">
        <f>+'CMG-PDO'!A279</f>
        <v>46054</v>
      </c>
      <c r="B279" s="8">
        <f>+'CMG-PDO'!B279</f>
        <v>4.7916666666666661</v>
      </c>
    </row>
    <row r="280" spans="1:2" x14ac:dyDescent="0.3">
      <c r="A280" s="2">
        <f>+'CMG-PDO'!A280</f>
        <v>46054</v>
      </c>
      <c r="B280" s="8">
        <f>+'CMG-PDO'!B280</f>
        <v>4.8124999999999991</v>
      </c>
    </row>
    <row r="281" spans="1:2" x14ac:dyDescent="0.3">
      <c r="A281" s="2">
        <f>+'CMG-PDO'!A281</f>
        <v>46054</v>
      </c>
      <c r="B281" s="8">
        <f>+'CMG-PDO'!B281</f>
        <v>4.8333333333333321</v>
      </c>
    </row>
    <row r="282" spans="1:2" x14ac:dyDescent="0.3">
      <c r="A282" s="2">
        <f>+'CMG-PDO'!A282</f>
        <v>46054</v>
      </c>
      <c r="B282" s="8">
        <f>+'CMG-PDO'!B282</f>
        <v>4.8541666666666652</v>
      </c>
    </row>
    <row r="283" spans="1:2" x14ac:dyDescent="0.3">
      <c r="A283" s="2">
        <f>+'CMG-PDO'!A283</f>
        <v>46054</v>
      </c>
      <c r="B283" s="8">
        <f>+'CMG-PDO'!B283</f>
        <v>4.8749999999999982</v>
      </c>
    </row>
    <row r="284" spans="1:2" x14ac:dyDescent="0.3">
      <c r="A284" s="2">
        <f>+'CMG-PDO'!A284</f>
        <v>46054</v>
      </c>
      <c r="B284" s="8">
        <f>+'CMG-PDO'!B284</f>
        <v>4.8958333333333313</v>
      </c>
    </row>
    <row r="285" spans="1:2" x14ac:dyDescent="0.3">
      <c r="A285" s="2">
        <f>+'CMG-PDO'!A285</f>
        <v>46054</v>
      </c>
      <c r="B285" s="8">
        <f>+'CMG-PDO'!B285</f>
        <v>4.9166666666666643</v>
      </c>
    </row>
    <row r="286" spans="1:2" x14ac:dyDescent="0.3">
      <c r="A286" s="2">
        <f>+'CMG-PDO'!A286</f>
        <v>46054</v>
      </c>
      <c r="B286" s="8">
        <f>+'CMG-PDO'!B286</f>
        <v>4.9374999999999973</v>
      </c>
    </row>
    <row r="287" spans="1:2" x14ac:dyDescent="0.3">
      <c r="A287" s="2">
        <f>+'CMG-PDO'!A287</f>
        <v>46054</v>
      </c>
      <c r="B287" s="8">
        <f>+'CMG-PDO'!B287</f>
        <v>4.9583333333333304</v>
      </c>
    </row>
    <row r="288" spans="1:2" x14ac:dyDescent="0.3">
      <c r="A288" s="2">
        <f>+'CMG-PDO'!A288</f>
        <v>46054</v>
      </c>
      <c r="B288" s="8">
        <f>+'CMG-PDO'!B288</f>
        <v>4.9791666666666634</v>
      </c>
    </row>
    <row r="289" spans="1:2" x14ac:dyDescent="0.3">
      <c r="A289" s="2">
        <f>+'CMG-PDO'!A289</f>
        <v>46054</v>
      </c>
      <c r="B289" s="8">
        <f>+'CMG-PDO'!B289</f>
        <v>4.9999999999999964</v>
      </c>
    </row>
    <row r="290" spans="1:2" x14ac:dyDescent="0.3">
      <c r="A290" s="2">
        <f>+'CMG-PDO'!A290</f>
        <v>46055</v>
      </c>
      <c r="B290" s="8">
        <f>+'CMG-PDO'!B290</f>
        <v>5.0208333333333295</v>
      </c>
    </row>
    <row r="291" spans="1:2" x14ac:dyDescent="0.3">
      <c r="A291" s="2">
        <f>+'CMG-PDO'!A291</f>
        <v>46055</v>
      </c>
      <c r="B291" s="8">
        <f>+'CMG-PDO'!B291</f>
        <v>5.0416666666666625</v>
      </c>
    </row>
    <row r="292" spans="1:2" x14ac:dyDescent="0.3">
      <c r="A292" s="2">
        <f>+'CMG-PDO'!A292</f>
        <v>46055</v>
      </c>
      <c r="B292" s="8">
        <f>+'CMG-PDO'!B292</f>
        <v>5.0624999999999956</v>
      </c>
    </row>
    <row r="293" spans="1:2" x14ac:dyDescent="0.3">
      <c r="A293" s="2">
        <f>+'CMG-PDO'!A293</f>
        <v>46055</v>
      </c>
      <c r="B293" s="8">
        <f>+'CMG-PDO'!B293</f>
        <v>5.0833333333333286</v>
      </c>
    </row>
    <row r="294" spans="1:2" x14ac:dyDescent="0.3">
      <c r="A294" s="2">
        <f>+'CMG-PDO'!A294</f>
        <v>46055</v>
      </c>
      <c r="B294" s="8">
        <f>+'CMG-PDO'!B294</f>
        <v>5.1041666666666616</v>
      </c>
    </row>
    <row r="295" spans="1:2" x14ac:dyDescent="0.3">
      <c r="A295" s="2">
        <f>+'CMG-PDO'!A295</f>
        <v>46055</v>
      </c>
      <c r="B295" s="8">
        <f>+'CMG-PDO'!B295</f>
        <v>5.1249999999999947</v>
      </c>
    </row>
    <row r="296" spans="1:2" x14ac:dyDescent="0.3">
      <c r="A296" s="2">
        <f>+'CMG-PDO'!A296</f>
        <v>46055</v>
      </c>
      <c r="B296" s="8">
        <f>+'CMG-PDO'!B296</f>
        <v>5.1458333333333277</v>
      </c>
    </row>
    <row r="297" spans="1:2" x14ac:dyDescent="0.3">
      <c r="A297" s="2">
        <f>+'CMG-PDO'!A297</f>
        <v>46055</v>
      </c>
      <c r="B297" s="8">
        <f>+'CMG-PDO'!B297</f>
        <v>5.1666666666666607</v>
      </c>
    </row>
    <row r="298" spans="1:2" x14ac:dyDescent="0.3">
      <c r="A298" s="2">
        <f>+'CMG-PDO'!A298</f>
        <v>46055</v>
      </c>
      <c r="B298" s="8">
        <f>+'CMG-PDO'!B298</f>
        <v>5.1874999999999938</v>
      </c>
    </row>
    <row r="299" spans="1:2" x14ac:dyDescent="0.3">
      <c r="A299" s="2">
        <f>+'CMG-PDO'!A299</f>
        <v>46055</v>
      </c>
      <c r="B299" s="8">
        <f>+'CMG-PDO'!B299</f>
        <v>5.2083333333333268</v>
      </c>
    </row>
    <row r="300" spans="1:2" x14ac:dyDescent="0.3">
      <c r="A300" s="2">
        <f>+'CMG-PDO'!A300</f>
        <v>46055</v>
      </c>
      <c r="B300" s="8">
        <f>+'CMG-PDO'!B300</f>
        <v>5.2291666666666599</v>
      </c>
    </row>
    <row r="301" spans="1:2" x14ac:dyDescent="0.3">
      <c r="A301" s="2">
        <f>+'CMG-PDO'!A301</f>
        <v>46055</v>
      </c>
      <c r="B301" s="8">
        <f>+'CMG-PDO'!B301</f>
        <v>5.2499999999999929</v>
      </c>
    </row>
    <row r="302" spans="1:2" x14ac:dyDescent="0.3">
      <c r="A302" s="2">
        <f>+'CMG-PDO'!A302</f>
        <v>46055</v>
      </c>
      <c r="B302" s="8">
        <f>+'CMG-PDO'!B302</f>
        <v>5.2708333333333259</v>
      </c>
    </row>
    <row r="303" spans="1:2" x14ac:dyDescent="0.3">
      <c r="A303" s="2">
        <f>+'CMG-PDO'!A303</f>
        <v>46055</v>
      </c>
      <c r="B303" s="8">
        <f>+'CMG-PDO'!B303</f>
        <v>5.291666666666659</v>
      </c>
    </row>
    <row r="304" spans="1:2" x14ac:dyDescent="0.3">
      <c r="A304" s="2">
        <f>+'CMG-PDO'!A304</f>
        <v>46055</v>
      </c>
      <c r="B304" s="8">
        <f>+'CMG-PDO'!B304</f>
        <v>5.312499999999992</v>
      </c>
    </row>
    <row r="305" spans="1:2" x14ac:dyDescent="0.3">
      <c r="A305" s="2">
        <f>+'CMG-PDO'!A305</f>
        <v>46055</v>
      </c>
      <c r="B305" s="8">
        <f>+'CMG-PDO'!B305</f>
        <v>5.333333333333325</v>
      </c>
    </row>
    <row r="306" spans="1:2" x14ac:dyDescent="0.3">
      <c r="A306" s="2">
        <f>+'CMG-PDO'!A306</f>
        <v>46055</v>
      </c>
      <c r="B306" s="8">
        <f>+'CMG-PDO'!B306</f>
        <v>5.3541666666666581</v>
      </c>
    </row>
    <row r="307" spans="1:2" x14ac:dyDescent="0.3">
      <c r="A307" s="2">
        <f>+'CMG-PDO'!A307</f>
        <v>46055</v>
      </c>
      <c r="B307" s="8">
        <f>+'CMG-PDO'!B307</f>
        <v>5.3749999999999911</v>
      </c>
    </row>
    <row r="308" spans="1:2" x14ac:dyDescent="0.3">
      <c r="A308" s="2">
        <f>+'CMG-PDO'!A308</f>
        <v>46055</v>
      </c>
      <c r="B308" s="8">
        <f>+'CMG-PDO'!B308</f>
        <v>5.3958333333333242</v>
      </c>
    </row>
    <row r="309" spans="1:2" x14ac:dyDescent="0.3">
      <c r="A309" s="2">
        <f>+'CMG-PDO'!A309</f>
        <v>46055</v>
      </c>
      <c r="B309" s="8">
        <f>+'CMG-PDO'!B309</f>
        <v>5.4166666666666572</v>
      </c>
    </row>
    <row r="310" spans="1:2" x14ac:dyDescent="0.3">
      <c r="A310" s="2">
        <f>+'CMG-PDO'!A310</f>
        <v>46055</v>
      </c>
      <c r="B310" s="8">
        <f>+'CMG-PDO'!B310</f>
        <v>5.4374999999999902</v>
      </c>
    </row>
    <row r="311" spans="1:2" x14ac:dyDescent="0.3">
      <c r="A311" s="2">
        <f>+'CMG-PDO'!A311</f>
        <v>46055</v>
      </c>
      <c r="B311" s="8">
        <f>+'CMG-PDO'!B311</f>
        <v>5.4583333333333233</v>
      </c>
    </row>
    <row r="312" spans="1:2" x14ac:dyDescent="0.3">
      <c r="A312" s="2">
        <f>+'CMG-PDO'!A312</f>
        <v>46055</v>
      </c>
      <c r="B312" s="8">
        <f>+'CMG-PDO'!B312</f>
        <v>5.4791666666666563</v>
      </c>
    </row>
    <row r="313" spans="1:2" x14ac:dyDescent="0.3">
      <c r="A313" s="2">
        <f>+'CMG-PDO'!A313</f>
        <v>46055</v>
      </c>
      <c r="B313" s="8">
        <f>+'CMG-PDO'!B313</f>
        <v>5.4999999999999893</v>
      </c>
    </row>
    <row r="314" spans="1:2" x14ac:dyDescent="0.3">
      <c r="A314" s="2">
        <f>+'CMG-PDO'!A314</f>
        <v>46055</v>
      </c>
      <c r="B314" s="8">
        <f>+'CMG-PDO'!B314</f>
        <v>5.5208333333333224</v>
      </c>
    </row>
    <row r="315" spans="1:2" x14ac:dyDescent="0.3">
      <c r="A315" s="2">
        <f>+'CMG-PDO'!A315</f>
        <v>46055</v>
      </c>
      <c r="B315" s="8">
        <f>+'CMG-PDO'!B315</f>
        <v>5.5416666666666554</v>
      </c>
    </row>
    <row r="316" spans="1:2" x14ac:dyDescent="0.3">
      <c r="A316" s="2">
        <f>+'CMG-PDO'!A316</f>
        <v>46055</v>
      </c>
      <c r="B316" s="8">
        <f>+'CMG-PDO'!B316</f>
        <v>5.5624999999999885</v>
      </c>
    </row>
    <row r="317" spans="1:2" x14ac:dyDescent="0.3">
      <c r="A317" s="2">
        <f>+'CMG-PDO'!A317</f>
        <v>46055</v>
      </c>
      <c r="B317" s="8">
        <f>+'CMG-PDO'!B317</f>
        <v>5.5833333333333215</v>
      </c>
    </row>
    <row r="318" spans="1:2" x14ac:dyDescent="0.3">
      <c r="A318" s="2">
        <f>+'CMG-PDO'!A318</f>
        <v>46055</v>
      </c>
      <c r="B318" s="8">
        <f>+'CMG-PDO'!B318</f>
        <v>5.6041666666666545</v>
      </c>
    </row>
    <row r="319" spans="1:2" x14ac:dyDescent="0.3">
      <c r="A319" s="2">
        <f>+'CMG-PDO'!A319</f>
        <v>46055</v>
      </c>
      <c r="B319" s="8">
        <f>+'CMG-PDO'!B319</f>
        <v>5.6249999999999876</v>
      </c>
    </row>
    <row r="320" spans="1:2" x14ac:dyDescent="0.3">
      <c r="A320" s="2">
        <f>+'CMG-PDO'!A320</f>
        <v>46055</v>
      </c>
      <c r="B320" s="8">
        <f>+'CMG-PDO'!B320</f>
        <v>5.6458333333333206</v>
      </c>
    </row>
    <row r="321" spans="1:2" x14ac:dyDescent="0.3">
      <c r="A321" s="2">
        <f>+'CMG-PDO'!A321</f>
        <v>46055</v>
      </c>
      <c r="B321" s="8">
        <f>+'CMG-PDO'!B321</f>
        <v>5.6666666666666536</v>
      </c>
    </row>
    <row r="322" spans="1:2" x14ac:dyDescent="0.3">
      <c r="A322" s="2">
        <f>+'CMG-PDO'!A322</f>
        <v>46055</v>
      </c>
      <c r="B322" s="8">
        <f>+'CMG-PDO'!B322</f>
        <v>5.6874999999999867</v>
      </c>
    </row>
    <row r="323" spans="1:2" x14ac:dyDescent="0.3">
      <c r="A323" s="2">
        <f>+'CMG-PDO'!A323</f>
        <v>46055</v>
      </c>
      <c r="B323" s="8">
        <f>+'CMG-PDO'!B323</f>
        <v>5.7083333333333197</v>
      </c>
    </row>
    <row r="324" spans="1:2" x14ac:dyDescent="0.3">
      <c r="A324" s="2">
        <f>+'CMG-PDO'!A324</f>
        <v>46055</v>
      </c>
      <c r="B324" s="8">
        <f>+'CMG-PDO'!B324</f>
        <v>5.7291666666666528</v>
      </c>
    </row>
    <row r="325" spans="1:2" x14ac:dyDescent="0.3">
      <c r="A325" s="2">
        <f>+'CMG-PDO'!A325</f>
        <v>46055</v>
      </c>
      <c r="B325" s="8">
        <f>+'CMG-PDO'!B325</f>
        <v>5.7499999999999858</v>
      </c>
    </row>
    <row r="326" spans="1:2" x14ac:dyDescent="0.3">
      <c r="A326" s="2">
        <f>+'CMG-PDO'!A326</f>
        <v>46055</v>
      </c>
      <c r="B326" s="8">
        <f>+'CMG-PDO'!B326</f>
        <v>5.7708333333333188</v>
      </c>
    </row>
    <row r="327" spans="1:2" x14ac:dyDescent="0.3">
      <c r="A327" s="2">
        <f>+'CMG-PDO'!A327</f>
        <v>46055</v>
      </c>
      <c r="B327" s="8">
        <f>+'CMG-PDO'!B327</f>
        <v>5.7916666666666519</v>
      </c>
    </row>
    <row r="328" spans="1:2" x14ac:dyDescent="0.3">
      <c r="A328" s="2">
        <f>+'CMG-PDO'!A328</f>
        <v>46055</v>
      </c>
      <c r="B328" s="8">
        <f>+'CMG-PDO'!B328</f>
        <v>5.8124999999999849</v>
      </c>
    </row>
    <row r="329" spans="1:2" x14ac:dyDescent="0.3">
      <c r="A329" s="2">
        <f>+'CMG-PDO'!A329</f>
        <v>46055</v>
      </c>
      <c r="B329" s="8">
        <f>+'CMG-PDO'!B329</f>
        <v>5.8333333333333179</v>
      </c>
    </row>
    <row r="330" spans="1:2" x14ac:dyDescent="0.3">
      <c r="A330" s="2">
        <f>+'CMG-PDO'!A330</f>
        <v>46055</v>
      </c>
      <c r="B330" s="8">
        <f>+'CMG-PDO'!B330</f>
        <v>5.854166666666651</v>
      </c>
    </row>
    <row r="331" spans="1:2" x14ac:dyDescent="0.3">
      <c r="A331" s="2">
        <f>+'CMG-PDO'!A331</f>
        <v>46055</v>
      </c>
      <c r="B331" s="8">
        <f>+'CMG-PDO'!B331</f>
        <v>5.874999999999984</v>
      </c>
    </row>
    <row r="332" spans="1:2" x14ac:dyDescent="0.3">
      <c r="A332" s="2">
        <f>+'CMG-PDO'!A332</f>
        <v>46055</v>
      </c>
      <c r="B332" s="8">
        <f>+'CMG-PDO'!B332</f>
        <v>5.8958333333333171</v>
      </c>
    </row>
    <row r="333" spans="1:2" x14ac:dyDescent="0.3">
      <c r="A333" s="2">
        <f>+'CMG-PDO'!A333</f>
        <v>46055</v>
      </c>
      <c r="B333" s="8">
        <f>+'CMG-PDO'!B333</f>
        <v>5.9166666666666501</v>
      </c>
    </row>
    <row r="334" spans="1:2" x14ac:dyDescent="0.3">
      <c r="A334" s="2">
        <f>+'CMG-PDO'!A334</f>
        <v>46055</v>
      </c>
      <c r="B334" s="8">
        <f>+'CMG-PDO'!B334</f>
        <v>5.9374999999999831</v>
      </c>
    </row>
    <row r="335" spans="1:2" x14ac:dyDescent="0.3">
      <c r="A335" s="2">
        <f>+'CMG-PDO'!A335</f>
        <v>46055</v>
      </c>
      <c r="B335" s="8">
        <f>+'CMG-PDO'!B335</f>
        <v>5.9583333333333162</v>
      </c>
    </row>
    <row r="336" spans="1:2" x14ac:dyDescent="0.3">
      <c r="A336" s="2">
        <f>+'CMG-PDO'!A336</f>
        <v>46055</v>
      </c>
      <c r="B336" s="8">
        <f>+'CMG-PDO'!B336</f>
        <v>5.9791666666666492</v>
      </c>
    </row>
    <row r="337" spans="1:6" x14ac:dyDescent="0.3">
      <c r="A337" s="2">
        <f>+'CMG-PDO'!A337</f>
        <v>46055</v>
      </c>
      <c r="B337" s="8">
        <f>+'CMG-PDO'!B337</f>
        <v>5.9999999999999822</v>
      </c>
    </row>
    <row r="338" spans="1:6" x14ac:dyDescent="0.3">
      <c r="A338" s="2">
        <f>+'CMG-PDO'!A338</f>
        <v>46056</v>
      </c>
      <c r="B338" s="8">
        <f>+'CMG-PDO'!B338</f>
        <v>6.0208333333333153</v>
      </c>
      <c r="C338" s="5">
        <v>25.052499999999998</v>
      </c>
      <c r="D338" s="5">
        <v>25.928699999999999</v>
      </c>
      <c r="E338" s="5">
        <v>26.732500000000002</v>
      </c>
      <c r="F338" s="5">
        <v>24.055099999999999</v>
      </c>
    </row>
    <row r="339" spans="1:6" x14ac:dyDescent="0.3">
      <c r="A339" s="2">
        <f>+'CMG-PDO'!A339</f>
        <v>46056</v>
      </c>
      <c r="B339" s="8">
        <f>+'CMG-PDO'!B339</f>
        <v>6.0416666666666483</v>
      </c>
      <c r="C339" s="5">
        <v>25.0243</v>
      </c>
      <c r="D339" s="5">
        <v>25.840199999999999</v>
      </c>
      <c r="E339" s="5">
        <v>26.689599999999999</v>
      </c>
      <c r="F339" s="5">
        <v>24.027699999999999</v>
      </c>
    </row>
    <row r="340" spans="1:6" x14ac:dyDescent="0.3">
      <c r="A340" s="2">
        <f>+'CMG-PDO'!A340</f>
        <v>46056</v>
      </c>
      <c r="B340" s="8">
        <f>+'CMG-PDO'!B340</f>
        <v>6.0624999999999813</v>
      </c>
      <c r="C340" s="5">
        <v>24.957100000000001</v>
      </c>
      <c r="D340" s="5">
        <v>25.709099999999999</v>
      </c>
      <c r="E340" s="5">
        <v>26.6006</v>
      </c>
      <c r="F340" s="5">
        <v>23.962399999999999</v>
      </c>
    </row>
    <row r="341" spans="1:6" x14ac:dyDescent="0.3">
      <c r="A341" s="2">
        <f>+'CMG-PDO'!A341</f>
        <v>46056</v>
      </c>
      <c r="B341" s="8">
        <f>+'CMG-PDO'!B341</f>
        <v>6.0833333333333144</v>
      </c>
      <c r="C341" s="5">
        <v>24.7698</v>
      </c>
      <c r="D341" s="5">
        <v>25.4831</v>
      </c>
      <c r="E341" s="5">
        <v>26.371500000000001</v>
      </c>
      <c r="F341" s="5">
        <v>23.765799999999999</v>
      </c>
    </row>
    <row r="342" spans="1:6" x14ac:dyDescent="0.3">
      <c r="A342" s="2">
        <f>+'CMG-PDO'!A342</f>
        <v>46056</v>
      </c>
      <c r="B342" s="8">
        <f>+'CMG-PDO'!B342</f>
        <v>6.1041666666666474</v>
      </c>
      <c r="C342" s="5">
        <v>24.760200000000001</v>
      </c>
      <c r="D342" s="5">
        <v>25.453299999999999</v>
      </c>
      <c r="E342" s="5">
        <v>26.343599999999999</v>
      </c>
      <c r="F342" s="5">
        <v>23.7514</v>
      </c>
    </row>
    <row r="343" spans="1:6" x14ac:dyDescent="0.3">
      <c r="A343" s="2">
        <f>+'CMG-PDO'!A343</f>
        <v>46056</v>
      </c>
      <c r="B343" s="8">
        <f>+'CMG-PDO'!B343</f>
        <v>6.1249999999999805</v>
      </c>
      <c r="C343" s="5">
        <v>24.7347</v>
      </c>
      <c r="D343" s="5">
        <v>25.4026</v>
      </c>
      <c r="E343" s="5">
        <v>26.335100000000001</v>
      </c>
      <c r="F343" s="5">
        <v>23.729099999999999</v>
      </c>
    </row>
    <row r="344" spans="1:6" x14ac:dyDescent="0.3">
      <c r="A344" s="2">
        <f>+'CMG-PDO'!A344</f>
        <v>46056</v>
      </c>
      <c r="B344" s="8">
        <f>+'CMG-PDO'!B344</f>
        <v>6.1458333333333135</v>
      </c>
      <c r="C344" s="5">
        <v>24.7072</v>
      </c>
      <c r="D344" s="5">
        <v>25.367599999999999</v>
      </c>
      <c r="E344" s="5">
        <v>26.2835</v>
      </c>
      <c r="F344" s="5">
        <v>23.698399999999999</v>
      </c>
    </row>
    <row r="345" spans="1:6" x14ac:dyDescent="0.3">
      <c r="A345" s="2">
        <f>+'CMG-PDO'!A345</f>
        <v>46056</v>
      </c>
      <c r="B345" s="8">
        <f>+'CMG-PDO'!B345</f>
        <v>6.1666666666666465</v>
      </c>
      <c r="C345" s="5">
        <v>24.702500000000001</v>
      </c>
      <c r="D345" s="5">
        <v>25.354399999999998</v>
      </c>
      <c r="E345" s="5">
        <v>26.284199999999998</v>
      </c>
      <c r="F345" s="5">
        <v>23.693000000000001</v>
      </c>
    </row>
    <row r="346" spans="1:6" x14ac:dyDescent="0.3">
      <c r="A346" s="2">
        <f>+'CMG-PDO'!A346</f>
        <v>46056</v>
      </c>
      <c r="B346" s="8">
        <f>+'CMG-PDO'!B346</f>
        <v>6.1874999999999796</v>
      </c>
      <c r="C346" s="5">
        <v>24.727399999999999</v>
      </c>
      <c r="D346" s="5">
        <v>25.393899999999999</v>
      </c>
      <c r="E346" s="5">
        <v>26.373200000000001</v>
      </c>
      <c r="F346" s="5">
        <v>23.7273</v>
      </c>
    </row>
    <row r="347" spans="1:6" x14ac:dyDescent="0.3">
      <c r="A347" s="2">
        <f>+'CMG-PDO'!A347</f>
        <v>46056</v>
      </c>
      <c r="B347" s="8">
        <f>+'CMG-PDO'!B347</f>
        <v>6.2083333333333126</v>
      </c>
      <c r="C347" s="5">
        <v>24.7514</v>
      </c>
      <c r="D347" s="5">
        <v>25.427900000000001</v>
      </c>
      <c r="E347" s="5">
        <v>26.392600000000002</v>
      </c>
      <c r="F347" s="5">
        <v>23.747</v>
      </c>
    </row>
    <row r="348" spans="1:6" x14ac:dyDescent="0.3">
      <c r="A348" s="2">
        <f>+'CMG-PDO'!A348</f>
        <v>46056</v>
      </c>
      <c r="B348" s="8">
        <f>+'CMG-PDO'!B348</f>
        <v>6.2291666666666456</v>
      </c>
      <c r="C348" s="5">
        <v>24.794499999999999</v>
      </c>
      <c r="D348" s="5">
        <v>25.5139</v>
      </c>
      <c r="E348" s="5">
        <v>26.4239</v>
      </c>
      <c r="F348" s="5">
        <v>23.791399999999999</v>
      </c>
    </row>
    <row r="349" spans="1:6" x14ac:dyDescent="0.3">
      <c r="A349" s="2">
        <f>+'CMG-PDO'!A349</f>
        <v>46056</v>
      </c>
      <c r="B349" s="8">
        <f>+'CMG-PDO'!B349</f>
        <v>6.2499999999999787</v>
      </c>
      <c r="C349" s="5">
        <v>24.7776</v>
      </c>
      <c r="D349" s="5">
        <v>25.526800000000001</v>
      </c>
      <c r="E349" s="5">
        <v>26.241299999999999</v>
      </c>
      <c r="F349" s="5">
        <v>23.732700000000001</v>
      </c>
    </row>
    <row r="350" spans="1:6" x14ac:dyDescent="0.3">
      <c r="A350" s="2">
        <f>+'CMG-PDO'!A350</f>
        <v>46056</v>
      </c>
      <c r="B350" s="8">
        <f>+'CMG-PDO'!B350</f>
        <v>6.2708333333333117</v>
      </c>
      <c r="C350" s="5">
        <v>23.880400000000002</v>
      </c>
      <c r="D350" s="5">
        <v>24.604800000000001</v>
      </c>
      <c r="E350" s="5">
        <v>24.921800000000001</v>
      </c>
      <c r="F350" s="5">
        <v>22.776900000000001</v>
      </c>
    </row>
    <row r="351" spans="1:6" x14ac:dyDescent="0.3">
      <c r="A351" s="2">
        <f>+'CMG-PDO'!A351</f>
        <v>46056</v>
      </c>
      <c r="B351" s="8">
        <f>+'CMG-PDO'!B351</f>
        <v>6.2916666666666448</v>
      </c>
      <c r="C351" s="5">
        <v>23.892600000000002</v>
      </c>
      <c r="D351" s="5">
        <v>24.646000000000001</v>
      </c>
      <c r="E351" s="5">
        <v>24.465299999999999</v>
      </c>
      <c r="F351" s="5">
        <v>22.685099999999998</v>
      </c>
    </row>
    <row r="352" spans="1:6" x14ac:dyDescent="0.3">
      <c r="A352" s="2">
        <f>+'CMG-PDO'!A352</f>
        <v>46056</v>
      </c>
      <c r="B352" s="8">
        <f>+'CMG-PDO'!B352</f>
        <v>6.3124999999999778</v>
      </c>
      <c r="C352" s="5">
        <v>23.938099999999999</v>
      </c>
      <c r="D352" s="5">
        <v>24.702400000000001</v>
      </c>
      <c r="E352" s="5">
        <v>24.1694</v>
      </c>
      <c r="F352" s="5">
        <v>22.656099999999999</v>
      </c>
    </row>
    <row r="353" spans="1:6" x14ac:dyDescent="0.3">
      <c r="A353" s="2">
        <f>+'CMG-PDO'!A353</f>
        <v>46056</v>
      </c>
      <c r="B353" s="8">
        <f>+'CMG-PDO'!B353</f>
        <v>6.3333333333333108</v>
      </c>
      <c r="C353" s="5">
        <v>24.796399999999998</v>
      </c>
      <c r="D353" s="5">
        <v>25.669</v>
      </c>
      <c r="E353" s="5">
        <v>24.842500000000001</v>
      </c>
      <c r="F353" s="5">
        <v>23.421299999999999</v>
      </c>
    </row>
    <row r="354" spans="1:6" x14ac:dyDescent="0.3">
      <c r="A354" s="2">
        <f>+'CMG-PDO'!A354</f>
        <v>46056</v>
      </c>
      <c r="B354" s="8">
        <f>+'CMG-PDO'!B354</f>
        <v>6.3541666666666439</v>
      </c>
      <c r="C354" s="5">
        <v>25.172799999999999</v>
      </c>
      <c r="D354" s="5">
        <v>26.215900000000001</v>
      </c>
      <c r="E354" s="5">
        <v>25.289200000000001</v>
      </c>
      <c r="F354" s="5">
        <v>23.805099999999999</v>
      </c>
    </row>
    <row r="355" spans="1:6" x14ac:dyDescent="0.3">
      <c r="A355" s="2">
        <f>+'CMG-PDO'!A355</f>
        <v>46056</v>
      </c>
      <c r="B355" s="8">
        <f>+'CMG-PDO'!B355</f>
        <v>6.3749999999999769</v>
      </c>
      <c r="C355" s="5">
        <v>25.254999999999999</v>
      </c>
      <c r="D355" s="5">
        <v>26.3857</v>
      </c>
      <c r="E355" s="5">
        <v>25.341799999999999</v>
      </c>
      <c r="F355" s="5">
        <v>23.873100000000001</v>
      </c>
    </row>
    <row r="356" spans="1:6" x14ac:dyDescent="0.3">
      <c r="A356" s="2">
        <f>+'CMG-PDO'!A356</f>
        <v>46056</v>
      </c>
      <c r="B356" s="8">
        <f>+'CMG-PDO'!B356</f>
        <v>6.3958333333333099</v>
      </c>
      <c r="C356" s="5">
        <v>25.297799999999999</v>
      </c>
      <c r="D356" s="5">
        <v>26.495899999999999</v>
      </c>
      <c r="E356" s="5">
        <v>25.2881</v>
      </c>
      <c r="F356" s="5">
        <v>23.898</v>
      </c>
    </row>
    <row r="357" spans="1:6" x14ac:dyDescent="0.3">
      <c r="A357" s="2">
        <f>+'CMG-PDO'!A357</f>
        <v>46056</v>
      </c>
      <c r="B357" s="8">
        <f>+'CMG-PDO'!B357</f>
        <v>6.416666666666643</v>
      </c>
      <c r="C357" s="5">
        <v>27.834099999999999</v>
      </c>
      <c r="D357" s="5">
        <v>29.197299999999998</v>
      </c>
      <c r="E357" s="5">
        <v>27.816099999999999</v>
      </c>
      <c r="F357" s="5">
        <v>26.2729</v>
      </c>
    </row>
    <row r="358" spans="1:6" x14ac:dyDescent="0.3">
      <c r="A358" s="2">
        <f>+'CMG-PDO'!A358</f>
        <v>46056</v>
      </c>
      <c r="B358" s="8">
        <f>+'CMG-PDO'!B358</f>
        <v>6.437499999999976</v>
      </c>
      <c r="C358" s="5">
        <v>34.058</v>
      </c>
      <c r="D358" s="5">
        <v>35.720399999999998</v>
      </c>
      <c r="E358" s="5">
        <v>34.0458</v>
      </c>
      <c r="F358" s="5">
        <v>32.122</v>
      </c>
    </row>
    <row r="359" spans="1:6" x14ac:dyDescent="0.3">
      <c r="A359" s="2">
        <f>+'CMG-PDO'!A359</f>
        <v>46056</v>
      </c>
      <c r="B359" s="8">
        <f>+'CMG-PDO'!B359</f>
        <v>6.4583333333333091</v>
      </c>
      <c r="C359" s="5">
        <v>34.237900000000003</v>
      </c>
      <c r="D359" s="5">
        <v>35.894500000000001</v>
      </c>
      <c r="E359" s="5">
        <v>34.328200000000002</v>
      </c>
      <c r="F359" s="5">
        <v>32.313800000000001</v>
      </c>
    </row>
    <row r="360" spans="1:6" x14ac:dyDescent="0.3">
      <c r="A360" s="2">
        <f>+'CMG-PDO'!A360</f>
        <v>46056</v>
      </c>
      <c r="B360" s="8">
        <f>+'CMG-PDO'!B360</f>
        <v>6.4791666666666421</v>
      </c>
      <c r="C360" s="5">
        <v>34.3172</v>
      </c>
      <c r="D360" s="5">
        <v>35.996600000000001</v>
      </c>
      <c r="E360" s="5">
        <v>34.613300000000002</v>
      </c>
      <c r="F360" s="5">
        <v>32.394799999999996</v>
      </c>
    </row>
    <row r="361" spans="1:6" x14ac:dyDescent="0.3">
      <c r="A361" s="2">
        <f>+'CMG-PDO'!A361</f>
        <v>46056</v>
      </c>
      <c r="B361" s="8">
        <f>+'CMG-PDO'!B361</f>
        <v>6.4999999999999751</v>
      </c>
      <c r="C361" s="5">
        <v>34.301000000000002</v>
      </c>
      <c r="D361" s="5">
        <v>35.9649</v>
      </c>
      <c r="E361" s="5">
        <v>34.680500000000002</v>
      </c>
      <c r="F361" s="5">
        <v>32.369100000000003</v>
      </c>
    </row>
    <row r="362" spans="1:6" x14ac:dyDescent="0.3">
      <c r="A362" s="2">
        <f>+'CMG-PDO'!A362</f>
        <v>46056</v>
      </c>
      <c r="B362" s="8">
        <f>+'CMG-PDO'!B362</f>
        <v>6.5208333333333082</v>
      </c>
      <c r="C362" s="5">
        <v>34.223799999999997</v>
      </c>
      <c r="D362" s="5">
        <v>35.873399999999997</v>
      </c>
      <c r="E362" s="5">
        <v>34.623800000000003</v>
      </c>
      <c r="F362" s="5">
        <v>32.279899999999998</v>
      </c>
    </row>
    <row r="363" spans="1:6" x14ac:dyDescent="0.3">
      <c r="A363" s="2">
        <f>+'CMG-PDO'!A363</f>
        <v>46056</v>
      </c>
      <c r="B363" s="8">
        <f>+'CMG-PDO'!B363</f>
        <v>6.5416666666666412</v>
      </c>
      <c r="C363" s="5">
        <v>34.099499999999999</v>
      </c>
      <c r="D363" s="5">
        <v>35.718299999999999</v>
      </c>
      <c r="E363" s="5">
        <v>34.575699999999998</v>
      </c>
      <c r="F363" s="5">
        <v>32.141800000000003</v>
      </c>
    </row>
    <row r="364" spans="1:6" x14ac:dyDescent="0.3">
      <c r="A364" s="2">
        <f>+'CMG-PDO'!A364</f>
        <v>46056</v>
      </c>
      <c r="B364" s="8">
        <f>+'CMG-PDO'!B364</f>
        <v>6.5624999999999742</v>
      </c>
      <c r="C364" s="5">
        <v>34.079099999999997</v>
      </c>
      <c r="D364" s="5">
        <v>35.670999999999999</v>
      </c>
      <c r="E364" s="5">
        <v>34.717300000000002</v>
      </c>
      <c r="F364" s="5">
        <v>32.143300000000004</v>
      </c>
    </row>
    <row r="365" spans="1:6" x14ac:dyDescent="0.3">
      <c r="A365" s="2">
        <f>+'CMG-PDO'!A365</f>
        <v>46056</v>
      </c>
      <c r="B365" s="8">
        <f>+'CMG-PDO'!B365</f>
        <v>6.5833333333333073</v>
      </c>
      <c r="C365" s="5">
        <v>34.296900000000001</v>
      </c>
      <c r="D365" s="5">
        <v>35.867199999999997</v>
      </c>
      <c r="E365" s="5">
        <v>35.192999999999998</v>
      </c>
      <c r="F365" s="5">
        <v>32.402099999999997</v>
      </c>
    </row>
    <row r="366" spans="1:6" x14ac:dyDescent="0.3">
      <c r="A366" s="2">
        <f>+'CMG-PDO'!A366</f>
        <v>46056</v>
      </c>
      <c r="B366" s="8">
        <f>+'CMG-PDO'!B366</f>
        <v>6.6041666666666403</v>
      </c>
      <c r="C366" s="5">
        <v>34.468899999999998</v>
      </c>
      <c r="D366" s="5">
        <v>36.035299999999999</v>
      </c>
      <c r="E366" s="5">
        <v>35.469299999999997</v>
      </c>
      <c r="F366" s="5">
        <v>32.573799999999999</v>
      </c>
    </row>
    <row r="367" spans="1:6" x14ac:dyDescent="0.3">
      <c r="A367" s="2">
        <f>+'CMG-PDO'!A367</f>
        <v>46056</v>
      </c>
      <c r="B367" s="8">
        <f>+'CMG-PDO'!B367</f>
        <v>6.6249999999999734</v>
      </c>
      <c r="C367" s="5">
        <v>34.490499999999997</v>
      </c>
      <c r="D367" s="5">
        <v>35.9251</v>
      </c>
      <c r="E367" s="5">
        <v>35.741300000000003</v>
      </c>
      <c r="F367" s="5">
        <v>32.639000000000003</v>
      </c>
    </row>
    <row r="368" spans="1:6" x14ac:dyDescent="0.3">
      <c r="A368" s="2">
        <f>+'CMG-PDO'!A368</f>
        <v>46056</v>
      </c>
      <c r="B368" s="8">
        <f>+'CMG-PDO'!B368</f>
        <v>6.6458333333333064</v>
      </c>
      <c r="C368" s="5">
        <v>34.366999999999997</v>
      </c>
      <c r="D368" s="5">
        <v>35.987400000000001</v>
      </c>
      <c r="E368" s="5">
        <v>35.877800000000001</v>
      </c>
      <c r="F368" s="5">
        <v>32.582700000000003</v>
      </c>
    </row>
    <row r="369" spans="1:6" x14ac:dyDescent="0.3">
      <c r="A369" s="2">
        <f>+'CMG-PDO'!A369</f>
        <v>46056</v>
      </c>
      <c r="B369" s="8">
        <f>+'CMG-PDO'!B369</f>
        <v>6.6666666666666394</v>
      </c>
      <c r="C369" s="5">
        <v>34.398699999999998</v>
      </c>
      <c r="D369" s="5">
        <v>35.976599999999998</v>
      </c>
      <c r="E369" s="5">
        <v>36.290300000000002</v>
      </c>
      <c r="F369" s="5">
        <v>32.650199999999998</v>
      </c>
    </row>
    <row r="370" spans="1:6" x14ac:dyDescent="0.3">
      <c r="A370" s="2">
        <f>+'CMG-PDO'!A370</f>
        <v>46056</v>
      </c>
      <c r="B370" s="8">
        <f>+'CMG-PDO'!B370</f>
        <v>6.6874999999999725</v>
      </c>
      <c r="C370" s="5">
        <v>34.519599999999997</v>
      </c>
      <c r="D370" s="5">
        <v>36.016399999999997</v>
      </c>
      <c r="E370" s="5">
        <v>36.862499999999997</v>
      </c>
      <c r="F370" s="5">
        <v>32.790199999999999</v>
      </c>
    </row>
    <row r="371" spans="1:6" x14ac:dyDescent="0.3">
      <c r="A371" s="2">
        <f>+'CMG-PDO'!A371</f>
        <v>46056</v>
      </c>
      <c r="B371" s="8">
        <f>+'CMG-PDO'!B371</f>
        <v>6.7083333333333055</v>
      </c>
      <c r="C371" s="5">
        <v>34.404899999999998</v>
      </c>
      <c r="D371" s="5">
        <v>35.9206</v>
      </c>
      <c r="E371" s="5">
        <v>36.008899999999997</v>
      </c>
      <c r="F371" s="5">
        <v>32.649000000000001</v>
      </c>
    </row>
    <row r="372" spans="1:6" x14ac:dyDescent="0.3">
      <c r="A372" s="2">
        <f>+'CMG-PDO'!A372</f>
        <v>46056</v>
      </c>
      <c r="B372" s="8">
        <f>+'CMG-PDO'!B372</f>
        <v>6.7291666666666385</v>
      </c>
      <c r="C372" s="5">
        <v>34.907699999999998</v>
      </c>
      <c r="D372" s="5">
        <v>36.244500000000002</v>
      </c>
      <c r="E372" s="5">
        <v>36.746400000000001</v>
      </c>
      <c r="F372" s="5">
        <v>33.118299999999998</v>
      </c>
    </row>
    <row r="373" spans="1:6" x14ac:dyDescent="0.3">
      <c r="A373" s="2">
        <f>+'CMG-PDO'!A373</f>
        <v>46056</v>
      </c>
      <c r="B373" s="8">
        <f>+'CMG-PDO'!B373</f>
        <v>6.7499999999999716</v>
      </c>
      <c r="C373" s="5">
        <v>34.331800000000001</v>
      </c>
      <c r="D373" s="5">
        <v>35.580199999999998</v>
      </c>
      <c r="E373" s="5">
        <v>36.300199999999997</v>
      </c>
      <c r="F373" s="5">
        <v>32.650399999999998</v>
      </c>
    </row>
    <row r="374" spans="1:6" x14ac:dyDescent="0.3">
      <c r="A374" s="2">
        <f>+'CMG-PDO'!A374</f>
        <v>46056</v>
      </c>
      <c r="B374" s="8">
        <f>+'CMG-PDO'!B374</f>
        <v>6.7708333333333046</v>
      </c>
      <c r="C374" s="5">
        <v>34.349299999999999</v>
      </c>
      <c r="D374" s="5">
        <v>35.570700000000002</v>
      </c>
      <c r="E374" s="5">
        <v>36.5471</v>
      </c>
      <c r="F374" s="5">
        <v>32.740400000000001</v>
      </c>
    </row>
    <row r="375" spans="1:6" x14ac:dyDescent="0.3">
      <c r="A375" s="2">
        <f>+'CMG-PDO'!A375</f>
        <v>46056</v>
      </c>
      <c r="B375" s="8">
        <f>+'CMG-PDO'!B375</f>
        <v>6.7916666666666377</v>
      </c>
      <c r="C375" s="5">
        <v>34.322499999999998</v>
      </c>
      <c r="D375" s="5">
        <v>35.8078</v>
      </c>
      <c r="E375" s="5">
        <v>36.538600000000002</v>
      </c>
      <c r="F375" s="5">
        <v>32.719900000000003</v>
      </c>
    </row>
    <row r="376" spans="1:6" x14ac:dyDescent="0.3">
      <c r="A376" s="2">
        <f>+'CMG-PDO'!A376</f>
        <v>46056</v>
      </c>
      <c r="B376" s="8">
        <f>+'CMG-PDO'!B376</f>
        <v>6.8124999999999707</v>
      </c>
      <c r="C376" s="5">
        <v>34.465499999999999</v>
      </c>
      <c r="D376" s="5">
        <v>36.092100000000002</v>
      </c>
      <c r="E376" s="5">
        <v>36.699100000000001</v>
      </c>
      <c r="F376" s="5">
        <v>32.865499999999997</v>
      </c>
    </row>
    <row r="377" spans="1:6" x14ac:dyDescent="0.3">
      <c r="A377" s="2">
        <f>+'CMG-PDO'!A377</f>
        <v>46056</v>
      </c>
      <c r="B377" s="8">
        <f>+'CMG-PDO'!B377</f>
        <v>6.8333333333333037</v>
      </c>
      <c r="C377" s="5">
        <v>34.448500000000003</v>
      </c>
      <c r="D377" s="5">
        <v>36.075600000000001</v>
      </c>
      <c r="E377" s="5">
        <v>36.706899999999997</v>
      </c>
      <c r="F377" s="5">
        <v>32.857799999999997</v>
      </c>
    </row>
    <row r="378" spans="1:6" x14ac:dyDescent="0.3">
      <c r="A378" s="2">
        <f>+'CMG-PDO'!A378</f>
        <v>46056</v>
      </c>
      <c r="B378" s="8">
        <f>+'CMG-PDO'!B378</f>
        <v>6.8541666666666368</v>
      </c>
      <c r="C378" s="5">
        <v>34.362699999999997</v>
      </c>
      <c r="D378" s="5">
        <v>35.939799999999998</v>
      </c>
      <c r="E378" s="5">
        <v>36.659100000000002</v>
      </c>
      <c r="F378" s="5">
        <v>32.790900000000001</v>
      </c>
    </row>
    <row r="379" spans="1:6" x14ac:dyDescent="0.3">
      <c r="A379" s="2">
        <f>+'CMG-PDO'!A379</f>
        <v>46056</v>
      </c>
      <c r="B379" s="8">
        <f>+'CMG-PDO'!B379</f>
        <v>6.8749999999999698</v>
      </c>
      <c r="C379" s="5">
        <v>34.354599999999998</v>
      </c>
      <c r="D379" s="5">
        <v>35.938099999999999</v>
      </c>
      <c r="E379" s="5">
        <v>36.668100000000003</v>
      </c>
      <c r="F379" s="5">
        <v>32.795900000000003</v>
      </c>
    </row>
    <row r="380" spans="1:6" x14ac:dyDescent="0.3">
      <c r="A380" s="2">
        <f>+'CMG-PDO'!A380</f>
        <v>46056</v>
      </c>
      <c r="B380" s="8">
        <f>+'CMG-PDO'!B380</f>
        <v>6.8958333333333028</v>
      </c>
      <c r="C380" s="5">
        <v>34.340400000000002</v>
      </c>
      <c r="D380" s="5">
        <v>35.989600000000003</v>
      </c>
      <c r="E380" s="5">
        <v>36.6462</v>
      </c>
      <c r="F380" s="5">
        <v>32.777700000000003</v>
      </c>
    </row>
    <row r="381" spans="1:6" x14ac:dyDescent="0.3">
      <c r="A381" s="2">
        <f>+'CMG-PDO'!A381</f>
        <v>46056</v>
      </c>
      <c r="B381" s="8">
        <f>+'CMG-PDO'!B381</f>
        <v>6.9166666666666359</v>
      </c>
      <c r="C381" s="5">
        <v>34.375900000000001</v>
      </c>
      <c r="D381" s="5">
        <v>35.944499999999998</v>
      </c>
      <c r="E381" s="5">
        <v>36.718200000000003</v>
      </c>
      <c r="F381" s="5">
        <v>32.860500000000002</v>
      </c>
    </row>
    <row r="382" spans="1:6" x14ac:dyDescent="0.3">
      <c r="A382" s="2">
        <f>+'CMG-PDO'!A382</f>
        <v>46056</v>
      </c>
      <c r="B382" s="8">
        <f>+'CMG-PDO'!B382</f>
        <v>6.9374999999999689</v>
      </c>
      <c r="C382" s="5">
        <v>34.303199999999997</v>
      </c>
      <c r="D382" s="5">
        <v>35.737200000000001</v>
      </c>
      <c r="E382" s="5">
        <v>36.609900000000003</v>
      </c>
      <c r="F382" s="5">
        <v>32.822400000000002</v>
      </c>
    </row>
    <row r="383" spans="1:6" x14ac:dyDescent="0.3">
      <c r="A383" s="2">
        <f>+'CMG-PDO'!A383</f>
        <v>46056</v>
      </c>
      <c r="B383" s="8">
        <f>+'CMG-PDO'!B383</f>
        <v>6.958333333333302</v>
      </c>
      <c r="C383" s="5">
        <v>34.304099999999998</v>
      </c>
      <c r="D383" s="5">
        <v>35.618600000000001</v>
      </c>
      <c r="E383" s="5">
        <v>36.575600000000001</v>
      </c>
      <c r="F383" s="5">
        <v>32.820300000000003</v>
      </c>
    </row>
    <row r="384" spans="1:6" x14ac:dyDescent="0.3">
      <c r="A384" s="2">
        <f>+'CMG-PDO'!A384</f>
        <v>46056</v>
      </c>
      <c r="B384" s="8">
        <f>+'CMG-PDO'!B384</f>
        <v>6.979166666666635</v>
      </c>
      <c r="C384" s="5">
        <v>31.4099</v>
      </c>
      <c r="D384" s="5">
        <v>32.541800000000002</v>
      </c>
      <c r="E384" s="5">
        <v>33.453600000000002</v>
      </c>
      <c r="F384" s="5">
        <v>30.053799999999999</v>
      </c>
    </row>
    <row r="385" spans="1:6" x14ac:dyDescent="0.3">
      <c r="A385" s="2">
        <f>+'CMG-PDO'!A385</f>
        <v>46056</v>
      </c>
      <c r="B385" s="8">
        <f>+'CMG-PDO'!B385</f>
        <v>6.999999999999968</v>
      </c>
      <c r="C385" s="5">
        <v>25.1614</v>
      </c>
      <c r="D385" s="5">
        <v>26.0243</v>
      </c>
      <c r="E385" s="5">
        <v>26.8079</v>
      </c>
      <c r="F385" s="5">
        <v>24.095700000000001</v>
      </c>
    </row>
    <row r="386" spans="1:6" x14ac:dyDescent="0.3">
      <c r="A386" s="2">
        <f>+'CMG-PDO'!A386</f>
        <v>46057</v>
      </c>
      <c r="B386" s="8">
        <f>+'CMG-PDO'!B386</f>
        <v>7.0208333333333011</v>
      </c>
      <c r="C386" s="5">
        <v>24.7134</v>
      </c>
      <c r="D386" s="5">
        <v>25.629200000000001</v>
      </c>
      <c r="E386" s="5">
        <v>25.912600000000001</v>
      </c>
      <c r="F386" s="5">
        <v>23.5716</v>
      </c>
    </row>
    <row r="387" spans="1:6" x14ac:dyDescent="0.3">
      <c r="A387" s="2">
        <f>+'CMG-PDO'!A387</f>
        <v>46057</v>
      </c>
      <c r="B387" s="8">
        <f>+'CMG-PDO'!B387</f>
        <v>7.0416666666666341</v>
      </c>
      <c r="C387" s="5">
        <v>24.713999999999999</v>
      </c>
      <c r="D387" s="5">
        <v>25.5806</v>
      </c>
      <c r="E387" s="5">
        <v>26.313700000000001</v>
      </c>
      <c r="F387" s="5">
        <v>23.6755</v>
      </c>
    </row>
    <row r="388" spans="1:6" x14ac:dyDescent="0.3">
      <c r="A388" s="2">
        <f>+'CMG-PDO'!A388</f>
        <v>46057</v>
      </c>
      <c r="B388" s="8">
        <f>+'CMG-PDO'!B388</f>
        <v>7.0624999999999671</v>
      </c>
      <c r="C388" s="5">
        <v>23.803100000000001</v>
      </c>
      <c r="D388" s="5">
        <v>24.595800000000001</v>
      </c>
      <c r="E388" s="5">
        <v>25.3582</v>
      </c>
      <c r="F388" s="5">
        <v>22.817399999999999</v>
      </c>
    </row>
    <row r="389" spans="1:6" x14ac:dyDescent="0.3">
      <c r="A389" s="2">
        <f>+'CMG-PDO'!A389</f>
        <v>46057</v>
      </c>
      <c r="B389" s="8">
        <f>+'CMG-PDO'!B389</f>
        <v>7.0833333333333002</v>
      </c>
      <c r="C389" s="5">
        <v>23.7821</v>
      </c>
      <c r="D389" s="5">
        <v>24.541399999999999</v>
      </c>
      <c r="E389" s="5">
        <v>25.332999999999998</v>
      </c>
      <c r="F389" s="5">
        <v>22.808299999999999</v>
      </c>
    </row>
    <row r="390" spans="1:6" x14ac:dyDescent="0.3">
      <c r="A390" s="2">
        <f>+'CMG-PDO'!A390</f>
        <v>46057</v>
      </c>
      <c r="B390" s="8">
        <f>+'CMG-PDO'!B390</f>
        <v>7.1041666666666332</v>
      </c>
      <c r="C390" s="5">
        <v>22.664899999999999</v>
      </c>
      <c r="D390" s="5">
        <v>23.357700000000001</v>
      </c>
      <c r="E390" s="5">
        <v>24.139299999999999</v>
      </c>
      <c r="F390" s="5">
        <v>21.736499999999999</v>
      </c>
    </row>
    <row r="391" spans="1:6" x14ac:dyDescent="0.3">
      <c r="A391" s="2">
        <f>+'CMG-PDO'!A391</f>
        <v>46057</v>
      </c>
      <c r="B391" s="8">
        <f>+'CMG-PDO'!B391</f>
        <v>7.1249999999999662</v>
      </c>
      <c r="C391" s="5">
        <v>20.277799999999999</v>
      </c>
      <c r="D391" s="5">
        <v>20.892099999999999</v>
      </c>
      <c r="E391" s="5">
        <v>21.5868</v>
      </c>
      <c r="F391" s="5">
        <v>19.458500000000001</v>
      </c>
    </row>
    <row r="392" spans="1:6" x14ac:dyDescent="0.3">
      <c r="A392" s="2">
        <f>+'CMG-PDO'!A392</f>
        <v>46057</v>
      </c>
      <c r="B392" s="8">
        <f>+'CMG-PDO'!B392</f>
        <v>7.1458333333332993</v>
      </c>
      <c r="C392" s="5">
        <v>15.998900000000001</v>
      </c>
      <c r="D392" s="5">
        <v>16.4693</v>
      </c>
      <c r="E392" s="5">
        <v>17.0457</v>
      </c>
      <c r="F392" s="5">
        <v>15.3567</v>
      </c>
    </row>
    <row r="393" spans="1:6" x14ac:dyDescent="0.3">
      <c r="A393" s="2">
        <f>+'CMG-PDO'!A393</f>
        <v>46057</v>
      </c>
      <c r="B393" s="8">
        <f>+'CMG-PDO'!B393</f>
        <v>7.1666666666666323</v>
      </c>
      <c r="C393" s="5">
        <v>15.986000000000001</v>
      </c>
      <c r="D393" s="5">
        <v>16.4422</v>
      </c>
      <c r="E393" s="5">
        <v>17.0168</v>
      </c>
      <c r="F393" s="5">
        <v>15.341200000000001</v>
      </c>
    </row>
    <row r="394" spans="1:6" x14ac:dyDescent="0.3">
      <c r="A394" s="2">
        <f>+'CMG-PDO'!A394</f>
        <v>46057</v>
      </c>
      <c r="B394" s="8">
        <f>+'CMG-PDO'!B394</f>
        <v>7.1874999999999654</v>
      </c>
      <c r="C394" s="5">
        <v>15.9838</v>
      </c>
      <c r="D394" s="5">
        <v>16.440200000000001</v>
      </c>
      <c r="E394" s="5">
        <v>17.015899999999998</v>
      </c>
      <c r="F394" s="5">
        <v>15.3386</v>
      </c>
    </row>
    <row r="395" spans="1:6" x14ac:dyDescent="0.3">
      <c r="A395" s="2">
        <f>+'CMG-PDO'!A395</f>
        <v>46057</v>
      </c>
      <c r="B395" s="8">
        <f>+'CMG-PDO'!B395</f>
        <v>7.2083333333332984</v>
      </c>
      <c r="C395" s="5">
        <v>18.418399999999998</v>
      </c>
      <c r="D395" s="5">
        <v>18.956800000000001</v>
      </c>
      <c r="E395" s="5">
        <v>19.645099999999999</v>
      </c>
      <c r="F395" s="5">
        <v>17.6812</v>
      </c>
    </row>
    <row r="396" spans="1:6" x14ac:dyDescent="0.3">
      <c r="A396" s="2">
        <f>+'CMG-PDO'!A396</f>
        <v>46057</v>
      </c>
      <c r="B396" s="8">
        <f>+'CMG-PDO'!B396</f>
        <v>7.2291666666666314</v>
      </c>
      <c r="C396" s="5">
        <v>18.4236</v>
      </c>
      <c r="D396" s="5">
        <v>18.9635</v>
      </c>
      <c r="E396" s="5">
        <v>19.6356</v>
      </c>
      <c r="F396" s="5">
        <v>17.680099999999999</v>
      </c>
    </row>
    <row r="397" spans="1:6" x14ac:dyDescent="0.3">
      <c r="A397" s="2">
        <f>+'CMG-PDO'!A397</f>
        <v>46057</v>
      </c>
      <c r="B397" s="8">
        <f>+'CMG-PDO'!B397</f>
        <v>7.2499999999999645</v>
      </c>
      <c r="C397" s="5">
        <v>20.395299999999999</v>
      </c>
      <c r="D397" s="5">
        <v>21.0166</v>
      </c>
      <c r="E397" s="5">
        <v>21.712700000000002</v>
      </c>
      <c r="F397" s="5">
        <v>19.552900000000001</v>
      </c>
    </row>
    <row r="398" spans="1:6" x14ac:dyDescent="0.3">
      <c r="A398" s="2">
        <f>+'CMG-PDO'!A398</f>
        <v>46057</v>
      </c>
      <c r="B398" s="8">
        <f>+'CMG-PDO'!B398</f>
        <v>7.2708333333332975</v>
      </c>
      <c r="C398" s="5">
        <v>16.136700000000001</v>
      </c>
      <c r="D398" s="5">
        <v>16.646899999999999</v>
      </c>
      <c r="E398" s="5">
        <v>17.0151</v>
      </c>
      <c r="F398" s="5">
        <v>15.4438</v>
      </c>
    </row>
    <row r="399" spans="1:6" x14ac:dyDescent="0.3">
      <c r="A399" s="2">
        <f>+'CMG-PDO'!A399</f>
        <v>46057</v>
      </c>
      <c r="B399" s="8">
        <f>+'CMG-PDO'!B399</f>
        <v>7.2916666666666305</v>
      </c>
      <c r="C399" s="5">
        <v>0.74509999999999998</v>
      </c>
      <c r="D399" s="5">
        <v>0.76870000000000005</v>
      </c>
      <c r="E399" s="5">
        <v>0.77400000000000002</v>
      </c>
      <c r="F399" s="5">
        <v>0.71009999999999995</v>
      </c>
    </row>
    <row r="400" spans="1:6" x14ac:dyDescent="0.3">
      <c r="A400" s="2">
        <f>+'CMG-PDO'!A400</f>
        <v>46057</v>
      </c>
      <c r="B400" s="8">
        <f>+'CMG-PDO'!B400</f>
        <v>7.3124999999999636</v>
      </c>
      <c r="C400" s="5">
        <v>0.73509999999999998</v>
      </c>
      <c r="D400" s="5">
        <v>0.76049999999999995</v>
      </c>
      <c r="E400" s="5">
        <v>0.74970000000000003</v>
      </c>
      <c r="F400" s="5">
        <v>0.69779999999999998</v>
      </c>
    </row>
    <row r="401" spans="1:6" x14ac:dyDescent="0.3">
      <c r="A401" s="2">
        <f>+'CMG-PDO'!A401</f>
        <v>46057</v>
      </c>
      <c r="B401" s="8">
        <f>+'CMG-PDO'!B401</f>
        <v>7.3333333333332966</v>
      </c>
      <c r="C401" s="5">
        <v>0.73970000000000002</v>
      </c>
      <c r="D401" s="5">
        <v>0.76529999999999998</v>
      </c>
      <c r="E401" s="5">
        <v>0.74209999999999998</v>
      </c>
      <c r="F401" s="5">
        <v>0.69940000000000002</v>
      </c>
    </row>
    <row r="402" spans="1:6" x14ac:dyDescent="0.3">
      <c r="A402" s="2">
        <f>+'CMG-PDO'!A402</f>
        <v>46057</v>
      </c>
      <c r="B402" s="8">
        <f>+'CMG-PDO'!B402</f>
        <v>7.3541666666666297</v>
      </c>
      <c r="C402" s="5">
        <v>0.74209999999999998</v>
      </c>
      <c r="D402" s="5">
        <v>0.76939999999999997</v>
      </c>
      <c r="E402" s="5">
        <v>0.73899999999999999</v>
      </c>
      <c r="F402" s="5">
        <v>0.7</v>
      </c>
    </row>
    <row r="403" spans="1:6" x14ac:dyDescent="0.3">
      <c r="A403" s="2">
        <f>+'CMG-PDO'!A403</f>
        <v>46057</v>
      </c>
      <c r="B403" s="8">
        <f>+'CMG-PDO'!B403</f>
        <v>7.3749999999999627</v>
      </c>
      <c r="C403" s="5">
        <v>20.3949</v>
      </c>
      <c r="D403" s="5">
        <v>21.234400000000001</v>
      </c>
      <c r="E403" s="5">
        <v>20.168199999999999</v>
      </c>
      <c r="F403" s="5">
        <v>19.2285</v>
      </c>
    </row>
    <row r="404" spans="1:6" x14ac:dyDescent="0.3">
      <c r="A404" s="2">
        <f>+'CMG-PDO'!A404</f>
        <v>46057</v>
      </c>
      <c r="B404" s="8">
        <f>+'CMG-PDO'!B404</f>
        <v>7.3958333333332957</v>
      </c>
      <c r="C404" s="5">
        <v>22.815999999999999</v>
      </c>
      <c r="D404" s="5">
        <v>23.790400000000002</v>
      </c>
      <c r="E404" s="5">
        <v>22.521000000000001</v>
      </c>
      <c r="F404" s="5">
        <v>21.482600000000001</v>
      </c>
    </row>
    <row r="405" spans="1:6" x14ac:dyDescent="0.3">
      <c r="A405" s="2">
        <f>+'CMG-PDO'!A405</f>
        <v>46057</v>
      </c>
      <c r="B405" s="8">
        <f>+'CMG-PDO'!B405</f>
        <v>7.4166666666666288</v>
      </c>
      <c r="C405" s="5">
        <v>24.002199999999998</v>
      </c>
      <c r="D405" s="5">
        <v>25.118300000000001</v>
      </c>
      <c r="E405" s="5">
        <v>23.635100000000001</v>
      </c>
      <c r="F405" s="5">
        <v>22.5837</v>
      </c>
    </row>
    <row r="406" spans="1:6" x14ac:dyDescent="0.3">
      <c r="A406" s="2">
        <f>+'CMG-PDO'!A406</f>
        <v>46057</v>
      </c>
      <c r="B406" s="8">
        <f>+'CMG-PDO'!B406</f>
        <v>7.4374999999999618</v>
      </c>
      <c r="C406" s="5">
        <v>24.678799999999999</v>
      </c>
      <c r="D406" s="5">
        <v>25.876200000000001</v>
      </c>
      <c r="E406" s="5">
        <v>24.279</v>
      </c>
      <c r="F406" s="5">
        <v>23.205200000000001</v>
      </c>
    </row>
    <row r="407" spans="1:6" x14ac:dyDescent="0.3">
      <c r="A407" s="2">
        <f>+'CMG-PDO'!A407</f>
        <v>46057</v>
      </c>
      <c r="B407" s="8">
        <f>+'CMG-PDO'!B407</f>
        <v>7.4583333333332948</v>
      </c>
      <c r="C407" s="5">
        <v>24.747</v>
      </c>
      <c r="D407" s="5">
        <v>25.974399999999999</v>
      </c>
      <c r="E407" s="5">
        <v>24.3583</v>
      </c>
      <c r="F407" s="5">
        <v>23.2654</v>
      </c>
    </row>
    <row r="408" spans="1:6" x14ac:dyDescent="0.3">
      <c r="A408" s="2">
        <f>+'CMG-PDO'!A408</f>
        <v>46057</v>
      </c>
      <c r="B408" s="8">
        <f>+'CMG-PDO'!B408</f>
        <v>7.4791666666666279</v>
      </c>
      <c r="C408" s="5">
        <v>25.146000000000001</v>
      </c>
      <c r="D408" s="5">
        <v>26.437100000000001</v>
      </c>
      <c r="E408" s="5">
        <v>24.732900000000001</v>
      </c>
      <c r="F408" s="5">
        <v>23.6252</v>
      </c>
    </row>
    <row r="409" spans="1:6" x14ac:dyDescent="0.3">
      <c r="A409" s="2">
        <f>+'CMG-PDO'!A409</f>
        <v>46057</v>
      </c>
      <c r="B409" s="8">
        <f>+'CMG-PDO'!B409</f>
        <v>7.4999999999999609</v>
      </c>
      <c r="C409" s="5">
        <v>25.1754</v>
      </c>
      <c r="D409" s="5">
        <v>26.535599999999999</v>
      </c>
      <c r="E409" s="5">
        <v>24.802099999999999</v>
      </c>
      <c r="F409" s="5">
        <v>23.642299999999999</v>
      </c>
    </row>
    <row r="410" spans="1:6" x14ac:dyDescent="0.3">
      <c r="A410" s="2">
        <f>+'CMG-PDO'!A410</f>
        <v>46057</v>
      </c>
      <c r="B410" s="8">
        <f>+'CMG-PDO'!B410</f>
        <v>7.520833333333294</v>
      </c>
      <c r="C410" s="5">
        <v>25.206600000000002</v>
      </c>
      <c r="D410" s="5">
        <v>26.5595</v>
      </c>
      <c r="E410" s="5">
        <v>24.904199999999999</v>
      </c>
      <c r="F410" s="5">
        <v>23.666599999999999</v>
      </c>
    </row>
    <row r="411" spans="1:6" x14ac:dyDescent="0.3">
      <c r="A411" s="2">
        <f>+'CMG-PDO'!A411</f>
        <v>46057</v>
      </c>
      <c r="B411" s="8">
        <f>+'CMG-PDO'!B411</f>
        <v>7.541666666666627</v>
      </c>
      <c r="C411" s="5">
        <v>24.9513</v>
      </c>
      <c r="D411" s="5">
        <v>26.2424</v>
      </c>
      <c r="E411" s="5">
        <v>24.6144</v>
      </c>
      <c r="F411" s="5">
        <v>23.410900000000002</v>
      </c>
    </row>
    <row r="412" spans="1:6" x14ac:dyDescent="0.3">
      <c r="A412" s="2">
        <f>+'CMG-PDO'!A412</f>
        <v>46057</v>
      </c>
      <c r="B412" s="8">
        <f>+'CMG-PDO'!B412</f>
        <v>7.56249999999996</v>
      </c>
      <c r="C412" s="5">
        <v>24.7499</v>
      </c>
      <c r="D412" s="5">
        <v>25.9786</v>
      </c>
      <c r="E412" s="5">
        <v>24.3735</v>
      </c>
      <c r="F412" s="5">
        <v>23.212499999999999</v>
      </c>
    </row>
    <row r="413" spans="1:6" x14ac:dyDescent="0.3">
      <c r="A413" s="2">
        <f>+'CMG-PDO'!A413</f>
        <v>46057</v>
      </c>
      <c r="B413" s="8">
        <f>+'CMG-PDO'!B413</f>
        <v>7.5833333333332931</v>
      </c>
      <c r="C413" s="5">
        <v>24.720199999999998</v>
      </c>
      <c r="D413" s="5">
        <v>25.912700000000001</v>
      </c>
      <c r="E413" s="5">
        <v>24.352499999999999</v>
      </c>
      <c r="F413" s="5">
        <v>23.1828</v>
      </c>
    </row>
    <row r="414" spans="1:6" x14ac:dyDescent="0.3">
      <c r="A414" s="2">
        <f>+'CMG-PDO'!A414</f>
        <v>46057</v>
      </c>
      <c r="B414" s="8">
        <f>+'CMG-PDO'!B414</f>
        <v>7.6041666666666261</v>
      </c>
      <c r="C414" s="5">
        <v>24.755800000000001</v>
      </c>
      <c r="D414" s="5">
        <v>25.934000000000001</v>
      </c>
      <c r="E414" s="5">
        <v>24.5032</v>
      </c>
      <c r="F414" s="5">
        <v>23.240200000000002</v>
      </c>
    </row>
    <row r="415" spans="1:6" x14ac:dyDescent="0.3">
      <c r="A415" s="2">
        <f>+'CMG-PDO'!A415</f>
        <v>46057</v>
      </c>
      <c r="B415" s="8">
        <f>+'CMG-PDO'!B415</f>
        <v>7.6249999999999591</v>
      </c>
      <c r="C415" s="5">
        <v>30.352699999999999</v>
      </c>
      <c r="D415" s="5">
        <v>31.7758</v>
      </c>
      <c r="E415" s="5">
        <v>29.985399999999998</v>
      </c>
      <c r="F415" s="5">
        <v>28.0306</v>
      </c>
    </row>
    <row r="416" spans="1:6" x14ac:dyDescent="0.3">
      <c r="A416" s="2">
        <f>+'CMG-PDO'!A416</f>
        <v>46057</v>
      </c>
      <c r="B416" s="8">
        <f>+'CMG-PDO'!B416</f>
        <v>7.6458333333332922</v>
      </c>
      <c r="C416" s="5">
        <v>30.128900000000002</v>
      </c>
      <c r="D416" s="5">
        <v>31.38</v>
      </c>
      <c r="E416" s="5">
        <v>30.091200000000001</v>
      </c>
      <c r="F416" s="5">
        <v>28.325500000000002</v>
      </c>
    </row>
    <row r="417" spans="1:6" x14ac:dyDescent="0.3">
      <c r="A417" s="2">
        <f>+'CMG-PDO'!A417</f>
        <v>46057</v>
      </c>
      <c r="B417" s="8">
        <f>+'CMG-PDO'!B417</f>
        <v>7.6666666666666252</v>
      </c>
      <c r="C417" s="5">
        <v>29.896000000000001</v>
      </c>
      <c r="D417" s="5">
        <v>31.3399</v>
      </c>
      <c r="E417" s="5">
        <v>30.0124</v>
      </c>
      <c r="F417" s="5">
        <v>28.1539</v>
      </c>
    </row>
    <row r="418" spans="1:6" x14ac:dyDescent="0.3">
      <c r="A418" s="2">
        <f>+'CMG-PDO'!A418</f>
        <v>46057</v>
      </c>
      <c r="B418" s="8">
        <f>+'CMG-PDO'!B418</f>
        <v>7.6874999999999583</v>
      </c>
      <c r="C418" s="5">
        <v>30.171199999999999</v>
      </c>
      <c r="D418" s="5">
        <v>31.610099999999999</v>
      </c>
      <c r="E418" s="5">
        <v>30.596299999999999</v>
      </c>
      <c r="F418" s="5">
        <v>28.455400000000001</v>
      </c>
    </row>
    <row r="419" spans="1:6" x14ac:dyDescent="0.3">
      <c r="A419" s="2">
        <f>+'CMG-PDO'!A419</f>
        <v>46057</v>
      </c>
      <c r="B419" s="8">
        <f>+'CMG-PDO'!B419</f>
        <v>7.7083333333332913</v>
      </c>
      <c r="C419" s="5">
        <v>32.6297</v>
      </c>
      <c r="D419" s="5">
        <v>34.345599999999997</v>
      </c>
      <c r="E419" s="5">
        <v>33.671700000000001</v>
      </c>
      <c r="F419" s="5">
        <v>30.970500000000001</v>
      </c>
    </row>
    <row r="420" spans="1:6" x14ac:dyDescent="0.3">
      <c r="A420" s="2">
        <f>+'CMG-PDO'!A420</f>
        <v>46057</v>
      </c>
      <c r="B420" s="8">
        <f>+'CMG-PDO'!B420</f>
        <v>7.7291666666666243</v>
      </c>
      <c r="C420" s="5">
        <v>32.623100000000001</v>
      </c>
      <c r="D420" s="5">
        <v>34.312100000000001</v>
      </c>
      <c r="E420" s="5">
        <v>34.067900000000002</v>
      </c>
      <c r="F420" s="5">
        <v>31.020399999999999</v>
      </c>
    </row>
    <row r="421" spans="1:6" x14ac:dyDescent="0.3">
      <c r="A421" s="2">
        <f>+'CMG-PDO'!A421</f>
        <v>46057</v>
      </c>
      <c r="B421" s="8">
        <f>+'CMG-PDO'!B421</f>
        <v>7.7499999999999574</v>
      </c>
      <c r="C421" s="5">
        <v>32.600700000000003</v>
      </c>
      <c r="D421" s="5">
        <v>34.204099999999997</v>
      </c>
      <c r="E421" s="5">
        <v>34.313899999999997</v>
      </c>
      <c r="F421" s="5">
        <v>31.0123</v>
      </c>
    </row>
    <row r="422" spans="1:6" x14ac:dyDescent="0.3">
      <c r="A422" s="2">
        <f>+'CMG-PDO'!A422</f>
        <v>46057</v>
      </c>
      <c r="B422" s="8">
        <f>+'CMG-PDO'!B422</f>
        <v>7.7708333333332904</v>
      </c>
      <c r="C422" s="5">
        <v>32.547400000000003</v>
      </c>
      <c r="D422" s="5">
        <v>33.921999999999997</v>
      </c>
      <c r="E422" s="5">
        <v>34.384700000000002</v>
      </c>
      <c r="F422" s="5">
        <v>31.014099999999999</v>
      </c>
    </row>
    <row r="423" spans="1:6" x14ac:dyDescent="0.3">
      <c r="A423" s="2">
        <f>+'CMG-PDO'!A423</f>
        <v>46057</v>
      </c>
      <c r="B423" s="8">
        <f>+'CMG-PDO'!B423</f>
        <v>7.7916666666666234</v>
      </c>
      <c r="C423" s="5">
        <v>32.515099999999997</v>
      </c>
      <c r="D423" s="5">
        <v>33.912100000000002</v>
      </c>
      <c r="E423" s="5">
        <v>34.562199999999997</v>
      </c>
      <c r="F423" s="5">
        <v>31.0428</v>
      </c>
    </row>
    <row r="424" spans="1:6" x14ac:dyDescent="0.3">
      <c r="A424" s="2">
        <f>+'CMG-PDO'!A424</f>
        <v>46057</v>
      </c>
      <c r="B424" s="8">
        <f>+'CMG-PDO'!B424</f>
        <v>7.8124999999999565</v>
      </c>
      <c r="C424" s="5">
        <v>36.414499999999997</v>
      </c>
      <c r="D424" s="5">
        <v>38.289299999999997</v>
      </c>
      <c r="E424" s="5">
        <v>38.745600000000003</v>
      </c>
      <c r="F424" s="5">
        <v>34.7926</v>
      </c>
    </row>
    <row r="425" spans="1:6" x14ac:dyDescent="0.3">
      <c r="A425" s="2">
        <f>+'CMG-PDO'!A425</f>
        <v>46057</v>
      </c>
      <c r="B425" s="8">
        <f>+'CMG-PDO'!B425</f>
        <v>7.8333333333332895</v>
      </c>
      <c r="C425" s="5">
        <v>32.577100000000002</v>
      </c>
      <c r="D425" s="5">
        <v>34.437399999999997</v>
      </c>
      <c r="E425" s="5">
        <v>34.7273</v>
      </c>
      <c r="F425" s="5">
        <v>31.162299999999998</v>
      </c>
    </row>
    <row r="426" spans="1:6" x14ac:dyDescent="0.3">
      <c r="A426" s="2">
        <f>+'CMG-PDO'!A426</f>
        <v>46057</v>
      </c>
      <c r="B426" s="8">
        <f>+'CMG-PDO'!B426</f>
        <v>7.8541666666666226</v>
      </c>
      <c r="C426" s="5">
        <v>36.341799999999999</v>
      </c>
      <c r="D426" s="5">
        <v>38.4268</v>
      </c>
      <c r="E426" s="5">
        <v>38.801900000000003</v>
      </c>
      <c r="F426" s="5">
        <v>34.800600000000003</v>
      </c>
    </row>
    <row r="427" spans="1:6" x14ac:dyDescent="0.3">
      <c r="A427" s="2">
        <f>+'CMG-PDO'!A427</f>
        <v>46057</v>
      </c>
      <c r="B427" s="8">
        <f>+'CMG-PDO'!B427</f>
        <v>7.8749999999999556</v>
      </c>
      <c r="C427" s="5">
        <v>32.576000000000001</v>
      </c>
      <c r="D427" s="5">
        <v>34.414200000000001</v>
      </c>
      <c r="E427" s="5">
        <v>34.807299999999998</v>
      </c>
      <c r="F427" s="5">
        <v>31.200399999999998</v>
      </c>
    </row>
    <row r="428" spans="1:6" x14ac:dyDescent="0.3">
      <c r="A428" s="2">
        <f>+'CMG-PDO'!A428</f>
        <v>46057</v>
      </c>
      <c r="B428" s="8">
        <f>+'CMG-PDO'!B428</f>
        <v>7.8958333333332886</v>
      </c>
      <c r="C428" s="5">
        <v>32.567900000000002</v>
      </c>
      <c r="D428" s="5">
        <v>34.404000000000003</v>
      </c>
      <c r="E428" s="5">
        <v>34.790199999999999</v>
      </c>
      <c r="F428" s="5">
        <v>31.1936</v>
      </c>
    </row>
    <row r="429" spans="1:6" x14ac:dyDescent="0.3">
      <c r="A429" s="2">
        <f>+'CMG-PDO'!A429</f>
        <v>46057</v>
      </c>
      <c r="B429" s="8">
        <f>+'CMG-PDO'!B429</f>
        <v>7.9166666666666217</v>
      </c>
      <c r="C429" s="5">
        <v>32.560299999999998</v>
      </c>
      <c r="D429" s="5">
        <v>34.430300000000003</v>
      </c>
      <c r="E429" s="5">
        <v>34.763199999999998</v>
      </c>
      <c r="F429" s="5">
        <v>31.161000000000001</v>
      </c>
    </row>
    <row r="430" spans="1:6" x14ac:dyDescent="0.3">
      <c r="A430" s="2">
        <f>+'CMG-PDO'!A430</f>
        <v>46057</v>
      </c>
      <c r="B430" s="8">
        <f>+'CMG-PDO'!B430</f>
        <v>7.9374999999999547</v>
      </c>
      <c r="C430" s="5">
        <v>36.353400000000001</v>
      </c>
      <c r="D430" s="5">
        <v>38.294499999999999</v>
      </c>
      <c r="E430" s="5">
        <v>38.758099999999999</v>
      </c>
      <c r="F430" s="5">
        <v>34.811</v>
      </c>
    </row>
    <row r="431" spans="1:6" x14ac:dyDescent="0.3">
      <c r="A431" s="2">
        <f>+'CMG-PDO'!A431</f>
        <v>46057</v>
      </c>
      <c r="B431" s="8">
        <f>+'CMG-PDO'!B431</f>
        <v>7.9583333333332877</v>
      </c>
      <c r="C431" s="5">
        <v>32.043700000000001</v>
      </c>
      <c r="D431" s="5">
        <v>33.639600000000002</v>
      </c>
      <c r="E431" s="5">
        <v>34.137599999999999</v>
      </c>
      <c r="F431" s="5">
        <v>30.712199999999999</v>
      </c>
    </row>
    <row r="432" spans="1:6" x14ac:dyDescent="0.3">
      <c r="A432" s="2">
        <f>+'CMG-PDO'!A432</f>
        <v>46057</v>
      </c>
      <c r="B432" s="8">
        <f>+'CMG-PDO'!B432</f>
        <v>7.9791666666666208</v>
      </c>
      <c r="C432" s="5">
        <v>32.0045</v>
      </c>
      <c r="D432" s="5">
        <v>33.4452</v>
      </c>
      <c r="E432" s="5">
        <v>34.055799999999998</v>
      </c>
      <c r="F432" s="5">
        <v>30.659800000000001</v>
      </c>
    </row>
    <row r="433" spans="1:6" x14ac:dyDescent="0.3">
      <c r="A433" s="2">
        <f>+'CMG-PDO'!A433</f>
        <v>46057</v>
      </c>
      <c r="B433" s="8">
        <f>+'CMG-PDO'!B433</f>
        <v>7.9999999999999538</v>
      </c>
      <c r="C433" s="5">
        <v>24.672799999999999</v>
      </c>
      <c r="D433" s="5">
        <v>25.736899999999999</v>
      </c>
      <c r="E433" s="5">
        <v>26.242000000000001</v>
      </c>
      <c r="F433" s="5">
        <v>23.6373</v>
      </c>
    </row>
    <row r="434" spans="1:6" x14ac:dyDescent="0.3">
      <c r="A434" s="2">
        <f>+'CMG-PDO'!A434</f>
        <v>46058</v>
      </c>
      <c r="B434" s="8">
        <f>+'CMG-PDO'!B434</f>
        <v>8.0208333333332877</v>
      </c>
      <c r="C434" s="5">
        <v>25.000900000000001</v>
      </c>
      <c r="D434" s="5">
        <v>26.029</v>
      </c>
      <c r="E434" s="5">
        <v>26.566600000000001</v>
      </c>
      <c r="F434" s="5">
        <v>23.941500000000001</v>
      </c>
    </row>
    <row r="435" spans="1:6" x14ac:dyDescent="0.3">
      <c r="A435" s="2">
        <f>+'CMG-PDO'!A435</f>
        <v>46058</v>
      </c>
      <c r="B435" s="8">
        <f>+'CMG-PDO'!B435</f>
        <v>8.0416666666666217</v>
      </c>
    </row>
    <row r="436" spans="1:6" x14ac:dyDescent="0.3">
      <c r="A436" s="2">
        <f>+'CMG-PDO'!A436</f>
        <v>46058</v>
      </c>
      <c r="B436" s="8">
        <f>+'CMG-PDO'!B436</f>
        <v>8.0624999999999556</v>
      </c>
    </row>
    <row r="437" spans="1:6" x14ac:dyDescent="0.3">
      <c r="A437" s="2">
        <f>+'CMG-PDO'!A437</f>
        <v>46058</v>
      </c>
      <c r="B437" s="8">
        <f>+'CMG-PDO'!B437</f>
        <v>8.0833333333332895</v>
      </c>
    </row>
    <row r="438" spans="1:6" x14ac:dyDescent="0.3">
      <c r="A438" s="2">
        <f>+'CMG-PDO'!A438</f>
        <v>46058</v>
      </c>
      <c r="B438" s="8">
        <f>+'CMG-PDO'!B438</f>
        <v>8.1041666666666234</v>
      </c>
    </row>
    <row r="439" spans="1:6" x14ac:dyDescent="0.3">
      <c r="A439" s="2">
        <f>+'CMG-PDO'!A439</f>
        <v>46058</v>
      </c>
      <c r="B439" s="8">
        <f>+'CMG-PDO'!B439</f>
        <v>8.1249999999999574</v>
      </c>
    </row>
    <row r="440" spans="1:6" x14ac:dyDescent="0.3">
      <c r="A440" s="2">
        <f>+'CMG-PDO'!A440</f>
        <v>46058</v>
      </c>
      <c r="B440" s="8">
        <f>+'CMG-PDO'!B440</f>
        <v>8.1458333333332913</v>
      </c>
    </row>
    <row r="441" spans="1:6" x14ac:dyDescent="0.3">
      <c r="A441" s="2">
        <f>+'CMG-PDO'!A441</f>
        <v>46058</v>
      </c>
      <c r="B441" s="8">
        <f>+'CMG-PDO'!B441</f>
        <v>8.1666666666666252</v>
      </c>
    </row>
    <row r="442" spans="1:6" x14ac:dyDescent="0.3">
      <c r="A442" s="2">
        <f>+'CMG-PDO'!A442</f>
        <v>46058</v>
      </c>
      <c r="B442" s="8">
        <f>+'CMG-PDO'!B442</f>
        <v>8.1874999999999591</v>
      </c>
    </row>
    <row r="443" spans="1:6" x14ac:dyDescent="0.3">
      <c r="A443" s="2">
        <f>+'CMG-PDO'!A443</f>
        <v>46058</v>
      </c>
      <c r="B443" s="8">
        <f>+'CMG-PDO'!B443</f>
        <v>8.2083333333332931</v>
      </c>
    </row>
    <row r="444" spans="1:6" x14ac:dyDescent="0.3">
      <c r="A444" s="2">
        <f>+'CMG-PDO'!A444</f>
        <v>46058</v>
      </c>
      <c r="B444" s="8">
        <f>+'CMG-PDO'!B444</f>
        <v>8.229166666666627</v>
      </c>
    </row>
    <row r="445" spans="1:6" x14ac:dyDescent="0.3">
      <c r="A445" s="2">
        <f>+'CMG-PDO'!A445</f>
        <v>46058</v>
      </c>
      <c r="B445" s="8">
        <f>+'CMG-PDO'!B445</f>
        <v>8.2499999999999609</v>
      </c>
    </row>
    <row r="446" spans="1:6" x14ac:dyDescent="0.3">
      <c r="A446" s="2">
        <f>+'CMG-PDO'!A446</f>
        <v>46058</v>
      </c>
      <c r="B446" s="8">
        <f>+'CMG-PDO'!B446</f>
        <v>8.2708333333332948</v>
      </c>
    </row>
    <row r="447" spans="1:6" x14ac:dyDescent="0.3">
      <c r="A447" s="2">
        <f>+'CMG-PDO'!A447</f>
        <v>46058</v>
      </c>
      <c r="B447" s="8">
        <f>+'CMG-PDO'!B447</f>
        <v>8.2916666666666288</v>
      </c>
    </row>
    <row r="448" spans="1:6" x14ac:dyDescent="0.3">
      <c r="A448" s="2">
        <f>+'CMG-PDO'!A448</f>
        <v>46058</v>
      </c>
      <c r="B448" s="8">
        <f>+'CMG-PDO'!B448</f>
        <v>8.3124999999999627</v>
      </c>
    </row>
    <row r="449" spans="1:2" x14ac:dyDescent="0.3">
      <c r="A449" s="2">
        <f>+'CMG-PDO'!A449</f>
        <v>46058</v>
      </c>
      <c r="B449" s="8">
        <f>+'CMG-PDO'!B449</f>
        <v>8.3333333333332966</v>
      </c>
    </row>
    <row r="450" spans="1:2" x14ac:dyDescent="0.3">
      <c r="A450" s="2">
        <f>+'CMG-PDO'!A450</f>
        <v>46058</v>
      </c>
      <c r="B450" s="8">
        <f>+'CMG-PDO'!B450</f>
        <v>8.3541666666666305</v>
      </c>
    </row>
    <row r="451" spans="1:2" x14ac:dyDescent="0.3">
      <c r="A451" s="2">
        <f>+'CMG-PDO'!A451</f>
        <v>46058</v>
      </c>
      <c r="B451" s="8">
        <f>+'CMG-PDO'!B451</f>
        <v>8.3749999999999645</v>
      </c>
    </row>
    <row r="452" spans="1:2" x14ac:dyDescent="0.3">
      <c r="A452" s="2">
        <f>+'CMG-PDO'!A452</f>
        <v>46058</v>
      </c>
      <c r="B452" s="8">
        <f>+'CMG-PDO'!B452</f>
        <v>8.3958333333332984</v>
      </c>
    </row>
    <row r="453" spans="1:2" x14ac:dyDescent="0.3">
      <c r="A453" s="2">
        <f>+'CMG-PDO'!A453</f>
        <v>46058</v>
      </c>
      <c r="B453" s="8">
        <f>+'CMG-PDO'!B453</f>
        <v>8.4166666666666323</v>
      </c>
    </row>
    <row r="454" spans="1:2" x14ac:dyDescent="0.3">
      <c r="A454" s="2">
        <f>+'CMG-PDO'!A454</f>
        <v>46058</v>
      </c>
      <c r="B454" s="8">
        <f>+'CMG-PDO'!B454</f>
        <v>8.4374999999999662</v>
      </c>
    </row>
    <row r="455" spans="1:2" x14ac:dyDescent="0.3">
      <c r="A455" s="2">
        <f>+'CMG-PDO'!A455</f>
        <v>46058</v>
      </c>
      <c r="B455" s="8">
        <f>+'CMG-PDO'!B455</f>
        <v>8.4583333333333002</v>
      </c>
    </row>
    <row r="456" spans="1:2" x14ac:dyDescent="0.3">
      <c r="A456" s="2">
        <f>+'CMG-PDO'!A456</f>
        <v>46058</v>
      </c>
      <c r="B456" s="8">
        <f>+'CMG-PDO'!B456</f>
        <v>8.4791666666666341</v>
      </c>
    </row>
    <row r="457" spans="1:2" x14ac:dyDescent="0.3">
      <c r="A457" s="2">
        <f>+'CMG-PDO'!A457</f>
        <v>46058</v>
      </c>
      <c r="B457" s="8">
        <f>+'CMG-PDO'!B457</f>
        <v>8.499999999999968</v>
      </c>
    </row>
    <row r="458" spans="1:2" x14ac:dyDescent="0.3">
      <c r="A458" s="2">
        <f>+'CMG-PDO'!A458</f>
        <v>46058</v>
      </c>
      <c r="B458" s="8">
        <f>+'CMG-PDO'!B458</f>
        <v>8.520833333333302</v>
      </c>
    </row>
    <row r="459" spans="1:2" x14ac:dyDescent="0.3">
      <c r="A459" s="2">
        <f>+'CMG-PDO'!A459</f>
        <v>46058</v>
      </c>
      <c r="B459" s="8">
        <f>+'CMG-PDO'!B459</f>
        <v>8.5416666666666359</v>
      </c>
    </row>
    <row r="460" spans="1:2" x14ac:dyDescent="0.3">
      <c r="A460" s="2">
        <f>+'CMG-PDO'!A460</f>
        <v>46058</v>
      </c>
      <c r="B460" s="8">
        <f>+'CMG-PDO'!B460</f>
        <v>8.5624999999999698</v>
      </c>
    </row>
    <row r="461" spans="1:2" x14ac:dyDescent="0.3">
      <c r="A461" s="2">
        <f>+'CMG-PDO'!A461</f>
        <v>46058</v>
      </c>
      <c r="B461" s="8">
        <f>+'CMG-PDO'!B461</f>
        <v>8.5833333333333037</v>
      </c>
    </row>
    <row r="462" spans="1:2" x14ac:dyDescent="0.3">
      <c r="A462" s="2">
        <f>+'CMG-PDO'!A462</f>
        <v>46058</v>
      </c>
      <c r="B462" s="8">
        <f>+'CMG-PDO'!B462</f>
        <v>8.6041666666666377</v>
      </c>
    </row>
    <row r="463" spans="1:2" x14ac:dyDescent="0.3">
      <c r="A463" s="2">
        <f>+'CMG-PDO'!A463</f>
        <v>46058</v>
      </c>
      <c r="B463" s="8">
        <f>+'CMG-PDO'!B463</f>
        <v>8.6249999999999716</v>
      </c>
    </row>
    <row r="464" spans="1:2" x14ac:dyDescent="0.3">
      <c r="A464" s="2">
        <f>+'CMG-PDO'!A464</f>
        <v>46058</v>
      </c>
      <c r="B464" s="8">
        <f>+'CMG-PDO'!B464</f>
        <v>8.6458333333333055</v>
      </c>
    </row>
    <row r="465" spans="1:2" x14ac:dyDescent="0.3">
      <c r="A465" s="2">
        <f>+'CMG-PDO'!A465</f>
        <v>46058</v>
      </c>
      <c r="B465" s="8">
        <f>+'CMG-PDO'!B465</f>
        <v>8.6666666666666394</v>
      </c>
    </row>
    <row r="466" spans="1:2" x14ac:dyDescent="0.3">
      <c r="A466" s="2">
        <f>+'CMG-PDO'!A466</f>
        <v>46058</v>
      </c>
      <c r="B466" s="8">
        <f>+'CMG-PDO'!B466</f>
        <v>8.6874999999999734</v>
      </c>
    </row>
    <row r="467" spans="1:2" x14ac:dyDescent="0.3">
      <c r="A467" s="2">
        <f>+'CMG-PDO'!A467</f>
        <v>46058</v>
      </c>
      <c r="B467" s="8">
        <f>+'CMG-PDO'!B467</f>
        <v>8.7083333333333073</v>
      </c>
    </row>
    <row r="468" spans="1:2" x14ac:dyDescent="0.3">
      <c r="A468" s="2">
        <f>+'CMG-PDO'!A468</f>
        <v>46058</v>
      </c>
      <c r="B468" s="8">
        <f>+'CMG-PDO'!B468</f>
        <v>8.7291666666666412</v>
      </c>
    </row>
    <row r="469" spans="1:2" x14ac:dyDescent="0.3">
      <c r="A469" s="2">
        <f>+'CMG-PDO'!A469</f>
        <v>46058</v>
      </c>
      <c r="B469" s="8">
        <f>+'CMG-PDO'!B469</f>
        <v>8.7499999999999751</v>
      </c>
    </row>
    <row r="470" spans="1:2" x14ac:dyDescent="0.3">
      <c r="A470" s="2">
        <f>+'CMG-PDO'!A470</f>
        <v>46058</v>
      </c>
      <c r="B470" s="8">
        <f>+'CMG-PDO'!B470</f>
        <v>8.7708333333333091</v>
      </c>
    </row>
    <row r="471" spans="1:2" x14ac:dyDescent="0.3">
      <c r="A471" s="2">
        <f>+'CMG-PDO'!A471</f>
        <v>46058</v>
      </c>
      <c r="B471" s="8">
        <f>+'CMG-PDO'!B471</f>
        <v>8.791666666666643</v>
      </c>
    </row>
    <row r="472" spans="1:2" x14ac:dyDescent="0.3">
      <c r="A472" s="2">
        <f>+'CMG-PDO'!A472</f>
        <v>46058</v>
      </c>
      <c r="B472" s="8">
        <f>+'CMG-PDO'!B472</f>
        <v>8.8124999999999769</v>
      </c>
    </row>
    <row r="473" spans="1:2" x14ac:dyDescent="0.3">
      <c r="A473" s="2">
        <f>+'CMG-PDO'!A473</f>
        <v>46058</v>
      </c>
      <c r="B473" s="8">
        <f>+'CMG-PDO'!B473</f>
        <v>8.8333333333333108</v>
      </c>
    </row>
    <row r="474" spans="1:2" x14ac:dyDescent="0.3">
      <c r="A474" s="2">
        <f>+'CMG-PDO'!A474</f>
        <v>46058</v>
      </c>
      <c r="B474" s="8">
        <f>+'CMG-PDO'!B474</f>
        <v>8.8541666666666448</v>
      </c>
    </row>
    <row r="475" spans="1:2" x14ac:dyDescent="0.3">
      <c r="A475" s="2">
        <f>+'CMG-PDO'!A475</f>
        <v>46058</v>
      </c>
      <c r="B475" s="8">
        <f>+'CMG-PDO'!B475</f>
        <v>8.8749999999999787</v>
      </c>
    </row>
    <row r="476" spans="1:2" x14ac:dyDescent="0.3">
      <c r="A476" s="2">
        <f>+'CMG-PDO'!A476</f>
        <v>46058</v>
      </c>
      <c r="B476" s="8">
        <f>+'CMG-PDO'!B476</f>
        <v>8.8958333333333126</v>
      </c>
    </row>
    <row r="477" spans="1:2" x14ac:dyDescent="0.3">
      <c r="A477" s="2">
        <f>+'CMG-PDO'!A477</f>
        <v>46058</v>
      </c>
      <c r="B477" s="8">
        <f>+'CMG-PDO'!B477</f>
        <v>8.9166666666666465</v>
      </c>
    </row>
    <row r="478" spans="1:2" x14ac:dyDescent="0.3">
      <c r="A478" s="2">
        <f>+'CMG-PDO'!A478</f>
        <v>46058</v>
      </c>
      <c r="B478" s="8">
        <f>+'CMG-PDO'!B478</f>
        <v>8.9374999999999805</v>
      </c>
    </row>
    <row r="479" spans="1:2" x14ac:dyDescent="0.3">
      <c r="A479" s="2">
        <f>+'CMG-PDO'!A479</f>
        <v>46058</v>
      </c>
      <c r="B479" s="8">
        <f>+'CMG-PDO'!B479</f>
        <v>8.9583333333333144</v>
      </c>
    </row>
    <row r="480" spans="1:2" x14ac:dyDescent="0.3">
      <c r="A480" s="2">
        <f>+'CMG-PDO'!A480</f>
        <v>46058</v>
      </c>
      <c r="B480" s="8">
        <f>+'CMG-PDO'!B480</f>
        <v>8.9791666666666483</v>
      </c>
    </row>
    <row r="481" spans="1:2" x14ac:dyDescent="0.3">
      <c r="A481" s="2">
        <f>+'CMG-PDO'!A481</f>
        <v>46058</v>
      </c>
      <c r="B481" s="8">
        <f>+'CMG-PDO'!B481</f>
        <v>8.9999999999999822</v>
      </c>
    </row>
    <row r="482" spans="1:2" x14ac:dyDescent="0.3">
      <c r="A482" s="2">
        <f>+'CMG-PDO'!A482</f>
        <v>46059</v>
      </c>
      <c r="B482" s="8">
        <f>+'CMG-PDO'!B482</f>
        <v>9.0208333333333162</v>
      </c>
    </row>
    <row r="483" spans="1:2" x14ac:dyDescent="0.3">
      <c r="A483" s="2">
        <f>+'CMG-PDO'!A483</f>
        <v>46059</v>
      </c>
      <c r="B483" s="8">
        <f>+'CMG-PDO'!B483</f>
        <v>9.0416666666666501</v>
      </c>
    </row>
    <row r="484" spans="1:2" x14ac:dyDescent="0.3">
      <c r="A484" s="2">
        <f>+'CMG-PDO'!A484</f>
        <v>46059</v>
      </c>
      <c r="B484" s="8">
        <f>+'CMG-PDO'!B484</f>
        <v>9.062499999999984</v>
      </c>
    </row>
    <row r="485" spans="1:2" x14ac:dyDescent="0.3">
      <c r="A485" s="2">
        <f>+'CMG-PDO'!A485</f>
        <v>46059</v>
      </c>
      <c r="B485" s="8">
        <f>+'CMG-PDO'!B485</f>
        <v>9.0833333333333179</v>
      </c>
    </row>
    <row r="486" spans="1:2" x14ac:dyDescent="0.3">
      <c r="A486" s="2">
        <f>+'CMG-PDO'!A486</f>
        <v>46059</v>
      </c>
      <c r="B486" s="8">
        <f>+'CMG-PDO'!B486</f>
        <v>9.1041666666666519</v>
      </c>
    </row>
    <row r="487" spans="1:2" x14ac:dyDescent="0.3">
      <c r="A487" s="2">
        <f>+'CMG-PDO'!A487</f>
        <v>46059</v>
      </c>
      <c r="B487" s="8">
        <f>+'CMG-PDO'!B487</f>
        <v>9.1249999999999858</v>
      </c>
    </row>
    <row r="488" spans="1:2" x14ac:dyDescent="0.3">
      <c r="A488" s="2">
        <f>+'CMG-PDO'!A488</f>
        <v>46059</v>
      </c>
      <c r="B488" s="8">
        <f>+'CMG-PDO'!B488</f>
        <v>9.1458333333333197</v>
      </c>
    </row>
    <row r="489" spans="1:2" x14ac:dyDescent="0.3">
      <c r="A489" s="2">
        <f>+'CMG-PDO'!A489</f>
        <v>46059</v>
      </c>
      <c r="B489" s="8">
        <f>+'CMG-PDO'!B489</f>
        <v>9.1666666666666536</v>
      </c>
    </row>
    <row r="490" spans="1:2" x14ac:dyDescent="0.3">
      <c r="A490" s="2">
        <f>+'CMG-PDO'!A490</f>
        <v>46059</v>
      </c>
      <c r="B490" s="8">
        <f>+'CMG-PDO'!B490</f>
        <v>9.1874999999999876</v>
      </c>
    </row>
    <row r="491" spans="1:2" x14ac:dyDescent="0.3">
      <c r="A491" s="2">
        <f>+'CMG-PDO'!A491</f>
        <v>46059</v>
      </c>
      <c r="B491" s="8">
        <f>+'CMG-PDO'!B491</f>
        <v>9.2083333333333215</v>
      </c>
    </row>
    <row r="492" spans="1:2" x14ac:dyDescent="0.3">
      <c r="A492" s="2">
        <f>+'CMG-PDO'!A492</f>
        <v>46059</v>
      </c>
      <c r="B492" s="8">
        <f>+'CMG-PDO'!B492</f>
        <v>9.2291666666666554</v>
      </c>
    </row>
    <row r="493" spans="1:2" x14ac:dyDescent="0.3">
      <c r="A493" s="2">
        <f>+'CMG-PDO'!A493</f>
        <v>46059</v>
      </c>
      <c r="B493" s="8">
        <f>+'CMG-PDO'!B493</f>
        <v>9.2499999999999893</v>
      </c>
    </row>
    <row r="494" spans="1:2" x14ac:dyDescent="0.3">
      <c r="A494" s="2">
        <f>+'CMG-PDO'!A494</f>
        <v>46059</v>
      </c>
      <c r="B494" s="8">
        <f>+'CMG-PDO'!B494</f>
        <v>9.2708333333333233</v>
      </c>
    </row>
    <row r="495" spans="1:2" x14ac:dyDescent="0.3">
      <c r="A495" s="2">
        <f>+'CMG-PDO'!A495</f>
        <v>46059</v>
      </c>
      <c r="B495" s="8">
        <f>+'CMG-PDO'!B495</f>
        <v>9.2916666666666572</v>
      </c>
    </row>
    <row r="496" spans="1:2" x14ac:dyDescent="0.3">
      <c r="A496" s="2">
        <f>+'CMG-PDO'!A496</f>
        <v>46059</v>
      </c>
      <c r="B496" s="8">
        <f>+'CMG-PDO'!B496</f>
        <v>9.3124999999999911</v>
      </c>
    </row>
    <row r="497" spans="1:2" x14ac:dyDescent="0.3">
      <c r="A497" s="2">
        <f>+'CMG-PDO'!A497</f>
        <v>46059</v>
      </c>
      <c r="B497" s="8">
        <f>+'CMG-PDO'!B497</f>
        <v>9.333333333333325</v>
      </c>
    </row>
    <row r="498" spans="1:2" x14ac:dyDescent="0.3">
      <c r="A498" s="2">
        <f>+'CMG-PDO'!A498</f>
        <v>46059</v>
      </c>
      <c r="B498" s="8">
        <f>+'CMG-PDO'!B498</f>
        <v>9.354166666666659</v>
      </c>
    </row>
    <row r="499" spans="1:2" x14ac:dyDescent="0.3">
      <c r="A499" s="2">
        <f>+'CMG-PDO'!A499</f>
        <v>46059</v>
      </c>
      <c r="B499" s="8">
        <f>+'CMG-PDO'!B499</f>
        <v>9.3749999999999929</v>
      </c>
    </row>
    <row r="500" spans="1:2" x14ac:dyDescent="0.3">
      <c r="A500" s="2">
        <f>+'CMG-PDO'!A500</f>
        <v>46059</v>
      </c>
      <c r="B500" s="8">
        <f>+'CMG-PDO'!B500</f>
        <v>9.3958333333333268</v>
      </c>
    </row>
    <row r="501" spans="1:2" x14ac:dyDescent="0.3">
      <c r="A501" s="2">
        <f>+'CMG-PDO'!A501</f>
        <v>46059</v>
      </c>
      <c r="B501" s="8">
        <f>+'CMG-PDO'!B501</f>
        <v>9.4166666666666607</v>
      </c>
    </row>
    <row r="502" spans="1:2" x14ac:dyDescent="0.3">
      <c r="A502" s="2">
        <f>+'CMG-PDO'!A502</f>
        <v>46059</v>
      </c>
      <c r="B502" s="8">
        <f>+'CMG-PDO'!B502</f>
        <v>9.4374999999999947</v>
      </c>
    </row>
    <row r="503" spans="1:2" x14ac:dyDescent="0.3">
      <c r="A503" s="2">
        <f>+'CMG-PDO'!A503</f>
        <v>46059</v>
      </c>
      <c r="B503" s="8">
        <f>+'CMG-PDO'!B503</f>
        <v>9.4583333333333286</v>
      </c>
    </row>
    <row r="504" spans="1:2" x14ac:dyDescent="0.3">
      <c r="A504" s="2">
        <f>+'CMG-PDO'!A504</f>
        <v>46059</v>
      </c>
      <c r="B504" s="8">
        <f>+'CMG-PDO'!B504</f>
        <v>9.4791666666666625</v>
      </c>
    </row>
    <row r="505" spans="1:2" x14ac:dyDescent="0.3">
      <c r="A505" s="2">
        <f>+'CMG-PDO'!A505</f>
        <v>46059</v>
      </c>
      <c r="B505" s="8">
        <f>+'CMG-PDO'!B505</f>
        <v>9.4999999999999964</v>
      </c>
    </row>
    <row r="506" spans="1:2" x14ac:dyDescent="0.3">
      <c r="A506" s="2">
        <f>+'CMG-PDO'!A506</f>
        <v>46059</v>
      </c>
      <c r="B506" s="8">
        <f>+'CMG-PDO'!B506</f>
        <v>9.5208333333333304</v>
      </c>
    </row>
    <row r="507" spans="1:2" x14ac:dyDescent="0.3">
      <c r="A507" s="2">
        <f>+'CMG-PDO'!A507</f>
        <v>46059</v>
      </c>
      <c r="B507" s="8">
        <f>+'CMG-PDO'!B507</f>
        <v>9.5416666666666643</v>
      </c>
    </row>
    <row r="508" spans="1:2" x14ac:dyDescent="0.3">
      <c r="A508" s="2">
        <f>+'CMG-PDO'!A508</f>
        <v>46059</v>
      </c>
      <c r="B508" s="8">
        <f>+'CMG-PDO'!B508</f>
        <v>9.5624999999999982</v>
      </c>
    </row>
    <row r="509" spans="1:2" x14ac:dyDescent="0.3">
      <c r="A509" s="2">
        <f>+'CMG-PDO'!A509</f>
        <v>46059</v>
      </c>
      <c r="B509" s="8">
        <f>+'CMG-PDO'!B509</f>
        <v>9.5833333333333321</v>
      </c>
    </row>
    <row r="510" spans="1:2" x14ac:dyDescent="0.3">
      <c r="A510" s="2">
        <f>+'CMG-PDO'!A510</f>
        <v>46059</v>
      </c>
      <c r="B510" s="8">
        <f>+'CMG-PDO'!B510</f>
        <v>9.6041666666666661</v>
      </c>
    </row>
    <row r="511" spans="1:2" x14ac:dyDescent="0.3">
      <c r="A511" s="2">
        <f>+'CMG-PDO'!A511</f>
        <v>46059</v>
      </c>
      <c r="B511" s="8">
        <f>+'CMG-PDO'!B511</f>
        <v>9.625</v>
      </c>
    </row>
    <row r="512" spans="1:2" x14ac:dyDescent="0.3">
      <c r="A512" s="2">
        <f>+'CMG-PDO'!A512</f>
        <v>46059</v>
      </c>
      <c r="B512" s="8">
        <f>+'CMG-PDO'!B512</f>
        <v>9.6458333333333339</v>
      </c>
    </row>
    <row r="513" spans="1:2" x14ac:dyDescent="0.3">
      <c r="A513" s="2">
        <f>+'CMG-PDO'!A513</f>
        <v>46059</v>
      </c>
      <c r="B513" s="8">
        <f>+'CMG-PDO'!B513</f>
        <v>9.6666666666666679</v>
      </c>
    </row>
    <row r="514" spans="1:2" x14ac:dyDescent="0.3">
      <c r="A514" s="2">
        <f>+'CMG-PDO'!A514</f>
        <v>46059</v>
      </c>
      <c r="B514" s="8">
        <f>+'CMG-PDO'!B514</f>
        <v>9.6875000000000018</v>
      </c>
    </row>
    <row r="515" spans="1:2" x14ac:dyDescent="0.3">
      <c r="A515" s="2">
        <f>+'CMG-PDO'!A515</f>
        <v>46059</v>
      </c>
      <c r="B515" s="8">
        <f>+'CMG-PDO'!B515</f>
        <v>9.7083333333333357</v>
      </c>
    </row>
    <row r="516" spans="1:2" x14ac:dyDescent="0.3">
      <c r="A516" s="2">
        <f>+'CMG-PDO'!A516</f>
        <v>46059</v>
      </c>
      <c r="B516" s="8">
        <f>+'CMG-PDO'!B516</f>
        <v>9.7291666666666696</v>
      </c>
    </row>
    <row r="517" spans="1:2" x14ac:dyDescent="0.3">
      <c r="A517" s="2">
        <f>+'CMG-PDO'!A517</f>
        <v>46059</v>
      </c>
      <c r="B517" s="8">
        <f>+'CMG-PDO'!B517</f>
        <v>9.7500000000000036</v>
      </c>
    </row>
    <row r="518" spans="1:2" x14ac:dyDescent="0.3">
      <c r="A518" s="2">
        <f>+'CMG-PDO'!A518</f>
        <v>46059</v>
      </c>
      <c r="B518" s="8">
        <f>+'CMG-PDO'!B518</f>
        <v>9.7708333333333375</v>
      </c>
    </row>
    <row r="519" spans="1:2" x14ac:dyDescent="0.3">
      <c r="A519" s="2">
        <f>+'CMG-PDO'!A519</f>
        <v>46059</v>
      </c>
      <c r="B519" s="8">
        <f>+'CMG-PDO'!B519</f>
        <v>9.7916666666666714</v>
      </c>
    </row>
    <row r="520" spans="1:2" x14ac:dyDescent="0.3">
      <c r="A520" s="2">
        <f>+'CMG-PDO'!A520</f>
        <v>46059</v>
      </c>
      <c r="B520" s="8">
        <f>+'CMG-PDO'!B520</f>
        <v>9.8125000000000053</v>
      </c>
    </row>
    <row r="521" spans="1:2" x14ac:dyDescent="0.3">
      <c r="A521" s="2">
        <f>+'CMG-PDO'!A521</f>
        <v>46059</v>
      </c>
      <c r="B521" s="8">
        <f>+'CMG-PDO'!B521</f>
        <v>9.8333333333333393</v>
      </c>
    </row>
    <row r="522" spans="1:2" x14ac:dyDescent="0.3">
      <c r="A522" s="2">
        <f>+'CMG-PDO'!A522</f>
        <v>46059</v>
      </c>
      <c r="B522" s="8">
        <f>+'CMG-PDO'!B522</f>
        <v>9.8541666666666732</v>
      </c>
    </row>
    <row r="523" spans="1:2" x14ac:dyDescent="0.3">
      <c r="A523" s="2">
        <f>+'CMG-PDO'!A523</f>
        <v>46059</v>
      </c>
      <c r="B523" s="8">
        <f>+'CMG-PDO'!B523</f>
        <v>9.8750000000000071</v>
      </c>
    </row>
    <row r="524" spans="1:2" x14ac:dyDescent="0.3">
      <c r="A524" s="2">
        <f>+'CMG-PDO'!A524</f>
        <v>46059</v>
      </c>
      <c r="B524" s="8">
        <f>+'CMG-PDO'!B524</f>
        <v>9.895833333333341</v>
      </c>
    </row>
    <row r="525" spans="1:2" x14ac:dyDescent="0.3">
      <c r="A525" s="2">
        <f>+'CMG-PDO'!A525</f>
        <v>46059</v>
      </c>
      <c r="B525" s="8">
        <f>+'CMG-PDO'!B525</f>
        <v>9.916666666666675</v>
      </c>
    </row>
    <row r="526" spans="1:2" x14ac:dyDescent="0.3">
      <c r="A526" s="2">
        <f>+'CMG-PDO'!A526</f>
        <v>46059</v>
      </c>
      <c r="B526" s="8">
        <f>+'CMG-PDO'!B526</f>
        <v>9.9375000000000089</v>
      </c>
    </row>
    <row r="527" spans="1:2" x14ac:dyDescent="0.3">
      <c r="A527" s="2">
        <f>+'CMG-PDO'!A527</f>
        <v>46059</v>
      </c>
      <c r="B527" s="8">
        <f>+'CMG-PDO'!B527</f>
        <v>9.9583333333333428</v>
      </c>
    </row>
    <row r="528" spans="1:2" x14ac:dyDescent="0.3">
      <c r="A528" s="2">
        <f>+'CMG-PDO'!A528</f>
        <v>46059</v>
      </c>
      <c r="B528" s="8">
        <f>+'CMG-PDO'!B528</f>
        <v>9.9791666666666767</v>
      </c>
    </row>
    <row r="529" spans="1:2" x14ac:dyDescent="0.3">
      <c r="A529" s="2">
        <f>+'CMG-PDO'!A529</f>
        <v>46059</v>
      </c>
      <c r="B529" s="8">
        <f>+'CMG-PDO'!B529</f>
        <v>10.000000000000011</v>
      </c>
    </row>
    <row r="530" spans="1:2" x14ac:dyDescent="0.3">
      <c r="A530" s="2">
        <f>+'CMG-PDO'!A530</f>
        <v>46060</v>
      </c>
      <c r="B530" s="8">
        <f>+'CMG-PDO'!B530</f>
        <v>10.020833333333345</v>
      </c>
    </row>
    <row r="531" spans="1:2" x14ac:dyDescent="0.3">
      <c r="A531" s="2">
        <f>+'CMG-PDO'!A531</f>
        <v>46060</v>
      </c>
      <c r="B531" s="8">
        <f>+'CMG-PDO'!B531</f>
        <v>10.041666666666679</v>
      </c>
    </row>
    <row r="532" spans="1:2" x14ac:dyDescent="0.3">
      <c r="A532" s="2">
        <f>+'CMG-PDO'!A532</f>
        <v>46060</v>
      </c>
      <c r="B532" s="8">
        <f>+'CMG-PDO'!B532</f>
        <v>10.062500000000012</v>
      </c>
    </row>
    <row r="533" spans="1:2" x14ac:dyDescent="0.3">
      <c r="A533" s="2">
        <f>+'CMG-PDO'!A533</f>
        <v>46060</v>
      </c>
      <c r="B533" s="8">
        <f>+'CMG-PDO'!B533</f>
        <v>10.083333333333346</v>
      </c>
    </row>
    <row r="534" spans="1:2" x14ac:dyDescent="0.3">
      <c r="A534" s="2">
        <f>+'CMG-PDO'!A534</f>
        <v>46060</v>
      </c>
      <c r="B534" s="8">
        <f>+'CMG-PDO'!B534</f>
        <v>10.10416666666668</v>
      </c>
    </row>
    <row r="535" spans="1:2" x14ac:dyDescent="0.3">
      <c r="A535" s="2">
        <f>+'CMG-PDO'!A535</f>
        <v>46060</v>
      </c>
      <c r="B535" s="8">
        <f>+'CMG-PDO'!B535</f>
        <v>10.125000000000014</v>
      </c>
    </row>
    <row r="536" spans="1:2" x14ac:dyDescent="0.3">
      <c r="A536" s="2">
        <f>+'CMG-PDO'!A536</f>
        <v>46060</v>
      </c>
      <c r="B536" s="8">
        <f>+'CMG-PDO'!B536</f>
        <v>10.145833333333348</v>
      </c>
    </row>
    <row r="537" spans="1:2" x14ac:dyDescent="0.3">
      <c r="A537" s="2">
        <f>+'CMG-PDO'!A537</f>
        <v>46060</v>
      </c>
      <c r="B537" s="8">
        <f>+'CMG-PDO'!B537</f>
        <v>10.166666666666682</v>
      </c>
    </row>
    <row r="538" spans="1:2" x14ac:dyDescent="0.3">
      <c r="A538" s="2">
        <f>+'CMG-PDO'!A538</f>
        <v>46060</v>
      </c>
      <c r="B538" s="8">
        <f>+'CMG-PDO'!B538</f>
        <v>10.187500000000016</v>
      </c>
    </row>
    <row r="539" spans="1:2" x14ac:dyDescent="0.3">
      <c r="A539" s="2">
        <f>+'CMG-PDO'!A539</f>
        <v>46060</v>
      </c>
      <c r="B539" s="8">
        <f>+'CMG-PDO'!B539</f>
        <v>10.20833333333335</v>
      </c>
    </row>
    <row r="540" spans="1:2" x14ac:dyDescent="0.3">
      <c r="A540" s="2">
        <f>+'CMG-PDO'!A540</f>
        <v>46060</v>
      </c>
      <c r="B540" s="8">
        <f>+'CMG-PDO'!B540</f>
        <v>10.229166666666684</v>
      </c>
    </row>
    <row r="541" spans="1:2" x14ac:dyDescent="0.3">
      <c r="A541" s="2">
        <f>+'CMG-PDO'!A541</f>
        <v>46060</v>
      </c>
      <c r="B541" s="8">
        <f>+'CMG-PDO'!B541</f>
        <v>10.250000000000018</v>
      </c>
    </row>
    <row r="542" spans="1:2" x14ac:dyDescent="0.3">
      <c r="A542" s="2">
        <f>+'CMG-PDO'!A542</f>
        <v>46060</v>
      </c>
      <c r="B542" s="8">
        <f>+'CMG-PDO'!B542</f>
        <v>10.270833333333352</v>
      </c>
    </row>
    <row r="543" spans="1:2" x14ac:dyDescent="0.3">
      <c r="A543" s="2">
        <f>+'CMG-PDO'!A543</f>
        <v>46060</v>
      </c>
      <c r="B543" s="8">
        <f>+'CMG-PDO'!B543</f>
        <v>10.291666666666686</v>
      </c>
    </row>
    <row r="544" spans="1:2" x14ac:dyDescent="0.3">
      <c r="A544" s="2">
        <f>+'CMG-PDO'!A544</f>
        <v>46060</v>
      </c>
      <c r="B544" s="8">
        <f>+'CMG-PDO'!B544</f>
        <v>10.31250000000002</v>
      </c>
    </row>
    <row r="545" spans="1:2" x14ac:dyDescent="0.3">
      <c r="A545" s="2">
        <f>+'CMG-PDO'!A545</f>
        <v>46060</v>
      </c>
      <c r="B545" s="8">
        <f>+'CMG-PDO'!B545</f>
        <v>10.333333333333353</v>
      </c>
    </row>
    <row r="546" spans="1:2" x14ac:dyDescent="0.3">
      <c r="A546" s="2">
        <f>+'CMG-PDO'!A546</f>
        <v>46060</v>
      </c>
      <c r="B546" s="8">
        <f>+'CMG-PDO'!B546</f>
        <v>10.354166666666687</v>
      </c>
    </row>
    <row r="547" spans="1:2" x14ac:dyDescent="0.3">
      <c r="A547" s="2">
        <f>+'CMG-PDO'!A547</f>
        <v>46060</v>
      </c>
      <c r="B547" s="8">
        <f>+'CMG-PDO'!B547</f>
        <v>10.375000000000021</v>
      </c>
    </row>
    <row r="548" spans="1:2" x14ac:dyDescent="0.3">
      <c r="A548" s="2">
        <f>+'CMG-PDO'!A548</f>
        <v>46060</v>
      </c>
      <c r="B548" s="8">
        <f>+'CMG-PDO'!B548</f>
        <v>10.395833333333355</v>
      </c>
    </row>
    <row r="549" spans="1:2" x14ac:dyDescent="0.3">
      <c r="A549" s="2">
        <f>+'CMG-PDO'!A549</f>
        <v>46060</v>
      </c>
      <c r="B549" s="8">
        <f>+'CMG-PDO'!B549</f>
        <v>10.416666666666689</v>
      </c>
    </row>
    <row r="550" spans="1:2" x14ac:dyDescent="0.3">
      <c r="A550" s="2">
        <f>+'CMG-PDO'!A550</f>
        <v>46060</v>
      </c>
      <c r="B550" s="8">
        <f>+'CMG-PDO'!B550</f>
        <v>10.437500000000023</v>
      </c>
    </row>
    <row r="551" spans="1:2" x14ac:dyDescent="0.3">
      <c r="A551" s="2">
        <f>+'CMG-PDO'!A551</f>
        <v>46060</v>
      </c>
      <c r="B551" s="8">
        <f>+'CMG-PDO'!B551</f>
        <v>10.458333333333357</v>
      </c>
    </row>
    <row r="552" spans="1:2" x14ac:dyDescent="0.3">
      <c r="A552" s="2">
        <f>+'CMG-PDO'!A552</f>
        <v>46060</v>
      </c>
      <c r="B552" s="8">
        <f>+'CMG-PDO'!B552</f>
        <v>10.479166666666691</v>
      </c>
    </row>
    <row r="553" spans="1:2" x14ac:dyDescent="0.3">
      <c r="A553" s="2">
        <f>+'CMG-PDO'!A553</f>
        <v>46060</v>
      </c>
      <c r="B553" s="8">
        <f>+'CMG-PDO'!B553</f>
        <v>10.500000000000025</v>
      </c>
    </row>
    <row r="554" spans="1:2" x14ac:dyDescent="0.3">
      <c r="A554" s="2">
        <f>+'CMG-PDO'!A554</f>
        <v>46060</v>
      </c>
      <c r="B554" s="8">
        <f>+'CMG-PDO'!B554</f>
        <v>10.520833333333359</v>
      </c>
    </row>
    <row r="555" spans="1:2" x14ac:dyDescent="0.3">
      <c r="A555" s="2">
        <f>+'CMG-PDO'!A555</f>
        <v>46060</v>
      </c>
      <c r="B555" s="8">
        <f>+'CMG-PDO'!B555</f>
        <v>10.541666666666693</v>
      </c>
    </row>
    <row r="556" spans="1:2" x14ac:dyDescent="0.3">
      <c r="A556" s="2">
        <f>+'CMG-PDO'!A556</f>
        <v>46060</v>
      </c>
      <c r="B556" s="8">
        <f>+'CMG-PDO'!B556</f>
        <v>10.562500000000027</v>
      </c>
    </row>
    <row r="557" spans="1:2" x14ac:dyDescent="0.3">
      <c r="A557" s="2">
        <f>+'CMG-PDO'!A557</f>
        <v>46060</v>
      </c>
      <c r="B557" s="8">
        <f>+'CMG-PDO'!B557</f>
        <v>10.583333333333361</v>
      </c>
    </row>
    <row r="558" spans="1:2" x14ac:dyDescent="0.3">
      <c r="A558" s="2">
        <f>+'CMG-PDO'!A558</f>
        <v>46060</v>
      </c>
      <c r="B558" s="8">
        <f>+'CMG-PDO'!B558</f>
        <v>10.604166666666694</v>
      </c>
    </row>
    <row r="559" spans="1:2" x14ac:dyDescent="0.3">
      <c r="A559" s="2">
        <f>+'CMG-PDO'!A559</f>
        <v>46060</v>
      </c>
      <c r="B559" s="8">
        <f>+'CMG-PDO'!B559</f>
        <v>10.625000000000028</v>
      </c>
    </row>
    <row r="560" spans="1:2" x14ac:dyDescent="0.3">
      <c r="A560" s="2">
        <f>+'CMG-PDO'!A560</f>
        <v>46060</v>
      </c>
      <c r="B560" s="8">
        <f>+'CMG-PDO'!B560</f>
        <v>10.645833333333362</v>
      </c>
    </row>
    <row r="561" spans="1:2" x14ac:dyDescent="0.3">
      <c r="A561" s="2">
        <f>+'CMG-PDO'!A561</f>
        <v>46060</v>
      </c>
      <c r="B561" s="8">
        <f>+'CMG-PDO'!B561</f>
        <v>10.666666666666696</v>
      </c>
    </row>
    <row r="562" spans="1:2" x14ac:dyDescent="0.3">
      <c r="A562" s="2">
        <f>+'CMG-PDO'!A562</f>
        <v>46060</v>
      </c>
      <c r="B562" s="8">
        <f>+'CMG-PDO'!B562</f>
        <v>10.68750000000003</v>
      </c>
    </row>
    <row r="563" spans="1:2" x14ac:dyDescent="0.3">
      <c r="A563" s="2">
        <f>+'CMG-PDO'!A563</f>
        <v>46060</v>
      </c>
      <c r="B563" s="8">
        <f>+'CMG-PDO'!B563</f>
        <v>10.708333333333364</v>
      </c>
    </row>
    <row r="564" spans="1:2" x14ac:dyDescent="0.3">
      <c r="A564" s="2">
        <f>+'CMG-PDO'!A564</f>
        <v>46060</v>
      </c>
      <c r="B564" s="8">
        <f>+'CMG-PDO'!B564</f>
        <v>10.729166666666698</v>
      </c>
    </row>
    <row r="565" spans="1:2" x14ac:dyDescent="0.3">
      <c r="A565" s="2">
        <f>+'CMG-PDO'!A565</f>
        <v>46060</v>
      </c>
      <c r="B565" s="8">
        <f>+'CMG-PDO'!B565</f>
        <v>10.750000000000032</v>
      </c>
    </row>
    <row r="566" spans="1:2" x14ac:dyDescent="0.3">
      <c r="A566" s="2">
        <f>+'CMG-PDO'!A566</f>
        <v>46060</v>
      </c>
      <c r="B566" s="8">
        <f>+'CMG-PDO'!B566</f>
        <v>10.770833333333366</v>
      </c>
    </row>
    <row r="567" spans="1:2" x14ac:dyDescent="0.3">
      <c r="A567" s="2">
        <f>+'CMG-PDO'!A567</f>
        <v>46060</v>
      </c>
      <c r="B567" s="8">
        <f>+'CMG-PDO'!B567</f>
        <v>10.7916666666667</v>
      </c>
    </row>
    <row r="568" spans="1:2" x14ac:dyDescent="0.3">
      <c r="A568" s="2">
        <f>+'CMG-PDO'!A568</f>
        <v>46060</v>
      </c>
      <c r="B568" s="8">
        <f>+'CMG-PDO'!B568</f>
        <v>10.812500000000034</v>
      </c>
    </row>
    <row r="569" spans="1:2" x14ac:dyDescent="0.3">
      <c r="A569" s="2">
        <f>+'CMG-PDO'!A569</f>
        <v>46060</v>
      </c>
      <c r="B569" s="8">
        <f>+'CMG-PDO'!B569</f>
        <v>10.833333333333368</v>
      </c>
    </row>
    <row r="570" spans="1:2" x14ac:dyDescent="0.3">
      <c r="A570" s="2">
        <f>+'CMG-PDO'!A570</f>
        <v>46060</v>
      </c>
      <c r="B570" s="8">
        <f>+'CMG-PDO'!B570</f>
        <v>10.854166666666702</v>
      </c>
    </row>
    <row r="571" spans="1:2" x14ac:dyDescent="0.3">
      <c r="A571" s="2">
        <f>+'CMG-PDO'!A571</f>
        <v>46060</v>
      </c>
      <c r="B571" s="8">
        <f>+'CMG-PDO'!B571</f>
        <v>10.875000000000036</v>
      </c>
    </row>
    <row r="572" spans="1:2" x14ac:dyDescent="0.3">
      <c r="A572" s="2">
        <f>+'CMG-PDO'!A572</f>
        <v>46060</v>
      </c>
      <c r="B572" s="8">
        <f>+'CMG-PDO'!B572</f>
        <v>10.895833333333369</v>
      </c>
    </row>
    <row r="573" spans="1:2" x14ac:dyDescent="0.3">
      <c r="A573" s="2">
        <f>+'CMG-PDO'!A573</f>
        <v>46060</v>
      </c>
      <c r="B573" s="8">
        <f>+'CMG-PDO'!B573</f>
        <v>10.916666666666703</v>
      </c>
    </row>
    <row r="574" spans="1:2" x14ac:dyDescent="0.3">
      <c r="A574" s="2">
        <f>+'CMG-PDO'!A574</f>
        <v>46060</v>
      </c>
      <c r="B574" s="8">
        <f>+'CMG-PDO'!B574</f>
        <v>10.937500000000037</v>
      </c>
    </row>
    <row r="575" spans="1:2" x14ac:dyDescent="0.3">
      <c r="A575" s="2">
        <f>+'CMG-PDO'!A575</f>
        <v>46060</v>
      </c>
      <c r="B575" s="8">
        <f>+'CMG-PDO'!B575</f>
        <v>10.958333333333371</v>
      </c>
    </row>
    <row r="576" spans="1:2" x14ac:dyDescent="0.3">
      <c r="A576" s="2">
        <f>+'CMG-PDO'!A576</f>
        <v>46060</v>
      </c>
      <c r="B576" s="8">
        <f>+'CMG-PDO'!B576</f>
        <v>10.979166666666705</v>
      </c>
    </row>
    <row r="577" spans="1:2" x14ac:dyDescent="0.3">
      <c r="A577" s="2">
        <f>+'CMG-PDO'!A577</f>
        <v>46060</v>
      </c>
      <c r="B577" s="8">
        <f>+'CMG-PDO'!B577</f>
        <v>11.000000000000039</v>
      </c>
    </row>
    <row r="578" spans="1:2" x14ac:dyDescent="0.3">
      <c r="A578" s="2"/>
      <c r="B578" s="8"/>
    </row>
    <row r="579" spans="1:2" x14ac:dyDescent="0.3">
      <c r="A579" s="2"/>
      <c r="B579" s="8"/>
    </row>
    <row r="580" spans="1:2" x14ac:dyDescent="0.3">
      <c r="A580" s="2"/>
      <c r="B580" s="8"/>
    </row>
    <row r="581" spans="1:2" x14ac:dyDescent="0.3">
      <c r="A581" s="2"/>
      <c r="B581" s="8"/>
    </row>
    <row r="582" spans="1:2" x14ac:dyDescent="0.3">
      <c r="A582" s="2"/>
      <c r="B582" s="8"/>
    </row>
    <row r="583" spans="1:2" x14ac:dyDescent="0.3">
      <c r="A583" s="2"/>
      <c r="B583" s="8"/>
    </row>
    <row r="584" spans="1:2" x14ac:dyDescent="0.3">
      <c r="A584" s="2"/>
      <c r="B584" s="8"/>
    </row>
    <row r="585" spans="1:2" x14ac:dyDescent="0.3">
      <c r="A585" s="2"/>
      <c r="B585" s="8"/>
    </row>
    <row r="586" spans="1:2" x14ac:dyDescent="0.3">
      <c r="A586" s="2"/>
      <c r="B586" s="8"/>
    </row>
    <row r="587" spans="1:2" x14ac:dyDescent="0.3">
      <c r="A587" s="2"/>
      <c r="B587" s="8"/>
    </row>
    <row r="588" spans="1:2" x14ac:dyDescent="0.3">
      <c r="A588" s="2"/>
      <c r="B588" s="8"/>
    </row>
    <row r="589" spans="1:2" x14ac:dyDescent="0.3">
      <c r="A589" s="2"/>
      <c r="B589" s="8"/>
    </row>
    <row r="590" spans="1:2" x14ac:dyDescent="0.3">
      <c r="A590" s="2"/>
      <c r="B590" s="8"/>
    </row>
    <row r="591" spans="1:2" x14ac:dyDescent="0.3">
      <c r="A591" s="2"/>
      <c r="B591" s="8"/>
    </row>
    <row r="592" spans="1:2" x14ac:dyDescent="0.3">
      <c r="A592" s="2"/>
      <c r="B592" s="8"/>
    </row>
    <row r="593" spans="1:2" x14ac:dyDescent="0.3">
      <c r="A593" s="2"/>
      <c r="B593" s="8"/>
    </row>
    <row r="594" spans="1:2" x14ac:dyDescent="0.3">
      <c r="A594" s="2"/>
      <c r="B594" s="8"/>
    </row>
    <row r="595" spans="1:2" x14ac:dyDescent="0.3">
      <c r="A595" s="2"/>
      <c r="B595" s="8"/>
    </row>
    <row r="596" spans="1:2" x14ac:dyDescent="0.3">
      <c r="A596" s="2"/>
      <c r="B596" s="8"/>
    </row>
    <row r="597" spans="1:2" x14ac:dyDescent="0.3">
      <c r="A597" s="2"/>
      <c r="B597" s="8"/>
    </row>
    <row r="598" spans="1:2" x14ac:dyDescent="0.3">
      <c r="A598" s="2"/>
      <c r="B598" s="8"/>
    </row>
    <row r="599" spans="1:2" x14ac:dyDescent="0.3">
      <c r="A599" s="2"/>
      <c r="B599" s="8"/>
    </row>
    <row r="600" spans="1:2" x14ac:dyDescent="0.3">
      <c r="A600" s="2"/>
      <c r="B600" s="8"/>
    </row>
    <row r="601" spans="1:2" x14ac:dyDescent="0.3">
      <c r="A601" s="2"/>
      <c r="B601" s="8"/>
    </row>
    <row r="602" spans="1:2" x14ac:dyDescent="0.3">
      <c r="A602" s="2"/>
      <c r="B602" s="8"/>
    </row>
    <row r="603" spans="1:2" x14ac:dyDescent="0.3">
      <c r="A603" s="2"/>
      <c r="B603" s="8"/>
    </row>
    <row r="604" spans="1:2" x14ac:dyDescent="0.3">
      <c r="A604" s="2"/>
      <c r="B604" s="8"/>
    </row>
    <row r="605" spans="1:2" x14ac:dyDescent="0.3">
      <c r="A605" s="2"/>
      <c r="B605" s="8"/>
    </row>
    <row r="606" spans="1:2" x14ac:dyDescent="0.3">
      <c r="A606" s="2"/>
      <c r="B606" s="8"/>
    </row>
    <row r="607" spans="1:2" x14ac:dyDescent="0.3">
      <c r="A607" s="2"/>
      <c r="B607" s="8"/>
    </row>
    <row r="608" spans="1:2" x14ac:dyDescent="0.3">
      <c r="A608" s="2"/>
      <c r="B608" s="8"/>
    </row>
    <row r="609" spans="1:2" x14ac:dyDescent="0.3">
      <c r="A609" s="2"/>
      <c r="B609" s="8"/>
    </row>
    <row r="610" spans="1:2" x14ac:dyDescent="0.3">
      <c r="A610" s="2"/>
      <c r="B610" s="8"/>
    </row>
    <row r="611" spans="1:2" x14ac:dyDescent="0.3">
      <c r="A611" s="2"/>
      <c r="B611" s="8"/>
    </row>
    <row r="612" spans="1:2" x14ac:dyDescent="0.3">
      <c r="A612" s="2"/>
      <c r="B612" s="8"/>
    </row>
    <row r="613" spans="1:2" x14ac:dyDescent="0.3">
      <c r="A613" s="2"/>
      <c r="B613" s="8"/>
    </row>
    <row r="614" spans="1:2" x14ac:dyDescent="0.3">
      <c r="A614" s="2"/>
      <c r="B614" s="8"/>
    </row>
    <row r="615" spans="1:2" x14ac:dyDescent="0.3">
      <c r="A615" s="2"/>
      <c r="B615" s="8"/>
    </row>
    <row r="616" spans="1:2" x14ac:dyDescent="0.3">
      <c r="A616" s="2"/>
      <c r="B616" s="8"/>
    </row>
    <row r="617" spans="1:2" x14ac:dyDescent="0.3">
      <c r="A617" s="2"/>
      <c r="B617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C94BE-5002-4951-A81F-10048CC29D80}">
  <dimension ref="A1:F609"/>
  <sheetViews>
    <sheetView topLeftCell="A425" workbookViewId="0">
      <selection activeCell="C386" sqref="C386:F433"/>
    </sheetView>
  </sheetViews>
  <sheetFormatPr baseColWidth="10" defaultRowHeight="16.5" x14ac:dyDescent="0.3"/>
  <cols>
    <col min="1" max="1" width="10.42578125" style="1" bestFit="1" customWidth="1"/>
    <col min="2" max="2" width="11.42578125" style="5"/>
    <col min="3" max="3" width="10.85546875" style="7" bestFit="1" customWidth="1"/>
    <col min="4" max="4" width="9.42578125" style="7" bestFit="1" customWidth="1"/>
    <col min="5" max="5" width="9.5703125" style="7" bestFit="1" customWidth="1"/>
    <col min="6" max="6" width="14.140625" style="7" bestFit="1" customWidth="1"/>
    <col min="7" max="16384" width="11.42578125" style="1"/>
  </cols>
  <sheetData>
    <row r="1" spans="1:6" s="4" customFormat="1" x14ac:dyDescent="0.3">
      <c r="A1" s="4" t="s">
        <v>0</v>
      </c>
      <c r="B1" s="6" t="s">
        <v>1</v>
      </c>
      <c r="C1" s="14" t="s">
        <v>2</v>
      </c>
      <c r="D1" s="14" t="s">
        <v>3</v>
      </c>
      <c r="E1" s="14" t="s">
        <v>4</v>
      </c>
      <c r="F1" s="14" t="s">
        <v>5</v>
      </c>
    </row>
    <row r="2" spans="1:6" s="4" customFormat="1" x14ac:dyDescent="0.3">
      <c r="A2" s="2">
        <v>46049</v>
      </c>
      <c r="B2" s="8">
        <v>2.0833333333333332E-2</v>
      </c>
      <c r="C2" s="7">
        <v>36.836587125748501</v>
      </c>
      <c r="D2" s="7">
        <v>37.952317664670659</v>
      </c>
      <c r="E2" s="7">
        <v>38.59880688622755</v>
      </c>
      <c r="F2" s="7">
        <v>34.874345508982039</v>
      </c>
    </row>
    <row r="3" spans="1:6" s="4" customFormat="1" x14ac:dyDescent="0.3">
      <c r="A3" s="2">
        <v>46049</v>
      </c>
      <c r="B3" s="8">
        <v>4.1666666666666664E-2</v>
      </c>
      <c r="C3" s="7">
        <v>36.855263173652695</v>
      </c>
      <c r="D3" s="7">
        <v>37.850076946107784</v>
      </c>
      <c r="E3" s="7">
        <v>38.637018562874253</v>
      </c>
      <c r="F3" s="7">
        <v>34.933840718562877</v>
      </c>
    </row>
    <row r="4" spans="1:6" s="4" customFormat="1" x14ac:dyDescent="0.3">
      <c r="A4" s="2">
        <v>46049</v>
      </c>
      <c r="B4" s="8">
        <v>6.25E-2</v>
      </c>
      <c r="C4" s="7">
        <v>36.863639820359282</v>
      </c>
      <c r="D4" s="7">
        <v>37.822244011976053</v>
      </c>
      <c r="E4" s="7">
        <v>38.857389221556886</v>
      </c>
      <c r="F4" s="7">
        <v>34.931901197604795</v>
      </c>
    </row>
    <row r="5" spans="1:6" s="4" customFormat="1" x14ac:dyDescent="0.3">
      <c r="A5" s="2">
        <v>46049</v>
      </c>
      <c r="B5" s="8">
        <v>8.3333333333333301E-2</v>
      </c>
      <c r="C5" s="7">
        <v>44.746504191616772</v>
      </c>
      <c r="D5" s="7">
        <v>45.864652095808388</v>
      </c>
      <c r="E5" s="7">
        <v>47.122006287425151</v>
      </c>
      <c r="F5" s="7">
        <v>42.376351796407185</v>
      </c>
    </row>
    <row r="6" spans="1:6" s="4" customFormat="1" x14ac:dyDescent="0.3">
      <c r="A6" s="2">
        <v>46049</v>
      </c>
      <c r="B6" s="8">
        <v>0.104166666666667</v>
      </c>
      <c r="C6" s="7">
        <v>36.859502994011983</v>
      </c>
      <c r="D6" s="7">
        <v>37.784800299401198</v>
      </c>
      <c r="E6" s="7">
        <v>38.757790119760479</v>
      </c>
      <c r="F6" s="7">
        <v>35.009500598802397</v>
      </c>
    </row>
    <row r="7" spans="1:6" s="4" customFormat="1" x14ac:dyDescent="0.3">
      <c r="A7" s="2">
        <v>46049</v>
      </c>
      <c r="B7" s="8">
        <v>0.125</v>
      </c>
      <c r="C7" s="7">
        <v>36.861548502994012</v>
      </c>
      <c r="D7" s="7">
        <v>37.731433832335327</v>
      </c>
      <c r="E7" s="7">
        <v>38.790300299401203</v>
      </c>
      <c r="F7" s="7">
        <v>34.983705089820361</v>
      </c>
    </row>
    <row r="8" spans="1:6" s="4" customFormat="1" x14ac:dyDescent="0.3">
      <c r="A8" s="2">
        <v>46049</v>
      </c>
      <c r="B8" s="8">
        <v>0.14583333333333301</v>
      </c>
      <c r="C8" s="7">
        <v>36.868022754491022</v>
      </c>
      <c r="D8" s="7">
        <v>37.67158982035928</v>
      </c>
      <c r="E8" s="7">
        <v>38.803265568862273</v>
      </c>
      <c r="F8" s="7">
        <v>34.935267365269461</v>
      </c>
    </row>
    <row r="9" spans="1:6" s="4" customFormat="1" x14ac:dyDescent="0.3">
      <c r="A9" s="2">
        <v>46049</v>
      </c>
      <c r="B9" s="8">
        <v>0.16666666666666599</v>
      </c>
      <c r="C9" s="7">
        <v>36.875780239520957</v>
      </c>
      <c r="D9" s="7">
        <v>37.734761676646706</v>
      </c>
      <c r="E9" s="7">
        <v>38.882779341317367</v>
      </c>
      <c r="F9" s="7">
        <v>34.933085928143711</v>
      </c>
    </row>
    <row r="10" spans="1:6" s="4" customFormat="1" x14ac:dyDescent="0.3">
      <c r="A10" s="2">
        <v>46049</v>
      </c>
      <c r="B10" s="8">
        <v>0.1875</v>
      </c>
      <c r="C10" s="7">
        <v>36.865695209580842</v>
      </c>
      <c r="D10" s="7">
        <v>37.681011676646712</v>
      </c>
      <c r="E10" s="7">
        <v>38.858126946107788</v>
      </c>
      <c r="F10" s="7">
        <v>35.044042514970059</v>
      </c>
    </row>
    <row r="11" spans="1:6" s="4" customFormat="1" x14ac:dyDescent="0.3">
      <c r="A11" s="2">
        <v>46049</v>
      </c>
      <c r="B11" s="8">
        <v>0.20833333333333301</v>
      </c>
      <c r="C11" s="7">
        <v>36.880063772455088</v>
      </c>
      <c r="D11" s="7">
        <v>37.674097305389225</v>
      </c>
      <c r="E11" s="7">
        <v>38.864062275449108</v>
      </c>
      <c r="F11" s="7">
        <v>35.007047604790422</v>
      </c>
    </row>
    <row r="12" spans="1:6" s="4" customFormat="1" x14ac:dyDescent="0.3">
      <c r="A12" s="2">
        <v>46049</v>
      </c>
      <c r="B12" s="8">
        <v>0.22916666666666599</v>
      </c>
      <c r="C12" s="7">
        <v>36.864604491017964</v>
      </c>
      <c r="D12" s="7">
        <v>37.743401497005991</v>
      </c>
      <c r="E12" s="7">
        <v>38.766893413173655</v>
      </c>
      <c r="F12" s="7">
        <v>34.96714790419162</v>
      </c>
    </row>
    <row r="13" spans="1:6" s="4" customFormat="1" x14ac:dyDescent="0.3">
      <c r="A13" s="2">
        <v>46049</v>
      </c>
      <c r="B13" s="8">
        <v>0.25</v>
      </c>
      <c r="C13" s="7">
        <v>36.837752694610778</v>
      </c>
      <c r="D13" s="7">
        <v>37.7446877245509</v>
      </c>
      <c r="E13" s="7">
        <v>38.609420658682637</v>
      </c>
      <c r="F13" s="7">
        <v>34.858911676646706</v>
      </c>
    </row>
    <row r="14" spans="1:6" s="4" customFormat="1" x14ac:dyDescent="0.3">
      <c r="A14" s="2">
        <v>46049</v>
      </c>
      <c r="B14" s="8">
        <v>0.27083333333333298</v>
      </c>
      <c r="C14" s="7">
        <v>29.678423353293415</v>
      </c>
      <c r="D14" s="7">
        <v>30.560696407185631</v>
      </c>
      <c r="E14" s="7">
        <v>30.927782934131738</v>
      </c>
      <c r="F14" s="7">
        <v>28.036464371257484</v>
      </c>
    </row>
    <row r="15" spans="1:6" s="4" customFormat="1" x14ac:dyDescent="0.3">
      <c r="A15" s="2">
        <v>46049</v>
      </c>
      <c r="B15" s="8">
        <v>0.29166666666666602</v>
      </c>
      <c r="C15" s="7">
        <v>25.641602694610782</v>
      </c>
      <c r="D15" s="7">
        <v>26.392609281437124</v>
      </c>
      <c r="E15" s="7">
        <v>26.553169161676646</v>
      </c>
      <c r="F15" s="7">
        <v>24.204994610778446</v>
      </c>
    </row>
    <row r="16" spans="1:6" s="4" customFormat="1" x14ac:dyDescent="0.3">
      <c r="A16" s="2">
        <v>46049</v>
      </c>
      <c r="B16" s="8">
        <v>0.3125</v>
      </c>
      <c r="C16" s="7">
        <v>36.862161976047908</v>
      </c>
      <c r="D16" s="7">
        <v>38.046041317365273</v>
      </c>
      <c r="E16" s="7">
        <v>37.838569461077846</v>
      </c>
      <c r="F16" s="7">
        <v>34.73472634730539</v>
      </c>
    </row>
    <row r="17" spans="1:6" s="4" customFormat="1" x14ac:dyDescent="0.3">
      <c r="A17" s="2">
        <v>46049</v>
      </c>
      <c r="B17" s="8">
        <v>0.33333333333333298</v>
      </c>
      <c r="C17" s="7">
        <v>36.820956886227542</v>
      </c>
      <c r="D17" s="7">
        <v>38.170910778443115</v>
      </c>
      <c r="E17" s="7">
        <v>37.3163383233533</v>
      </c>
      <c r="F17" s="7">
        <v>34.581978443113776</v>
      </c>
    </row>
    <row r="18" spans="1:6" s="4" customFormat="1" x14ac:dyDescent="0.3">
      <c r="A18" s="2">
        <v>46049</v>
      </c>
      <c r="B18" s="8">
        <v>0.35416666666666602</v>
      </c>
      <c r="C18" s="7">
        <v>36.785415269461076</v>
      </c>
      <c r="D18" s="7">
        <v>38.295550898203594</v>
      </c>
      <c r="E18" s="7">
        <v>36.952526347305387</v>
      </c>
      <c r="F18" s="7">
        <v>34.530317964071855</v>
      </c>
    </row>
    <row r="19" spans="1:6" s="4" customFormat="1" x14ac:dyDescent="0.3">
      <c r="A19" s="2">
        <v>46049</v>
      </c>
      <c r="B19" s="8">
        <v>0.375</v>
      </c>
      <c r="C19" s="7">
        <v>30.355200598802398</v>
      </c>
      <c r="D19" s="7">
        <v>31.711073353293415</v>
      </c>
      <c r="E19" s="7">
        <v>29.984866467065871</v>
      </c>
      <c r="F19" s="7">
        <v>28.483617365269463</v>
      </c>
    </row>
    <row r="20" spans="1:6" s="4" customFormat="1" x14ac:dyDescent="0.3">
      <c r="A20" s="2">
        <v>46049</v>
      </c>
      <c r="B20" s="8">
        <v>0.39583333333333298</v>
      </c>
      <c r="C20" s="7">
        <v>30.489856287425148</v>
      </c>
      <c r="D20" s="7">
        <v>31.90171047904192</v>
      </c>
      <c r="E20" s="7">
        <v>29.896447305389223</v>
      </c>
      <c r="F20" s="7">
        <v>28.609392514970061</v>
      </c>
    </row>
    <row r="21" spans="1:6" s="4" customFormat="1" x14ac:dyDescent="0.3">
      <c r="A21" s="2">
        <v>46049</v>
      </c>
      <c r="B21" s="8">
        <v>0.41666666666666602</v>
      </c>
      <c r="C21" s="7">
        <v>30.612717065868267</v>
      </c>
      <c r="D21" s="7">
        <v>32.085434131736527</v>
      </c>
      <c r="E21" s="7">
        <v>29.840690718562875</v>
      </c>
      <c r="F21" s="7">
        <v>28.554513772455092</v>
      </c>
    </row>
    <row r="22" spans="1:6" s="4" customFormat="1" x14ac:dyDescent="0.3">
      <c r="A22" s="2">
        <v>46049</v>
      </c>
      <c r="B22" s="8">
        <v>0.4375</v>
      </c>
      <c r="C22" s="7">
        <v>30.696546107784435</v>
      </c>
      <c r="D22" s="7">
        <v>32.2282748502994</v>
      </c>
      <c r="E22" s="7">
        <v>29.890876047904193</v>
      </c>
      <c r="F22" s="7">
        <v>28.659979940119761</v>
      </c>
    </row>
    <row r="23" spans="1:6" s="4" customFormat="1" x14ac:dyDescent="0.3">
      <c r="A23" s="2">
        <v>46049</v>
      </c>
      <c r="B23" s="8">
        <v>0.45833333333333298</v>
      </c>
      <c r="C23" s="7">
        <v>30.428601197604792</v>
      </c>
      <c r="D23" s="7">
        <v>31.852485329341317</v>
      </c>
      <c r="E23" s="7">
        <v>29.508156287425152</v>
      </c>
      <c r="F23" s="7">
        <v>28.487223053892215</v>
      </c>
    </row>
    <row r="24" spans="1:6" s="4" customFormat="1" x14ac:dyDescent="0.3">
      <c r="A24" s="2">
        <v>46049</v>
      </c>
      <c r="B24" s="8">
        <v>0.47916666666666602</v>
      </c>
      <c r="C24" s="7">
        <v>30.546282335329344</v>
      </c>
      <c r="D24" s="7">
        <v>32.142650598802398</v>
      </c>
      <c r="E24" s="7">
        <v>29.853786826347307</v>
      </c>
      <c r="F24" s="7">
        <v>28.482890718562878</v>
      </c>
    </row>
    <row r="25" spans="1:6" s="4" customFormat="1" x14ac:dyDescent="0.3">
      <c r="A25" s="2">
        <v>46049</v>
      </c>
      <c r="B25" s="8">
        <v>0.5</v>
      </c>
      <c r="C25" s="7">
        <v>30.901313473053893</v>
      </c>
      <c r="D25" s="7">
        <v>32.616229640718565</v>
      </c>
      <c r="E25" s="7">
        <v>30.189846706586827</v>
      </c>
      <c r="F25" s="7">
        <v>28.801546407185629</v>
      </c>
    </row>
    <row r="26" spans="1:6" s="4" customFormat="1" x14ac:dyDescent="0.3">
      <c r="A26" s="2">
        <v>46049</v>
      </c>
      <c r="B26" s="8">
        <v>0.52083333333333304</v>
      </c>
      <c r="C26" s="7">
        <v>33.013577844311378</v>
      </c>
      <c r="D26" s="7">
        <v>34.754784431137722</v>
      </c>
      <c r="E26" s="7">
        <v>32.043116467065872</v>
      </c>
      <c r="F26" s="7">
        <v>30.77582634730539</v>
      </c>
    </row>
    <row r="27" spans="1:6" s="4" customFormat="1" x14ac:dyDescent="0.3">
      <c r="A27" s="2">
        <v>46049</v>
      </c>
      <c r="B27" s="8">
        <v>0.54166666666666596</v>
      </c>
      <c r="C27" s="7">
        <v>32.217956287425153</v>
      </c>
      <c r="D27" s="7">
        <v>33.721386526946105</v>
      </c>
      <c r="E27" s="7">
        <v>31.363463772455091</v>
      </c>
      <c r="F27" s="7">
        <v>30.014677245508981</v>
      </c>
    </row>
    <row r="28" spans="1:6" s="4" customFormat="1" x14ac:dyDescent="0.3">
      <c r="A28" s="2">
        <v>46049</v>
      </c>
      <c r="B28" s="8">
        <v>0.5625</v>
      </c>
      <c r="C28" s="7">
        <v>30.534913772455088</v>
      </c>
      <c r="D28" s="7">
        <v>31.876226946107789</v>
      </c>
      <c r="E28" s="7">
        <v>29.981217664670659</v>
      </c>
      <c r="F28" s="7">
        <v>28.389834431137725</v>
      </c>
    </row>
    <row r="29" spans="1:6" s="4" customFormat="1" x14ac:dyDescent="0.3">
      <c r="A29" s="2">
        <v>46049</v>
      </c>
      <c r="B29" s="8">
        <v>0.58333333333333304</v>
      </c>
      <c r="C29" s="7">
        <v>30.514821556886229</v>
      </c>
      <c r="D29" s="7">
        <v>31.905794610778443</v>
      </c>
      <c r="E29" s="7">
        <v>29.955350000000003</v>
      </c>
      <c r="F29" s="7">
        <v>28.436551796407187</v>
      </c>
    </row>
    <row r="30" spans="1:6" s="4" customFormat="1" x14ac:dyDescent="0.3">
      <c r="A30" s="2">
        <v>46049</v>
      </c>
      <c r="B30" s="8">
        <v>0.60416666666666596</v>
      </c>
      <c r="C30" s="7">
        <v>31.172881137724552</v>
      </c>
      <c r="D30" s="7">
        <v>32.471954491017968</v>
      </c>
      <c r="E30" s="7">
        <v>30.837400898203597</v>
      </c>
      <c r="F30" s="7">
        <v>29.00736976047904</v>
      </c>
    </row>
    <row r="31" spans="1:6" s="4" customFormat="1" x14ac:dyDescent="0.3">
      <c r="A31" s="2">
        <v>46049</v>
      </c>
      <c r="B31" s="8">
        <v>0.625</v>
      </c>
      <c r="C31" s="7">
        <v>33.114693413173654</v>
      </c>
      <c r="D31" s="7">
        <v>34.658628143712576</v>
      </c>
      <c r="E31" s="7">
        <v>32.700579640718566</v>
      </c>
      <c r="F31" s="7">
        <v>30.82220269461078</v>
      </c>
    </row>
    <row r="32" spans="1:6" s="4" customFormat="1" x14ac:dyDescent="0.3">
      <c r="A32" s="2">
        <v>46049</v>
      </c>
      <c r="B32" s="8">
        <v>0.64583333333333304</v>
      </c>
      <c r="C32" s="7">
        <v>33.079573652694613</v>
      </c>
      <c r="D32" s="7">
        <v>34.61495748502994</v>
      </c>
      <c r="E32" s="7">
        <v>32.800979640718566</v>
      </c>
      <c r="F32" s="7">
        <v>30.858408383233531</v>
      </c>
    </row>
    <row r="33" spans="1:6" s="4" customFormat="1" x14ac:dyDescent="0.3">
      <c r="A33" s="2">
        <v>46049</v>
      </c>
      <c r="B33" s="8">
        <v>0.66666666666666596</v>
      </c>
      <c r="C33" s="7">
        <v>33.340296407185626</v>
      </c>
      <c r="D33" s="7">
        <v>34.919041017964076</v>
      </c>
      <c r="E33" s="7">
        <v>33.212337425149705</v>
      </c>
      <c r="F33" s="7">
        <v>31.04474221556886</v>
      </c>
    </row>
    <row r="34" spans="1:6" s="4" customFormat="1" x14ac:dyDescent="0.3">
      <c r="A34" s="2">
        <v>46049</v>
      </c>
      <c r="B34" s="8">
        <v>0.6875</v>
      </c>
      <c r="C34" s="7">
        <v>33.306698203592816</v>
      </c>
      <c r="D34" s="7">
        <v>34.738967065868266</v>
      </c>
      <c r="E34" s="7">
        <v>33.485179041916169</v>
      </c>
      <c r="F34" s="7">
        <v>31.085050000000003</v>
      </c>
    </row>
    <row r="35" spans="1:6" s="4" customFormat="1" x14ac:dyDescent="0.3">
      <c r="A35" s="2">
        <v>46049</v>
      </c>
      <c r="B35" s="8">
        <v>0.70833333333333304</v>
      </c>
      <c r="C35" s="7">
        <v>33.378493413173651</v>
      </c>
      <c r="D35" s="7">
        <v>34.925616467065872</v>
      </c>
      <c r="E35" s="7">
        <v>33.738593712574854</v>
      </c>
      <c r="F35" s="7">
        <v>31.137992514970062</v>
      </c>
    </row>
    <row r="36" spans="1:6" s="4" customFormat="1" x14ac:dyDescent="0.3">
      <c r="A36" s="2">
        <v>46049</v>
      </c>
      <c r="B36" s="8">
        <v>0.72916666666666596</v>
      </c>
      <c r="C36" s="7">
        <v>30.925591616766468</v>
      </c>
      <c r="D36" s="7">
        <v>32.257272754491019</v>
      </c>
      <c r="E36" s="7">
        <v>31.73658532934132</v>
      </c>
      <c r="F36" s="7">
        <v>28.92895</v>
      </c>
    </row>
    <row r="37" spans="1:6" s="4" customFormat="1" x14ac:dyDescent="0.3">
      <c r="A37" s="2">
        <v>46049</v>
      </c>
      <c r="B37" s="8">
        <v>0.75</v>
      </c>
      <c r="C37" s="7">
        <v>30.509732035928145</v>
      </c>
      <c r="D37" s="7">
        <v>31.731836227544914</v>
      </c>
      <c r="E37" s="7">
        <v>31.60856646706587</v>
      </c>
      <c r="F37" s="7">
        <v>28.588441916167664</v>
      </c>
    </row>
    <row r="38" spans="1:6" s="4" customFormat="1" x14ac:dyDescent="0.3">
      <c r="A38" s="2">
        <v>46049</v>
      </c>
      <c r="B38" s="8">
        <v>0.77083333333333304</v>
      </c>
      <c r="C38" s="7">
        <v>30.367542514970062</v>
      </c>
      <c r="D38" s="7">
        <v>31.561399401197608</v>
      </c>
      <c r="E38" s="7">
        <v>31.120425748502996</v>
      </c>
      <c r="F38" s="7">
        <v>28.742894311377245</v>
      </c>
    </row>
    <row r="39" spans="1:6" s="4" customFormat="1" x14ac:dyDescent="0.3">
      <c r="A39" s="2">
        <v>46049</v>
      </c>
      <c r="B39" s="8">
        <v>0.79166666666666596</v>
      </c>
      <c r="C39" s="7">
        <v>30.368889520958085</v>
      </c>
      <c r="D39" s="7">
        <v>31.723282634730541</v>
      </c>
      <c r="E39" s="7">
        <v>31.048851197604794</v>
      </c>
      <c r="F39" s="7">
        <v>28.781249101796408</v>
      </c>
    </row>
    <row r="40" spans="1:6" s="4" customFormat="1" x14ac:dyDescent="0.3">
      <c r="A40" s="2">
        <v>46049</v>
      </c>
      <c r="B40" s="8">
        <v>0.8125</v>
      </c>
      <c r="C40" s="7">
        <v>30.416134131736531</v>
      </c>
      <c r="D40" s="7">
        <v>31.947678143712579</v>
      </c>
      <c r="E40" s="7">
        <v>30.855997005988026</v>
      </c>
      <c r="F40" s="7">
        <v>28.70529011976048</v>
      </c>
    </row>
    <row r="41" spans="1:6" s="4" customFormat="1" x14ac:dyDescent="0.3">
      <c r="A41" s="2">
        <v>46049</v>
      </c>
      <c r="B41" s="8">
        <v>0.83333333333333304</v>
      </c>
      <c r="C41" s="7">
        <v>30.428964970059884</v>
      </c>
      <c r="D41" s="7">
        <v>31.958022455089822</v>
      </c>
      <c r="E41" s="7">
        <v>30.872271556886229</v>
      </c>
      <c r="F41" s="7">
        <v>28.726840119760482</v>
      </c>
    </row>
    <row r="42" spans="1:6" s="4" customFormat="1" x14ac:dyDescent="0.3">
      <c r="A42" s="2">
        <v>46049</v>
      </c>
      <c r="B42" s="8">
        <v>0.85416666666666596</v>
      </c>
      <c r="C42" s="7">
        <v>30.391239820359285</v>
      </c>
      <c r="D42" s="7">
        <v>31.841546107784431</v>
      </c>
      <c r="E42" s="7">
        <v>30.788264970059881</v>
      </c>
      <c r="F42" s="7">
        <v>28.745720658682636</v>
      </c>
    </row>
    <row r="43" spans="1:6" s="4" customFormat="1" x14ac:dyDescent="0.3">
      <c r="A43" s="2">
        <v>46049</v>
      </c>
      <c r="B43" s="8">
        <v>0.875</v>
      </c>
      <c r="C43" s="7">
        <v>30.42737994011976</v>
      </c>
      <c r="D43" s="7">
        <v>31.862626946107785</v>
      </c>
      <c r="E43" s="7">
        <v>30.864397005988025</v>
      </c>
      <c r="F43" s="7">
        <v>28.729050898203592</v>
      </c>
    </row>
    <row r="44" spans="1:6" s="4" customFormat="1" x14ac:dyDescent="0.3">
      <c r="A44" s="2">
        <v>46049</v>
      </c>
      <c r="B44" s="8">
        <v>0.89583333333333304</v>
      </c>
      <c r="C44" s="7">
        <v>30.483833233532934</v>
      </c>
      <c r="D44" s="7">
        <v>31.931442514970058</v>
      </c>
      <c r="E44" s="7">
        <v>31.249871257485033</v>
      </c>
      <c r="F44" s="7">
        <v>28.951814670658685</v>
      </c>
    </row>
    <row r="45" spans="1:6" s="4" customFormat="1" x14ac:dyDescent="0.3">
      <c r="A45" s="2">
        <v>46049</v>
      </c>
      <c r="B45" s="8">
        <v>0.91666666666666596</v>
      </c>
      <c r="C45" s="7">
        <v>33.273698502994016</v>
      </c>
      <c r="D45" s="7">
        <v>34.753897904191618</v>
      </c>
      <c r="E45" s="7">
        <v>34.114607784431136</v>
      </c>
      <c r="F45" s="7">
        <v>31.504826347305389</v>
      </c>
    </row>
    <row r="46" spans="1:6" s="4" customFormat="1" x14ac:dyDescent="0.3">
      <c r="A46" s="2">
        <v>46049</v>
      </c>
      <c r="B46" s="8">
        <v>0.9375</v>
      </c>
      <c r="C46" s="7">
        <v>29.972610179640721</v>
      </c>
      <c r="D46" s="7">
        <v>31.183036826347305</v>
      </c>
      <c r="E46" s="7">
        <v>30.56893413173653</v>
      </c>
      <c r="F46" s="7">
        <v>28.340080538922155</v>
      </c>
    </row>
    <row r="47" spans="1:6" s="4" customFormat="1" x14ac:dyDescent="0.3">
      <c r="A47" s="2">
        <v>46049</v>
      </c>
      <c r="B47" s="8">
        <v>0.95833333333333304</v>
      </c>
      <c r="C47" s="7">
        <v>29.936747904191616</v>
      </c>
      <c r="D47" s="7">
        <v>31.087055688622755</v>
      </c>
      <c r="E47" s="7">
        <v>30.5403628742515</v>
      </c>
      <c r="F47" s="7">
        <v>28.340310179640721</v>
      </c>
    </row>
    <row r="48" spans="1:6" s="4" customFormat="1" x14ac:dyDescent="0.3">
      <c r="A48" s="2">
        <v>46049</v>
      </c>
      <c r="B48" s="8">
        <v>0.97916666666666596</v>
      </c>
      <c r="C48" s="7">
        <v>29.910516766467069</v>
      </c>
      <c r="D48" s="7">
        <v>30.963413473053894</v>
      </c>
      <c r="E48" s="7">
        <v>30.522715868263475</v>
      </c>
      <c r="F48" s="7">
        <v>28.332321257485031</v>
      </c>
    </row>
    <row r="49" spans="1:6" s="4" customFormat="1" x14ac:dyDescent="0.3">
      <c r="A49" s="2">
        <v>46049</v>
      </c>
      <c r="B49" s="8">
        <v>1</v>
      </c>
      <c r="C49" s="7">
        <v>29.983272754491018</v>
      </c>
      <c r="D49" s="7">
        <v>30.90121167664671</v>
      </c>
      <c r="E49" s="7">
        <v>30.77870898203593</v>
      </c>
      <c r="F49" s="7">
        <v>28.464130838323353</v>
      </c>
    </row>
    <row r="50" spans="1:6" x14ac:dyDescent="0.3">
      <c r="A50" s="2">
        <f>+'CMG-PDO'!A50</f>
        <v>46050</v>
      </c>
      <c r="B50" s="8">
        <f>+'CMG-PDO'!B50</f>
        <v>2.0833333333333332E-2</v>
      </c>
      <c r="C50" s="7">
        <v>29.79509161676647</v>
      </c>
      <c r="D50" s="7">
        <v>30.685683832335329</v>
      </c>
      <c r="E50" s="7">
        <v>30.646358083832336</v>
      </c>
      <c r="F50" s="7">
        <v>28.317244610778445</v>
      </c>
    </row>
    <row r="51" spans="1:6" x14ac:dyDescent="0.3">
      <c r="A51" s="2">
        <f>+'CMG-PDO'!A51</f>
        <v>46050</v>
      </c>
      <c r="B51" s="8">
        <f>+'CMG-PDO'!B51</f>
        <v>4.1666666666666664E-2</v>
      </c>
      <c r="C51" s="7">
        <v>29.764855688622756</v>
      </c>
      <c r="D51" s="7">
        <v>30.518673053892215</v>
      </c>
      <c r="E51" s="7">
        <v>30.737001497005991</v>
      </c>
      <c r="F51" s="7">
        <v>28.347473353293413</v>
      </c>
    </row>
    <row r="52" spans="1:6" x14ac:dyDescent="0.3">
      <c r="A52" s="2">
        <f>+'CMG-PDO'!A52</f>
        <v>46050</v>
      </c>
      <c r="B52" s="8">
        <f>+'CMG-PDO'!B52</f>
        <v>6.25E-2</v>
      </c>
      <c r="C52" s="7">
        <v>29.845764670658685</v>
      </c>
      <c r="D52" s="7">
        <v>30.589108982035931</v>
      </c>
      <c r="E52" s="7">
        <v>30.755144610778444</v>
      </c>
      <c r="F52" s="7">
        <v>28.394080838323354</v>
      </c>
    </row>
    <row r="53" spans="1:6" x14ac:dyDescent="0.3">
      <c r="A53" s="2">
        <f>+'CMG-PDO'!A53</f>
        <v>46050</v>
      </c>
      <c r="B53" s="8">
        <f>+'CMG-PDO'!B53</f>
        <v>8.3333333333333329E-2</v>
      </c>
      <c r="C53" s="7">
        <v>25.635461976047907</v>
      </c>
      <c r="D53" s="7">
        <v>26.305886526946107</v>
      </c>
      <c r="E53" s="7">
        <v>26.455916167664672</v>
      </c>
      <c r="F53" s="7">
        <v>24.431903293413175</v>
      </c>
    </row>
    <row r="54" spans="1:6" x14ac:dyDescent="0.3">
      <c r="A54" s="2">
        <f>+'CMG-PDO'!A54</f>
        <v>46050</v>
      </c>
      <c r="B54" s="8">
        <f>+'CMG-PDO'!B54</f>
        <v>0.10416666666666666</v>
      </c>
      <c r="C54" s="7">
        <v>25.458527245508982</v>
      </c>
      <c r="D54" s="7">
        <v>26.234909281437126</v>
      </c>
      <c r="E54" s="7">
        <v>26.247661976047905</v>
      </c>
      <c r="F54" s="7">
        <v>24.230482335329341</v>
      </c>
    </row>
    <row r="55" spans="1:6" x14ac:dyDescent="0.3">
      <c r="A55" s="2">
        <f>+'CMG-PDO'!A55</f>
        <v>46050</v>
      </c>
      <c r="B55" s="8">
        <f>+'CMG-PDO'!B55</f>
        <v>0.12499999999999999</v>
      </c>
      <c r="C55" s="7">
        <v>25.541031736526946</v>
      </c>
      <c r="D55" s="7">
        <v>26.2827628742515</v>
      </c>
      <c r="E55" s="7">
        <v>26.357866167664675</v>
      </c>
      <c r="F55" s="7">
        <v>24.347519760479045</v>
      </c>
    </row>
    <row r="56" spans="1:6" x14ac:dyDescent="0.3">
      <c r="A56" s="2">
        <f>+'CMG-PDO'!A56</f>
        <v>46050</v>
      </c>
      <c r="B56" s="8">
        <f>+'CMG-PDO'!B56</f>
        <v>0.14583333333333331</v>
      </c>
      <c r="C56" s="7">
        <v>25.587119461077844</v>
      </c>
      <c r="D56" s="7">
        <v>26.311014371257485</v>
      </c>
      <c r="E56" s="7">
        <v>26.553521856287425</v>
      </c>
      <c r="F56" s="7">
        <v>24.403280538922157</v>
      </c>
    </row>
    <row r="57" spans="1:6" x14ac:dyDescent="0.3">
      <c r="A57" s="2">
        <f>+'CMG-PDO'!A57</f>
        <v>46050</v>
      </c>
      <c r="B57" s="8">
        <f>+'CMG-PDO'!B57</f>
        <v>0.16666666666666666</v>
      </c>
      <c r="C57" s="7">
        <v>25.597026646706588</v>
      </c>
      <c r="D57" s="7">
        <v>26.282990718562875</v>
      </c>
      <c r="E57" s="7">
        <v>26.603248203592816</v>
      </c>
      <c r="F57" s="7">
        <v>24.426096706586826</v>
      </c>
    </row>
    <row r="58" spans="1:6" x14ac:dyDescent="0.3">
      <c r="A58" s="2">
        <f>+'CMG-PDO'!A58</f>
        <v>46050</v>
      </c>
      <c r="B58" s="8">
        <f>+'CMG-PDO'!B58</f>
        <v>0.1875</v>
      </c>
      <c r="C58" s="7">
        <v>25.667593113772455</v>
      </c>
      <c r="D58" s="7">
        <v>26.40674281437126</v>
      </c>
      <c r="E58" s="7">
        <v>26.67738532934132</v>
      </c>
      <c r="F58" s="7">
        <v>24.481521556886229</v>
      </c>
    </row>
    <row r="59" spans="1:6" x14ac:dyDescent="0.3">
      <c r="A59" s="2">
        <f>+'CMG-PDO'!A59</f>
        <v>46050</v>
      </c>
      <c r="B59" s="8">
        <f>+'CMG-PDO'!B59</f>
        <v>0.20833333333333334</v>
      </c>
      <c r="C59" s="7">
        <v>24.821878443113775</v>
      </c>
      <c r="D59" s="7">
        <v>25.449131736526947</v>
      </c>
      <c r="E59" s="7">
        <v>25.607792514970061</v>
      </c>
      <c r="F59" s="7">
        <v>23.678900898203594</v>
      </c>
    </row>
    <row r="60" spans="1:6" x14ac:dyDescent="0.3">
      <c r="A60" s="2">
        <f>+'CMG-PDO'!A60</f>
        <v>46050</v>
      </c>
      <c r="B60" s="8">
        <f>+'CMG-PDO'!B60</f>
        <v>0.22916666666666669</v>
      </c>
      <c r="C60" s="7">
        <v>24.804745808383235</v>
      </c>
      <c r="D60" s="7">
        <v>25.522794311377247</v>
      </c>
      <c r="E60" s="7">
        <v>25.635662874251498</v>
      </c>
      <c r="F60" s="7">
        <v>23.700737125748503</v>
      </c>
    </row>
    <row r="61" spans="1:6" x14ac:dyDescent="0.3">
      <c r="A61" s="2">
        <f>+'CMG-PDO'!A61</f>
        <v>46050</v>
      </c>
      <c r="B61" s="8">
        <f>+'CMG-PDO'!B61</f>
        <v>0.25</v>
      </c>
      <c r="C61" s="7">
        <v>25.821370958083836</v>
      </c>
      <c r="D61" s="7">
        <v>26.65210538922156</v>
      </c>
      <c r="E61" s="7">
        <v>26.614826047904192</v>
      </c>
      <c r="F61" s="7">
        <v>24.587393413173654</v>
      </c>
    </row>
    <row r="62" spans="1:6" x14ac:dyDescent="0.3">
      <c r="A62" s="2">
        <f>+'CMG-PDO'!A62</f>
        <v>46050</v>
      </c>
      <c r="B62" s="8">
        <f>+'CMG-PDO'!B62</f>
        <v>0.27083333333333331</v>
      </c>
      <c r="C62" s="7">
        <v>25.641389221556889</v>
      </c>
      <c r="D62" s="7">
        <v>26.524650898203593</v>
      </c>
      <c r="E62" s="7">
        <v>26.269502994011976</v>
      </c>
      <c r="F62" s="7">
        <v>24.357517664670659</v>
      </c>
    </row>
    <row r="63" spans="1:6" x14ac:dyDescent="0.3">
      <c r="A63" s="2">
        <f>+'CMG-PDO'!A63</f>
        <v>46050</v>
      </c>
      <c r="B63" s="8">
        <f>+'CMG-PDO'!B63</f>
        <v>0.29166666666666663</v>
      </c>
      <c r="C63" s="7">
        <v>24.836415269461078</v>
      </c>
      <c r="D63" s="7">
        <v>25.70100898203593</v>
      </c>
      <c r="E63" s="7">
        <v>25.259041317365273</v>
      </c>
      <c r="F63" s="7">
        <v>23.528597305389223</v>
      </c>
    </row>
    <row r="64" spans="1:6" x14ac:dyDescent="0.3">
      <c r="A64" s="2">
        <f>+'CMG-PDO'!A64</f>
        <v>46050</v>
      </c>
      <c r="B64" s="8">
        <f>+'CMG-PDO'!B64</f>
        <v>0.31249999999999994</v>
      </c>
      <c r="C64" s="7">
        <v>31.233721556886227</v>
      </c>
      <c r="D64" s="7">
        <v>32.365564071856291</v>
      </c>
      <c r="E64" s="7">
        <v>31.901078443113771</v>
      </c>
      <c r="F64" s="7">
        <v>29.647081137724555</v>
      </c>
    </row>
    <row r="65" spans="1:6" x14ac:dyDescent="0.3">
      <c r="A65" s="2">
        <f>+'CMG-PDO'!A65</f>
        <v>46050</v>
      </c>
      <c r="B65" s="8">
        <f>+'CMG-PDO'!B65</f>
        <v>0.33333333333333326</v>
      </c>
      <c r="C65" s="7">
        <v>30.184923652694611</v>
      </c>
      <c r="D65" s="7">
        <v>31.240918562874253</v>
      </c>
      <c r="E65" s="7">
        <v>30.711877844311381</v>
      </c>
      <c r="F65" s="7">
        <v>28.630109580838326</v>
      </c>
    </row>
    <row r="66" spans="1:6" x14ac:dyDescent="0.3">
      <c r="A66" s="2">
        <f>+'CMG-PDO'!A66</f>
        <v>46050</v>
      </c>
      <c r="B66" s="8">
        <f>+'CMG-PDO'!B66</f>
        <v>0.35416666666666657</v>
      </c>
      <c r="C66" s="7">
        <v>30.369964670658685</v>
      </c>
      <c r="D66" s="7">
        <v>31.580876347305388</v>
      </c>
      <c r="E66" s="7">
        <v>30.419707185628745</v>
      </c>
      <c r="F66" s="7">
        <v>28.704550000000001</v>
      </c>
    </row>
    <row r="67" spans="1:6" x14ac:dyDescent="0.3">
      <c r="A67" s="2">
        <f>+'CMG-PDO'!A67</f>
        <v>46050</v>
      </c>
      <c r="B67" s="8">
        <f>+'CMG-PDO'!B67</f>
        <v>0.37499999999999989</v>
      </c>
      <c r="C67" s="7">
        <v>30.696216167664673</v>
      </c>
      <c r="D67" s="7">
        <v>32.066643413173651</v>
      </c>
      <c r="E67" s="7">
        <v>30.71317904191617</v>
      </c>
      <c r="F67" s="7">
        <v>28.997492814371256</v>
      </c>
    </row>
    <row r="68" spans="1:6" x14ac:dyDescent="0.3">
      <c r="A68" s="2">
        <f>+'CMG-PDO'!A68</f>
        <v>46050</v>
      </c>
      <c r="B68" s="8">
        <f>+'CMG-PDO'!B68</f>
        <v>0.3958333333333332</v>
      </c>
      <c r="C68" s="7">
        <v>30.582038922155689</v>
      </c>
      <c r="D68" s="7">
        <v>31.980557185628744</v>
      </c>
      <c r="E68" s="7">
        <v>30.376951197604793</v>
      </c>
      <c r="F68" s="7">
        <v>28.903979940119761</v>
      </c>
    </row>
    <row r="69" spans="1:6" x14ac:dyDescent="0.3">
      <c r="A69" s="2">
        <f>+'CMG-PDO'!A69</f>
        <v>46050</v>
      </c>
      <c r="B69" s="8">
        <f>+'CMG-PDO'!B69</f>
        <v>0.41666666666666652</v>
      </c>
      <c r="C69" s="7">
        <v>33.046214670658685</v>
      </c>
      <c r="D69" s="7">
        <v>34.578906287425156</v>
      </c>
      <c r="E69" s="7">
        <v>33.103557485029945</v>
      </c>
      <c r="F69" s="7">
        <v>31.256648802395208</v>
      </c>
    </row>
    <row r="70" spans="1:6" x14ac:dyDescent="0.3">
      <c r="A70" s="2">
        <f>+'CMG-PDO'!A70</f>
        <v>46050</v>
      </c>
      <c r="B70" s="8">
        <f>+'CMG-PDO'!B70</f>
        <v>0.43749999999999983</v>
      </c>
      <c r="C70" s="7">
        <v>33.458310479041913</v>
      </c>
      <c r="D70" s="7">
        <v>34.994422455089826</v>
      </c>
      <c r="E70" s="7">
        <v>33.756593712574855</v>
      </c>
      <c r="F70" s="7">
        <v>31.658118263473053</v>
      </c>
    </row>
    <row r="71" spans="1:6" x14ac:dyDescent="0.3">
      <c r="A71" s="2">
        <f>+'CMG-PDO'!A71</f>
        <v>46050</v>
      </c>
      <c r="B71" s="8">
        <f>+'CMG-PDO'!B71</f>
        <v>0.45833333333333315</v>
      </c>
      <c r="C71" s="7">
        <v>33.826337125748509</v>
      </c>
      <c r="D71" s="7">
        <v>35.47560928143713</v>
      </c>
      <c r="E71" s="7">
        <v>34.191436526946113</v>
      </c>
      <c r="F71" s="7">
        <v>32.023586227544911</v>
      </c>
    </row>
    <row r="72" spans="1:6" x14ac:dyDescent="0.3">
      <c r="A72" s="2">
        <f>+'CMG-PDO'!A72</f>
        <v>46050</v>
      </c>
      <c r="B72" s="8">
        <f>+'CMG-PDO'!B72</f>
        <v>0.47916666666666646</v>
      </c>
      <c r="C72" s="7">
        <v>33.874606287425152</v>
      </c>
      <c r="D72" s="7">
        <v>35.583033233532937</v>
      </c>
      <c r="E72" s="7">
        <v>34.401125748502999</v>
      </c>
      <c r="F72" s="7">
        <v>32.084282634730542</v>
      </c>
    </row>
    <row r="73" spans="1:6" x14ac:dyDescent="0.3">
      <c r="A73" s="2">
        <f>+'CMG-PDO'!A73</f>
        <v>46050</v>
      </c>
      <c r="B73" s="8">
        <f>+'CMG-PDO'!B73</f>
        <v>0.49999999999999978</v>
      </c>
      <c r="C73" s="7">
        <v>38.032348802395212</v>
      </c>
      <c r="D73" s="7">
        <v>39.817258982035931</v>
      </c>
      <c r="E73" s="7">
        <v>38.182638922155689</v>
      </c>
      <c r="F73" s="7">
        <v>36.020902994011976</v>
      </c>
    </row>
    <row r="74" spans="1:6" x14ac:dyDescent="0.3">
      <c r="A74" s="2">
        <f>+'CMG-PDO'!A74</f>
        <v>46050</v>
      </c>
      <c r="B74" s="8">
        <f>+'CMG-PDO'!B74</f>
        <v>0.52083333333333315</v>
      </c>
      <c r="C74" s="7">
        <v>36.688404191616769</v>
      </c>
      <c r="D74" s="7">
        <v>38.47910838323353</v>
      </c>
      <c r="E74" s="7">
        <v>36.683695808383234</v>
      </c>
      <c r="F74" s="7">
        <v>34.600384431137726</v>
      </c>
    </row>
    <row r="75" spans="1:6" x14ac:dyDescent="0.3">
      <c r="A75" s="2">
        <f>+'CMG-PDO'!A75</f>
        <v>46050</v>
      </c>
      <c r="B75" s="8">
        <f>+'CMG-PDO'!B75</f>
        <v>0.54166666666666652</v>
      </c>
      <c r="C75" s="7">
        <v>31.986679640718563</v>
      </c>
      <c r="D75" s="7">
        <v>33.492610778443115</v>
      </c>
      <c r="E75" s="7">
        <v>31.389938323353295</v>
      </c>
      <c r="F75" s="7">
        <v>30.093261676646708</v>
      </c>
    </row>
    <row r="76" spans="1:6" x14ac:dyDescent="0.3">
      <c r="A76" s="2">
        <f>+'CMG-PDO'!A76</f>
        <v>46050</v>
      </c>
      <c r="B76" s="8">
        <f>+'CMG-PDO'!B76</f>
        <v>0.56249999999999989</v>
      </c>
      <c r="C76" s="7">
        <v>36.540645508982038</v>
      </c>
      <c r="D76" s="7">
        <v>38.126591317365275</v>
      </c>
      <c r="E76" s="7">
        <v>36.625950000000003</v>
      </c>
      <c r="F76" s="7">
        <v>34.456053592814371</v>
      </c>
    </row>
    <row r="77" spans="1:6" x14ac:dyDescent="0.3">
      <c r="A77" s="2">
        <f>+'CMG-PDO'!A77</f>
        <v>46050</v>
      </c>
      <c r="B77" s="8">
        <f>+'CMG-PDO'!B77</f>
        <v>0.58333333333333326</v>
      </c>
      <c r="C77" s="7">
        <v>38.080788323353296</v>
      </c>
      <c r="D77" s="7">
        <v>39.846597904191619</v>
      </c>
      <c r="E77" s="7">
        <v>38.43894880239521</v>
      </c>
      <c r="F77" s="7">
        <v>36.084975449101798</v>
      </c>
    </row>
    <row r="78" spans="1:6" x14ac:dyDescent="0.3">
      <c r="A78" s="2">
        <f>+'CMG-PDO'!A78</f>
        <v>46050</v>
      </c>
      <c r="B78" s="8">
        <f>+'CMG-PDO'!B78</f>
        <v>0.60416666666666663</v>
      </c>
      <c r="C78" s="7">
        <v>36.406337425149701</v>
      </c>
      <c r="D78" s="7">
        <v>38.220182335329348</v>
      </c>
      <c r="E78" s="7">
        <v>36.18424880239521</v>
      </c>
      <c r="F78" s="7">
        <v>34.317086826347307</v>
      </c>
    </row>
    <row r="79" spans="1:6" x14ac:dyDescent="0.3">
      <c r="A79" s="2">
        <f>+'CMG-PDO'!A79</f>
        <v>46050</v>
      </c>
      <c r="B79" s="8">
        <f>+'CMG-PDO'!B79</f>
        <v>0.625</v>
      </c>
      <c r="C79" s="7">
        <v>36.274805089820362</v>
      </c>
      <c r="D79" s="7">
        <v>37.959367964071859</v>
      </c>
      <c r="E79" s="7">
        <v>36.450706287425149</v>
      </c>
      <c r="F79" s="7">
        <v>34.265502994011982</v>
      </c>
    </row>
    <row r="80" spans="1:6" x14ac:dyDescent="0.3">
      <c r="A80" s="2">
        <f>+'CMG-PDO'!A80</f>
        <v>46050</v>
      </c>
      <c r="B80" s="8">
        <f>+'CMG-PDO'!B80</f>
        <v>0.64583333333333337</v>
      </c>
      <c r="C80" s="7">
        <v>36.09081047904192</v>
      </c>
      <c r="D80" s="7">
        <v>38.069564970059886</v>
      </c>
      <c r="E80" s="7">
        <v>36.78686796407186</v>
      </c>
      <c r="F80" s="7">
        <v>34.345952095808386</v>
      </c>
    </row>
    <row r="81" spans="1:6" x14ac:dyDescent="0.3">
      <c r="A81" s="2">
        <f>+'CMG-PDO'!A81</f>
        <v>46050</v>
      </c>
      <c r="B81" s="8">
        <f>+'CMG-PDO'!B81</f>
        <v>0.66666666666666674</v>
      </c>
      <c r="C81" s="7">
        <v>36.143294610778447</v>
      </c>
      <c r="D81" s="7">
        <v>37.876844311377248</v>
      </c>
      <c r="E81" s="7">
        <v>36.734702994011975</v>
      </c>
      <c r="F81" s="7">
        <v>34.186104491017964</v>
      </c>
    </row>
    <row r="82" spans="1:6" x14ac:dyDescent="0.3">
      <c r="A82" s="2">
        <f>+'CMG-PDO'!A82</f>
        <v>46050</v>
      </c>
      <c r="B82" s="8">
        <f>+'CMG-PDO'!B82</f>
        <v>0.68750000000000011</v>
      </c>
      <c r="C82" s="7">
        <v>36.229016766467069</v>
      </c>
      <c r="D82" s="7">
        <v>37.997741616766469</v>
      </c>
      <c r="E82" s="7">
        <v>37.087933233532937</v>
      </c>
      <c r="F82" s="7">
        <v>34.455138023952095</v>
      </c>
    </row>
    <row r="83" spans="1:6" x14ac:dyDescent="0.3">
      <c r="A83" s="2">
        <f>+'CMG-PDO'!A83</f>
        <v>46050</v>
      </c>
      <c r="B83" s="8">
        <f>+'CMG-PDO'!B83</f>
        <v>0.70833333333333348</v>
      </c>
      <c r="C83" s="7">
        <v>36.07156766467066</v>
      </c>
      <c r="D83" s="7">
        <v>37.86631736526946</v>
      </c>
      <c r="E83" s="7">
        <v>36.951152395209583</v>
      </c>
      <c r="F83" s="7">
        <v>34.281242814371261</v>
      </c>
    </row>
    <row r="84" spans="1:6" x14ac:dyDescent="0.3">
      <c r="A84" s="2">
        <f>+'CMG-PDO'!A84</f>
        <v>46050</v>
      </c>
      <c r="B84" s="8">
        <f>+'CMG-PDO'!B84</f>
        <v>0.72916666666666685</v>
      </c>
      <c r="C84" s="7">
        <v>32.881257784431142</v>
      </c>
      <c r="D84" s="7">
        <v>34.397260778443112</v>
      </c>
      <c r="E84" s="7">
        <v>33.822277245508985</v>
      </c>
      <c r="F84" s="7">
        <v>31.251632335329344</v>
      </c>
    </row>
    <row r="85" spans="1:6" x14ac:dyDescent="0.3">
      <c r="A85" s="2">
        <f>+'CMG-PDO'!A85</f>
        <v>46050</v>
      </c>
      <c r="B85" s="8">
        <f>+'CMG-PDO'!B85</f>
        <v>0.75000000000000022</v>
      </c>
      <c r="C85" s="7">
        <v>31.776005988023954</v>
      </c>
      <c r="D85" s="7">
        <v>33.188069161676651</v>
      </c>
      <c r="E85" s="7">
        <v>32.907420658682639</v>
      </c>
      <c r="F85" s="7">
        <v>30.274483233532937</v>
      </c>
    </row>
    <row r="86" spans="1:6" x14ac:dyDescent="0.3">
      <c r="A86" s="2">
        <f>+'CMG-PDO'!A86</f>
        <v>46050</v>
      </c>
      <c r="B86" s="8">
        <f>+'CMG-PDO'!B86</f>
        <v>0.77083333333333359</v>
      </c>
      <c r="C86" s="7">
        <v>30.508714371257486</v>
      </c>
      <c r="D86" s="7">
        <v>31.903088323353295</v>
      </c>
      <c r="E86" s="7">
        <v>31.734597904191617</v>
      </c>
      <c r="F86" s="7">
        <v>29.085932934131737</v>
      </c>
    </row>
    <row r="87" spans="1:6" x14ac:dyDescent="0.3">
      <c r="A87" s="2">
        <f>+'CMG-PDO'!A87</f>
        <v>46050</v>
      </c>
      <c r="B87" s="8">
        <f>+'CMG-PDO'!B87</f>
        <v>0.79166666666666696</v>
      </c>
      <c r="C87" s="7">
        <v>30.481646107784435</v>
      </c>
      <c r="D87" s="7">
        <v>31.990366467065872</v>
      </c>
      <c r="E87" s="7">
        <v>31.691479341317368</v>
      </c>
      <c r="F87" s="7">
        <v>29.152782634730542</v>
      </c>
    </row>
    <row r="88" spans="1:6" x14ac:dyDescent="0.3">
      <c r="A88" s="2">
        <f>+'CMG-PDO'!A88</f>
        <v>46050</v>
      </c>
      <c r="B88" s="8">
        <f>+'CMG-PDO'!B88</f>
        <v>0.81250000000000033</v>
      </c>
      <c r="C88" s="7">
        <v>36.096080239520958</v>
      </c>
      <c r="D88" s="7">
        <v>38.031153892215571</v>
      </c>
      <c r="E88" s="7">
        <v>37.659797305389219</v>
      </c>
      <c r="F88" s="7">
        <v>34.468920359281441</v>
      </c>
    </row>
    <row r="89" spans="1:6" x14ac:dyDescent="0.3">
      <c r="A89" s="2">
        <f>+'CMG-PDO'!A89</f>
        <v>46050</v>
      </c>
      <c r="B89" s="8">
        <f>+'CMG-PDO'!B89</f>
        <v>0.8333333333333337</v>
      </c>
      <c r="C89" s="7">
        <v>36.051382634730544</v>
      </c>
      <c r="D89" s="7">
        <v>37.993267664670661</v>
      </c>
      <c r="E89" s="7">
        <v>37.685760479041917</v>
      </c>
      <c r="F89" s="7">
        <v>34.454552095808381</v>
      </c>
    </row>
    <row r="90" spans="1:6" x14ac:dyDescent="0.3">
      <c r="A90" s="2">
        <f>+'CMG-PDO'!A90</f>
        <v>46050</v>
      </c>
      <c r="B90" s="8">
        <f>+'CMG-PDO'!B90</f>
        <v>0.85416666666666707</v>
      </c>
      <c r="C90" s="7">
        <v>36.015233233532939</v>
      </c>
      <c r="D90" s="7">
        <v>37.98681167664671</v>
      </c>
      <c r="E90" s="7">
        <v>37.611976946107788</v>
      </c>
      <c r="F90" s="7">
        <v>34.399942514970064</v>
      </c>
    </row>
    <row r="91" spans="1:6" x14ac:dyDescent="0.3">
      <c r="A91" s="2">
        <f>+'CMG-PDO'!A91</f>
        <v>46050</v>
      </c>
      <c r="B91" s="8">
        <f>+'CMG-PDO'!B91</f>
        <v>0.87500000000000044</v>
      </c>
      <c r="C91" s="7">
        <v>36.009697005988031</v>
      </c>
      <c r="D91" s="7">
        <v>38.003745209580842</v>
      </c>
      <c r="E91" s="7">
        <v>37.50337035928144</v>
      </c>
      <c r="F91" s="7">
        <v>34.338946107784437</v>
      </c>
    </row>
    <row r="92" spans="1:6" x14ac:dyDescent="0.3">
      <c r="A92" s="2">
        <f>+'CMG-PDO'!A92</f>
        <v>46050</v>
      </c>
      <c r="B92" s="8">
        <f>+'CMG-PDO'!B92</f>
        <v>0.89583333333333381</v>
      </c>
      <c r="C92" s="7">
        <v>35.832093712574853</v>
      </c>
      <c r="D92" s="7">
        <v>37.658649401197607</v>
      </c>
      <c r="E92" s="7">
        <v>37.255020059880238</v>
      </c>
      <c r="F92" s="7">
        <v>34.146569760479046</v>
      </c>
    </row>
    <row r="93" spans="1:6" x14ac:dyDescent="0.3">
      <c r="A93" s="2">
        <f>+'CMG-PDO'!A93</f>
        <v>46050</v>
      </c>
      <c r="B93" s="8">
        <f>+'CMG-PDO'!B93</f>
        <v>0.91666666666666718</v>
      </c>
      <c r="C93" s="7">
        <v>31.79152664670659</v>
      </c>
      <c r="D93" s="7">
        <v>33.228597005988028</v>
      </c>
      <c r="E93" s="7">
        <v>32.895835329341317</v>
      </c>
      <c r="F93" s="7">
        <v>30.316946407185629</v>
      </c>
    </row>
    <row r="94" spans="1:6" x14ac:dyDescent="0.3">
      <c r="A94" s="2">
        <f>+'CMG-PDO'!A94</f>
        <v>46050</v>
      </c>
      <c r="B94" s="8">
        <f>+'CMG-PDO'!B94</f>
        <v>0.93750000000000056</v>
      </c>
      <c r="C94" s="7">
        <v>31.780475748502994</v>
      </c>
      <c r="D94" s="7">
        <v>33.167936526946107</v>
      </c>
      <c r="E94" s="7">
        <v>32.894263772455091</v>
      </c>
      <c r="F94" s="7">
        <v>30.334763473053894</v>
      </c>
    </row>
    <row r="95" spans="1:6" x14ac:dyDescent="0.3">
      <c r="A95" s="2">
        <f>+'CMG-PDO'!A95</f>
        <v>46050</v>
      </c>
      <c r="B95" s="8">
        <f>+'CMG-PDO'!B95</f>
        <v>0.95833333333333393</v>
      </c>
      <c r="C95" s="7">
        <v>33.079153293413171</v>
      </c>
      <c r="D95" s="7">
        <v>34.454732335329339</v>
      </c>
      <c r="E95" s="7">
        <v>34.343198203592813</v>
      </c>
      <c r="F95" s="7">
        <v>31.5337754491018</v>
      </c>
    </row>
    <row r="96" spans="1:6" x14ac:dyDescent="0.3">
      <c r="A96" s="2">
        <f>+'CMG-PDO'!A96</f>
        <v>46050</v>
      </c>
      <c r="B96" s="8">
        <f>+'CMG-PDO'!B96</f>
        <v>0.9791666666666673</v>
      </c>
      <c r="C96" s="7">
        <v>30.428480538922155</v>
      </c>
      <c r="D96" s="7">
        <v>31.626379640718564</v>
      </c>
      <c r="E96" s="7">
        <v>31.59981407185629</v>
      </c>
      <c r="F96" s="7">
        <v>29.005114371257488</v>
      </c>
    </row>
    <row r="97" spans="1:6" x14ac:dyDescent="0.3">
      <c r="A97" s="2">
        <f>+'CMG-PDO'!A97</f>
        <v>46050</v>
      </c>
      <c r="B97" s="8">
        <f>+'CMG-PDO'!B97</f>
        <v>1.0000000000000007</v>
      </c>
      <c r="C97" s="7">
        <v>29.856727245508981</v>
      </c>
      <c r="D97" s="7">
        <v>30.865885628742515</v>
      </c>
      <c r="E97" s="7">
        <v>30.910119161676647</v>
      </c>
      <c r="F97" s="7">
        <v>28.431672455089824</v>
      </c>
    </row>
    <row r="98" spans="1:6" x14ac:dyDescent="0.3">
      <c r="A98" s="2">
        <f>+'CMG-PDO'!A98</f>
        <v>46051</v>
      </c>
      <c r="B98" s="8">
        <f>+'CMG-PDO'!B98</f>
        <v>1.0208333333333339</v>
      </c>
      <c r="C98" s="7">
        <v>29.830321257485032</v>
      </c>
      <c r="D98" s="7">
        <v>30.83909520958084</v>
      </c>
      <c r="E98" s="7">
        <v>30.946082035928146</v>
      </c>
      <c r="F98" s="7">
        <v>28.450671856287428</v>
      </c>
    </row>
    <row r="99" spans="1:6" x14ac:dyDescent="0.3">
      <c r="A99" s="2">
        <f>+'CMG-PDO'!A99</f>
        <v>46051</v>
      </c>
      <c r="B99" s="8">
        <f>+'CMG-PDO'!B99</f>
        <v>1.0416666666666672</v>
      </c>
      <c r="C99" s="7">
        <v>30.132830538922157</v>
      </c>
      <c r="D99" s="7">
        <v>31.08872664670659</v>
      </c>
      <c r="E99" s="7">
        <v>31.257579041916166</v>
      </c>
      <c r="F99" s="7">
        <v>28.720155089820363</v>
      </c>
    </row>
    <row r="100" spans="1:6" x14ac:dyDescent="0.3">
      <c r="A100" s="2">
        <f>+'CMG-PDO'!A100</f>
        <v>46051</v>
      </c>
      <c r="B100" s="8">
        <f>+'CMG-PDO'!B100</f>
        <v>1.0625000000000004</v>
      </c>
      <c r="C100" s="7">
        <v>29.719367065868266</v>
      </c>
      <c r="D100" s="7">
        <v>30.659884131736529</v>
      </c>
      <c r="E100" s="7">
        <v>30.764925748502996</v>
      </c>
      <c r="F100" s="7">
        <v>28.363355988023955</v>
      </c>
    </row>
    <row r="101" spans="1:6" x14ac:dyDescent="0.3">
      <c r="A101" s="2">
        <f>+'CMG-PDO'!A101</f>
        <v>46051</v>
      </c>
      <c r="B101" s="8">
        <f>+'CMG-PDO'!B101</f>
        <v>1.0833333333333337</v>
      </c>
      <c r="C101" s="7">
        <v>29.827018263473057</v>
      </c>
      <c r="D101" s="7">
        <v>30.751638622754491</v>
      </c>
      <c r="E101" s="7">
        <v>30.990377544910181</v>
      </c>
      <c r="F101" s="7">
        <v>28.461466467065868</v>
      </c>
    </row>
    <row r="102" spans="1:6" x14ac:dyDescent="0.3">
      <c r="A102" s="2">
        <f>+'CMG-PDO'!A102</f>
        <v>46051</v>
      </c>
      <c r="B102" s="8">
        <f>+'CMG-PDO'!B102</f>
        <v>1.104166666666667</v>
      </c>
      <c r="C102" s="7">
        <v>29.748594610778444</v>
      </c>
      <c r="D102" s="7">
        <v>30.676111077844315</v>
      </c>
      <c r="E102" s="7">
        <v>30.907997005988026</v>
      </c>
      <c r="F102" s="7">
        <v>28.444358982035929</v>
      </c>
    </row>
    <row r="103" spans="1:6" x14ac:dyDescent="0.3">
      <c r="A103" s="2">
        <f>+'CMG-PDO'!A103</f>
        <v>46051</v>
      </c>
      <c r="B103" s="8">
        <f>+'CMG-PDO'!B103</f>
        <v>1.1250000000000002</v>
      </c>
      <c r="C103" s="7">
        <v>29.703093413173654</v>
      </c>
      <c r="D103" s="7">
        <v>30.539321257485032</v>
      </c>
      <c r="E103" s="7">
        <v>30.947896706586828</v>
      </c>
      <c r="F103" s="7">
        <v>28.348904491017965</v>
      </c>
    </row>
    <row r="104" spans="1:6" x14ac:dyDescent="0.3">
      <c r="A104" s="2">
        <f>+'CMG-PDO'!A104</f>
        <v>46051</v>
      </c>
      <c r="B104" s="8">
        <f>+'CMG-PDO'!B104</f>
        <v>1.1458333333333335</v>
      </c>
      <c r="C104" s="7">
        <v>29.692276047904194</v>
      </c>
      <c r="D104" s="7">
        <v>30.51867035928144</v>
      </c>
      <c r="E104" s="7">
        <v>30.878085329341321</v>
      </c>
      <c r="F104" s="7">
        <v>28.309782934131739</v>
      </c>
    </row>
    <row r="105" spans="1:6" x14ac:dyDescent="0.3">
      <c r="A105" s="2">
        <f>+'CMG-PDO'!A105</f>
        <v>46051</v>
      </c>
      <c r="B105" s="8">
        <f>+'CMG-PDO'!B105</f>
        <v>1.1666666666666667</v>
      </c>
      <c r="C105" s="7">
        <v>29.802755389221556</v>
      </c>
      <c r="D105" s="7">
        <v>30.627630239520958</v>
      </c>
      <c r="E105" s="7">
        <v>30.887049999999999</v>
      </c>
      <c r="F105" s="7">
        <v>28.383182634730542</v>
      </c>
    </row>
    <row r="106" spans="1:6" x14ac:dyDescent="0.3">
      <c r="A106" s="2">
        <f>+'CMG-PDO'!A106</f>
        <v>46051</v>
      </c>
      <c r="B106" s="8">
        <f>+'CMG-PDO'!B106</f>
        <v>1.1875</v>
      </c>
      <c r="C106" s="7">
        <v>25.73965508982036</v>
      </c>
      <c r="D106" s="7">
        <v>26.477467964071856</v>
      </c>
      <c r="E106" s="7">
        <v>26.663686227544911</v>
      </c>
      <c r="F106" s="7">
        <v>24.485094011976049</v>
      </c>
    </row>
    <row r="107" spans="1:6" x14ac:dyDescent="0.3">
      <c r="A107" s="2">
        <f>+'CMG-PDO'!A107</f>
        <v>46051</v>
      </c>
      <c r="B107" s="8">
        <f>+'CMG-PDO'!B107</f>
        <v>1.2083333333333333</v>
      </c>
      <c r="C107" s="7">
        <v>25.587319760479041</v>
      </c>
      <c r="D107" s="7">
        <v>26.33283862275449</v>
      </c>
      <c r="E107" s="7">
        <v>26.484600299401198</v>
      </c>
      <c r="F107" s="7">
        <v>24.384238622754495</v>
      </c>
    </row>
    <row r="108" spans="1:6" x14ac:dyDescent="0.3">
      <c r="A108" s="2">
        <f>+'CMG-PDO'!A108</f>
        <v>46051</v>
      </c>
      <c r="B108" s="8">
        <f>+'CMG-PDO'!B108</f>
        <v>1.2291666666666665</v>
      </c>
      <c r="C108" s="7">
        <v>24.743340419161679</v>
      </c>
      <c r="D108" s="7">
        <v>25.452372455089822</v>
      </c>
      <c r="E108" s="7">
        <v>25.628722455089818</v>
      </c>
      <c r="F108" s="7">
        <v>23.567071856287427</v>
      </c>
    </row>
    <row r="109" spans="1:6" x14ac:dyDescent="0.3">
      <c r="A109" s="2">
        <f>+'CMG-PDO'!A109</f>
        <v>46051</v>
      </c>
      <c r="B109" s="8">
        <f>+'CMG-PDO'!B109</f>
        <v>1.2499999999999998</v>
      </c>
      <c r="C109" s="7">
        <v>25.622142215568864</v>
      </c>
      <c r="D109" s="7">
        <v>26.391950898203596</v>
      </c>
      <c r="E109" s="7">
        <v>26.518818562874255</v>
      </c>
      <c r="F109" s="7">
        <v>24.448134431137724</v>
      </c>
    </row>
    <row r="110" spans="1:6" x14ac:dyDescent="0.3">
      <c r="A110" s="2">
        <f>+'CMG-PDO'!A110</f>
        <v>46051</v>
      </c>
      <c r="B110" s="8">
        <f>+'CMG-PDO'!B110</f>
        <v>1.270833333333333</v>
      </c>
      <c r="C110" s="7">
        <v>25.642558083832338</v>
      </c>
      <c r="D110" s="7">
        <v>26.547965868263471</v>
      </c>
      <c r="E110" s="7">
        <v>26.516612574850303</v>
      </c>
      <c r="F110" s="7">
        <v>24.452492514970061</v>
      </c>
    </row>
    <row r="111" spans="1:6" x14ac:dyDescent="0.3">
      <c r="A111" s="2">
        <f>+'CMG-PDO'!A111</f>
        <v>46051</v>
      </c>
      <c r="B111" s="8">
        <f>+'CMG-PDO'!B111</f>
        <v>1.2916666666666663</v>
      </c>
      <c r="C111" s="7">
        <v>29.759364670658684</v>
      </c>
      <c r="D111" s="7">
        <v>30.805420359281438</v>
      </c>
      <c r="E111" s="7">
        <v>30.505742514970059</v>
      </c>
      <c r="F111" s="7">
        <v>28.278262275449102</v>
      </c>
    </row>
    <row r="112" spans="1:6" x14ac:dyDescent="0.3">
      <c r="A112" s="2">
        <f>+'CMG-PDO'!A112</f>
        <v>46051</v>
      </c>
      <c r="B112" s="8">
        <f>+'CMG-PDO'!B112</f>
        <v>1.3124999999999996</v>
      </c>
      <c r="C112" s="7">
        <v>29.794328443113773</v>
      </c>
      <c r="D112" s="7">
        <v>30.972686227544912</v>
      </c>
      <c r="E112" s="7">
        <v>29.818023353293412</v>
      </c>
      <c r="F112" s="7">
        <v>28.175637125748505</v>
      </c>
    </row>
    <row r="113" spans="1:6" x14ac:dyDescent="0.3">
      <c r="A113" s="2">
        <f>+'CMG-PDO'!A113</f>
        <v>46051</v>
      </c>
      <c r="B113" s="8">
        <f>+'CMG-PDO'!B113</f>
        <v>1.3333333333333328</v>
      </c>
      <c r="C113" s="7">
        <v>29.832843413173652</v>
      </c>
      <c r="D113" s="7">
        <v>30.925057485029942</v>
      </c>
      <c r="E113" s="7">
        <v>29.843511377245513</v>
      </c>
      <c r="F113" s="7">
        <v>28.1790251497006</v>
      </c>
    </row>
    <row r="114" spans="1:6" x14ac:dyDescent="0.3">
      <c r="A114" s="2">
        <f>+'CMG-PDO'!A114</f>
        <v>46051</v>
      </c>
      <c r="B114" s="8">
        <f>+'CMG-PDO'!B114</f>
        <v>1.3541666666666661</v>
      </c>
      <c r="C114" s="7">
        <v>29.893690119760482</v>
      </c>
      <c r="D114" s="7">
        <v>31.062752694610779</v>
      </c>
      <c r="E114" s="7">
        <v>29.588546407185628</v>
      </c>
      <c r="F114" s="7">
        <v>28.150531137724553</v>
      </c>
    </row>
    <row r="115" spans="1:6" x14ac:dyDescent="0.3">
      <c r="A115" s="2">
        <f>+'CMG-PDO'!A115</f>
        <v>46051</v>
      </c>
      <c r="B115" s="8">
        <f>+'CMG-PDO'!B115</f>
        <v>1.3749999999999993</v>
      </c>
      <c r="C115" s="7">
        <v>30.298553293413175</v>
      </c>
      <c r="D115" s="7">
        <v>31.602</v>
      </c>
      <c r="E115" s="7">
        <v>29.881365568862275</v>
      </c>
      <c r="F115" s="7">
        <v>28.523751497005989</v>
      </c>
    </row>
    <row r="116" spans="1:6" x14ac:dyDescent="0.3">
      <c r="A116" s="2">
        <f>+'CMG-PDO'!A116</f>
        <v>46051</v>
      </c>
      <c r="B116" s="8">
        <f>+'CMG-PDO'!B116</f>
        <v>1.3958333333333326</v>
      </c>
      <c r="C116" s="7">
        <v>30.484495209580839</v>
      </c>
      <c r="D116" s="7">
        <v>31.909666167664671</v>
      </c>
      <c r="E116" s="7">
        <v>29.891737425149703</v>
      </c>
      <c r="F116" s="7">
        <v>28.727807185628741</v>
      </c>
    </row>
    <row r="117" spans="1:6" x14ac:dyDescent="0.3">
      <c r="A117" s="2">
        <f>+'CMG-PDO'!A117</f>
        <v>46051</v>
      </c>
      <c r="B117" s="8">
        <f>+'CMG-PDO'!B117</f>
        <v>1.4166666666666659</v>
      </c>
      <c r="C117" s="7">
        <v>33.492395808383236</v>
      </c>
      <c r="D117" s="7">
        <v>35.192830838323353</v>
      </c>
      <c r="E117" s="7">
        <v>33.14589910179641</v>
      </c>
      <c r="F117" s="7">
        <v>31.554952994011977</v>
      </c>
    </row>
    <row r="118" spans="1:6" x14ac:dyDescent="0.3">
      <c r="A118" s="2">
        <f>+'CMG-PDO'!A118</f>
        <v>46051</v>
      </c>
      <c r="B118" s="8">
        <f>+'CMG-PDO'!B118</f>
        <v>1.4374999999999991</v>
      </c>
      <c r="C118" s="7">
        <v>32.950447005988025</v>
      </c>
      <c r="D118" s="7">
        <v>34.638747305389224</v>
      </c>
      <c r="E118" s="7">
        <v>33.041438023952097</v>
      </c>
      <c r="F118" s="7">
        <v>31.247601796407189</v>
      </c>
    </row>
    <row r="119" spans="1:6" x14ac:dyDescent="0.3">
      <c r="A119" s="2">
        <f>+'CMG-PDO'!A119</f>
        <v>46051</v>
      </c>
      <c r="B119" s="8">
        <f>+'CMG-PDO'!B119</f>
        <v>1.4583333333333324</v>
      </c>
      <c r="C119" s="7">
        <v>35.857120958083833</v>
      </c>
      <c r="D119" s="7">
        <v>37.829125149700602</v>
      </c>
      <c r="E119" s="7">
        <v>35.840786526946104</v>
      </c>
      <c r="F119" s="7">
        <v>33.976052395209578</v>
      </c>
    </row>
    <row r="120" spans="1:6" x14ac:dyDescent="0.3">
      <c r="A120" s="2">
        <f>+'CMG-PDO'!A120</f>
        <v>46051</v>
      </c>
      <c r="B120" s="8">
        <f>+'CMG-PDO'!B120</f>
        <v>1.4791666666666656</v>
      </c>
      <c r="C120" s="7">
        <v>39.27550149700599</v>
      </c>
      <c r="D120" s="7">
        <v>41.372046407185628</v>
      </c>
      <c r="E120" s="7">
        <v>39.953759281437129</v>
      </c>
      <c r="F120" s="7">
        <v>37.323021556886225</v>
      </c>
    </row>
    <row r="121" spans="1:6" x14ac:dyDescent="0.3">
      <c r="A121" s="2">
        <f>+'CMG-PDO'!A121</f>
        <v>46051</v>
      </c>
      <c r="B121" s="8">
        <f>+'CMG-PDO'!B121</f>
        <v>1.4999999999999989</v>
      </c>
      <c r="C121" s="7">
        <v>39.300373353293416</v>
      </c>
      <c r="D121" s="7">
        <v>41.380645508982035</v>
      </c>
      <c r="E121" s="7">
        <v>39.873246706586833</v>
      </c>
      <c r="F121" s="7">
        <v>37.264439221556891</v>
      </c>
    </row>
    <row r="122" spans="1:6" x14ac:dyDescent="0.3">
      <c r="A122" s="2">
        <f>+'CMG-PDO'!A122</f>
        <v>46051</v>
      </c>
      <c r="B122" s="8">
        <f>+'CMG-PDO'!B122</f>
        <v>1.5208333333333321</v>
      </c>
      <c r="C122" s="7">
        <v>39.316800299401201</v>
      </c>
      <c r="D122" s="7">
        <v>41.442616167664674</v>
      </c>
      <c r="E122" s="7">
        <v>39.990105089820361</v>
      </c>
      <c r="F122" s="7">
        <v>37.348542814371264</v>
      </c>
    </row>
    <row r="123" spans="1:6" x14ac:dyDescent="0.3">
      <c r="A123" s="2">
        <f>+'CMG-PDO'!A123</f>
        <v>46051</v>
      </c>
      <c r="B123" s="8">
        <f>+'CMG-PDO'!B123</f>
        <v>1.5416666666666654</v>
      </c>
      <c r="C123" s="7">
        <v>38.076824850299403</v>
      </c>
      <c r="D123" s="7">
        <v>40.039610778443119</v>
      </c>
      <c r="E123" s="7">
        <v>38.392545508982039</v>
      </c>
      <c r="F123" s="7">
        <v>36.049967065868266</v>
      </c>
    </row>
    <row r="124" spans="1:6" x14ac:dyDescent="0.3">
      <c r="A124" s="2">
        <f>+'CMG-PDO'!A124</f>
        <v>46051</v>
      </c>
      <c r="B124" s="8">
        <f>+'CMG-PDO'!B124</f>
        <v>1.5624999999999987</v>
      </c>
      <c r="C124" s="7">
        <v>38.383014371257481</v>
      </c>
      <c r="D124" s="7">
        <v>40.405710778443115</v>
      </c>
      <c r="E124" s="7">
        <v>38.532861676646711</v>
      </c>
      <c r="F124" s="7">
        <v>36.258857784431136</v>
      </c>
    </row>
    <row r="125" spans="1:6" x14ac:dyDescent="0.3">
      <c r="A125" s="2">
        <f>+'CMG-PDO'!A125</f>
        <v>46051</v>
      </c>
      <c r="B125" s="8">
        <f>+'CMG-PDO'!B125</f>
        <v>1.5833333333333319</v>
      </c>
      <c r="C125" s="7">
        <v>38.888558682634731</v>
      </c>
      <c r="D125" s="7">
        <v>40.853523952095813</v>
      </c>
      <c r="E125" s="7">
        <v>39.128855089820355</v>
      </c>
      <c r="F125" s="7">
        <v>36.749637724550901</v>
      </c>
    </row>
    <row r="126" spans="1:6" x14ac:dyDescent="0.3">
      <c r="A126" s="2">
        <f>+'CMG-PDO'!A126</f>
        <v>46051</v>
      </c>
      <c r="B126" s="8">
        <f>+'CMG-PDO'!B126</f>
        <v>1.6041666666666652</v>
      </c>
      <c r="C126" s="7">
        <v>42.560216766467072</v>
      </c>
      <c r="D126" s="7">
        <v>44.562995508982041</v>
      </c>
      <c r="E126" s="7">
        <v>43.656628742514975</v>
      </c>
      <c r="F126" s="7">
        <v>40.414669161676649</v>
      </c>
    </row>
    <row r="127" spans="1:6" x14ac:dyDescent="0.3">
      <c r="A127" s="2">
        <f>+'CMG-PDO'!A127</f>
        <v>46051</v>
      </c>
      <c r="B127" s="8">
        <f>+'CMG-PDO'!B127</f>
        <v>1.6249999999999984</v>
      </c>
      <c r="C127" s="7">
        <v>44.842216467065867</v>
      </c>
      <c r="D127" s="7">
        <v>47.11891886227545</v>
      </c>
      <c r="E127" s="7">
        <v>46.262502994011982</v>
      </c>
      <c r="F127" s="7">
        <v>42.803367065868265</v>
      </c>
    </row>
    <row r="128" spans="1:6" x14ac:dyDescent="0.3">
      <c r="A128" s="2">
        <f>+'CMG-PDO'!A128</f>
        <v>46051</v>
      </c>
      <c r="B128" s="8">
        <f>+'CMG-PDO'!B128</f>
        <v>1.6458333333333317</v>
      </c>
      <c r="C128" s="7">
        <v>44.834495808383238</v>
      </c>
      <c r="D128" s="7">
        <v>47.213842814371255</v>
      </c>
      <c r="E128" s="7">
        <v>46.175503293413172</v>
      </c>
      <c r="F128" s="7">
        <v>42.634709281437125</v>
      </c>
    </row>
    <row r="129" spans="1:6" x14ac:dyDescent="0.3">
      <c r="A129" s="2">
        <f>+'CMG-PDO'!A129</f>
        <v>46051</v>
      </c>
      <c r="B129" s="8">
        <f>+'CMG-PDO'!B129</f>
        <v>1.666666666666665</v>
      </c>
      <c r="C129" s="7">
        <v>44.839075149700598</v>
      </c>
      <c r="D129" s="7">
        <v>47.301569161676653</v>
      </c>
      <c r="E129" s="7">
        <v>46.187141616766468</v>
      </c>
      <c r="F129" s="7">
        <v>42.609802395209584</v>
      </c>
    </row>
    <row r="130" spans="1:6" x14ac:dyDescent="0.3">
      <c r="A130" s="2">
        <f>+'CMG-PDO'!A130</f>
        <v>46051</v>
      </c>
      <c r="B130" s="8">
        <f>+'CMG-PDO'!B130</f>
        <v>1.6874999999999982</v>
      </c>
      <c r="C130" s="7">
        <v>44.829377245508987</v>
      </c>
      <c r="D130" s="7">
        <v>47.215785329341323</v>
      </c>
      <c r="E130" s="7">
        <v>46.18764910179641</v>
      </c>
      <c r="F130" s="7">
        <v>42.634393113772461</v>
      </c>
    </row>
    <row r="131" spans="1:6" x14ac:dyDescent="0.3">
      <c r="A131" s="2">
        <f>+'CMG-PDO'!A131</f>
        <v>46051</v>
      </c>
      <c r="B131" s="8">
        <f>+'CMG-PDO'!B131</f>
        <v>1.7083333333333315</v>
      </c>
      <c r="C131" s="7">
        <v>44.840346706586828</v>
      </c>
      <c r="D131" s="7">
        <v>47.162005688622756</v>
      </c>
      <c r="E131" s="7">
        <v>46.234140718562877</v>
      </c>
      <c r="F131" s="7">
        <v>42.605651497005987</v>
      </c>
    </row>
    <row r="132" spans="1:6" x14ac:dyDescent="0.3">
      <c r="A132" s="2">
        <f>+'CMG-PDO'!A132</f>
        <v>46051</v>
      </c>
      <c r="B132" s="8">
        <f>+'CMG-PDO'!B132</f>
        <v>1.7291666666666647</v>
      </c>
      <c r="C132" s="7">
        <v>39.85873053892216</v>
      </c>
      <c r="D132" s="7">
        <v>41.71096107784431</v>
      </c>
      <c r="E132" s="7">
        <v>41.188373652694608</v>
      </c>
      <c r="F132" s="7">
        <v>37.839717664670658</v>
      </c>
    </row>
    <row r="133" spans="1:6" x14ac:dyDescent="0.3">
      <c r="A133" s="2">
        <f>+'CMG-PDO'!A133</f>
        <v>46051</v>
      </c>
      <c r="B133" s="8">
        <f>+'CMG-PDO'!B133</f>
        <v>1.749999999999998</v>
      </c>
      <c r="C133" s="7">
        <v>36.121895508982035</v>
      </c>
      <c r="D133" s="7">
        <v>37.645155089820364</v>
      </c>
      <c r="E133" s="7">
        <v>37.423632934131739</v>
      </c>
      <c r="F133" s="7">
        <v>34.316876047904195</v>
      </c>
    </row>
    <row r="134" spans="1:6" x14ac:dyDescent="0.3">
      <c r="A134" s="2">
        <f>+'CMG-PDO'!A134</f>
        <v>46051</v>
      </c>
      <c r="B134" s="8">
        <f>+'CMG-PDO'!B134</f>
        <v>1.7708333333333313</v>
      </c>
      <c r="C134" s="7">
        <v>35.769152994011975</v>
      </c>
      <c r="D134" s="7">
        <v>37.337543413173655</v>
      </c>
      <c r="E134" s="7">
        <v>37.317917365269466</v>
      </c>
      <c r="F134" s="7">
        <v>34.106034730538923</v>
      </c>
    </row>
    <row r="135" spans="1:6" x14ac:dyDescent="0.3">
      <c r="A135" s="2">
        <f>+'CMG-PDO'!A135</f>
        <v>46051</v>
      </c>
      <c r="B135" s="8">
        <f>+'CMG-PDO'!B135</f>
        <v>1.7916666666666645</v>
      </c>
      <c r="C135" s="7">
        <v>35.621368862275446</v>
      </c>
      <c r="D135" s="7">
        <v>37.430694910179646</v>
      </c>
      <c r="E135" s="7">
        <v>36.990774251497008</v>
      </c>
      <c r="F135" s="7">
        <v>34.007346706586823</v>
      </c>
    </row>
    <row r="136" spans="1:6" x14ac:dyDescent="0.3">
      <c r="A136" s="2">
        <f>+'CMG-PDO'!A136</f>
        <v>46051</v>
      </c>
      <c r="B136" s="8">
        <f>+'CMG-PDO'!B136</f>
        <v>1.8124999999999978</v>
      </c>
      <c r="C136" s="7">
        <v>35.744656287425151</v>
      </c>
      <c r="D136" s="7">
        <v>37.753408982035928</v>
      </c>
      <c r="E136" s="7">
        <v>37.308791017964076</v>
      </c>
      <c r="F136" s="7">
        <v>34.107067365269458</v>
      </c>
    </row>
    <row r="137" spans="1:6" x14ac:dyDescent="0.3">
      <c r="A137" s="2">
        <f>+'CMG-PDO'!A137</f>
        <v>46051</v>
      </c>
      <c r="B137" s="8">
        <f>+'CMG-PDO'!B137</f>
        <v>1.833333333333331</v>
      </c>
      <c r="C137" s="7">
        <v>35.766533532934133</v>
      </c>
      <c r="D137" s="7">
        <v>37.843909281437128</v>
      </c>
      <c r="E137" s="7">
        <v>37.361383233532933</v>
      </c>
      <c r="F137" s="7">
        <v>34.140812574850301</v>
      </c>
    </row>
    <row r="138" spans="1:6" x14ac:dyDescent="0.3">
      <c r="A138" s="2">
        <f>+'CMG-PDO'!A138</f>
        <v>46051</v>
      </c>
      <c r="B138" s="8">
        <f>+'CMG-PDO'!B138</f>
        <v>1.8541666666666643</v>
      </c>
      <c r="C138" s="7">
        <v>35.698209880239524</v>
      </c>
      <c r="D138" s="7">
        <v>37.635860479041916</v>
      </c>
      <c r="E138" s="7">
        <v>37.21856497005988</v>
      </c>
      <c r="F138" s="7">
        <v>34.157592514970062</v>
      </c>
    </row>
    <row r="139" spans="1:6" x14ac:dyDescent="0.3">
      <c r="A139" s="2">
        <f>+'CMG-PDO'!A139</f>
        <v>46051</v>
      </c>
      <c r="B139" s="8">
        <f>+'CMG-PDO'!B139</f>
        <v>1.8749999999999976</v>
      </c>
      <c r="C139" s="7">
        <v>35.760632634730541</v>
      </c>
      <c r="D139" s="7">
        <v>37.620626946107784</v>
      </c>
      <c r="E139" s="7">
        <v>37.234142215568866</v>
      </c>
      <c r="F139" s="7">
        <v>34.176480239520963</v>
      </c>
    </row>
    <row r="140" spans="1:6" x14ac:dyDescent="0.3">
      <c r="A140" s="2">
        <f>+'CMG-PDO'!A140</f>
        <v>46051</v>
      </c>
      <c r="B140" s="8">
        <f>+'CMG-PDO'!B140</f>
        <v>1.8958333333333308</v>
      </c>
      <c r="C140" s="7">
        <v>35.776947904191623</v>
      </c>
      <c r="D140" s="7">
        <v>37.687764970059881</v>
      </c>
      <c r="E140" s="7">
        <v>37.221314371257492</v>
      </c>
      <c r="F140" s="7">
        <v>34.07735568862276</v>
      </c>
    </row>
    <row r="141" spans="1:6" x14ac:dyDescent="0.3">
      <c r="A141" s="2">
        <f>+'CMG-PDO'!A141</f>
        <v>46051</v>
      </c>
      <c r="B141" s="8">
        <f>+'CMG-PDO'!B141</f>
        <v>1.9166666666666641</v>
      </c>
      <c r="C141" s="7">
        <v>35.775673053892213</v>
      </c>
      <c r="D141" s="7">
        <v>37.618175449101798</v>
      </c>
      <c r="E141" s="7">
        <v>37.123141616766468</v>
      </c>
      <c r="F141" s="7">
        <v>34.040917964071859</v>
      </c>
    </row>
    <row r="142" spans="1:6" x14ac:dyDescent="0.3">
      <c r="A142" s="2">
        <f>+'CMG-PDO'!A142</f>
        <v>46051</v>
      </c>
      <c r="B142" s="8">
        <f>+'CMG-PDO'!B142</f>
        <v>1.9374999999999973</v>
      </c>
      <c r="C142" s="7">
        <v>35.753614371257491</v>
      </c>
      <c r="D142" s="7">
        <v>37.562683832335331</v>
      </c>
      <c r="E142" s="7">
        <v>37.165505688622758</v>
      </c>
      <c r="F142" s="7">
        <v>34.091806886227545</v>
      </c>
    </row>
    <row r="143" spans="1:6" x14ac:dyDescent="0.3">
      <c r="A143" s="2">
        <f>+'CMG-PDO'!A143</f>
        <v>46051</v>
      </c>
      <c r="B143" s="8">
        <f>+'CMG-PDO'!B143</f>
        <v>1.9583333333333306</v>
      </c>
      <c r="C143" s="7">
        <v>35.71202634730539</v>
      </c>
      <c r="D143" s="7">
        <v>37.300336826347305</v>
      </c>
      <c r="E143" s="7">
        <v>37.142743413173655</v>
      </c>
      <c r="F143" s="7">
        <v>34.108210479041922</v>
      </c>
    </row>
    <row r="144" spans="1:6" x14ac:dyDescent="0.3">
      <c r="A144" s="2">
        <f>+'CMG-PDO'!A144</f>
        <v>46051</v>
      </c>
      <c r="B144" s="8">
        <f>+'CMG-PDO'!B144</f>
        <v>1.9791666666666639</v>
      </c>
      <c r="C144" s="7">
        <v>30.384361976047906</v>
      </c>
      <c r="D144" s="7">
        <v>31.591159880239523</v>
      </c>
      <c r="E144" s="7">
        <v>31.424371257485035</v>
      </c>
      <c r="F144" s="7">
        <v>28.919099401197606</v>
      </c>
    </row>
    <row r="145" spans="1:6" x14ac:dyDescent="0.3">
      <c r="A145" s="2">
        <f>+'CMG-PDO'!A145</f>
        <v>46051</v>
      </c>
      <c r="B145" s="8">
        <f>+'CMG-PDO'!B145</f>
        <v>1.9999999999999971</v>
      </c>
      <c r="C145" s="7">
        <v>30.330936526946111</v>
      </c>
      <c r="D145" s="7">
        <v>31.451198203592817</v>
      </c>
      <c r="E145" s="7">
        <v>31.274826047904195</v>
      </c>
      <c r="F145" s="7">
        <v>28.855841317365272</v>
      </c>
    </row>
    <row r="146" spans="1:6" x14ac:dyDescent="0.3">
      <c r="A146" s="2">
        <f>+'CMG-PDO'!A146</f>
        <v>46052</v>
      </c>
      <c r="B146" s="8">
        <f>+'CMG-PDO'!B146</f>
        <v>2.0208333333333304</v>
      </c>
      <c r="C146" s="7">
        <v>25.72630868263473</v>
      </c>
      <c r="D146" s="7">
        <v>26.537138622754494</v>
      </c>
      <c r="E146" s="7">
        <v>26.587799101796406</v>
      </c>
      <c r="F146" s="7">
        <v>24.488649401197605</v>
      </c>
    </row>
    <row r="147" spans="1:6" x14ac:dyDescent="0.3">
      <c r="A147" s="2">
        <f>+'CMG-PDO'!A147</f>
        <v>46052</v>
      </c>
      <c r="B147" s="8">
        <f>+'CMG-PDO'!B147</f>
        <v>2.0416666666666639</v>
      </c>
      <c r="C147" s="7">
        <v>25.677041916167664</v>
      </c>
      <c r="D147" s="7">
        <v>26.400644910179643</v>
      </c>
      <c r="E147" s="7">
        <v>26.461204491017963</v>
      </c>
      <c r="F147" s="7">
        <v>24.42563263473054</v>
      </c>
    </row>
    <row r="148" spans="1:6" x14ac:dyDescent="0.3">
      <c r="A148" s="2">
        <f>+'CMG-PDO'!A148</f>
        <v>46052</v>
      </c>
      <c r="B148" s="8">
        <f>+'CMG-PDO'!B148</f>
        <v>2.0624999999999973</v>
      </c>
      <c r="C148" s="7">
        <v>30.019813173652697</v>
      </c>
      <c r="D148" s="7">
        <v>30.926564670658681</v>
      </c>
      <c r="E148" s="7">
        <v>31.020131437125752</v>
      </c>
      <c r="F148" s="7">
        <v>28.546713473053895</v>
      </c>
    </row>
    <row r="149" spans="1:6" x14ac:dyDescent="0.3">
      <c r="A149" s="2">
        <f>+'CMG-PDO'!A149</f>
        <v>46052</v>
      </c>
      <c r="B149" s="8">
        <f>+'CMG-PDO'!B149</f>
        <v>2.0833333333333308</v>
      </c>
      <c r="C149" s="7">
        <v>30.12881047904192</v>
      </c>
      <c r="D149" s="7">
        <v>31.10637125748503</v>
      </c>
      <c r="E149" s="7">
        <v>31.023811676646705</v>
      </c>
      <c r="F149" s="7">
        <v>28.627825149700598</v>
      </c>
    </row>
    <row r="150" spans="1:6" x14ac:dyDescent="0.3">
      <c r="A150" s="2">
        <f>+'CMG-PDO'!A150</f>
        <v>46052</v>
      </c>
      <c r="B150" s="8">
        <f>+'CMG-PDO'!B150</f>
        <v>2.1041666666666643</v>
      </c>
      <c r="C150" s="7">
        <v>24.077700299401197</v>
      </c>
      <c r="D150" s="7">
        <v>24.829256287425149</v>
      </c>
      <c r="E150" s="7">
        <v>24.868511377245511</v>
      </c>
      <c r="F150" s="7">
        <v>22.903546107784432</v>
      </c>
    </row>
    <row r="151" spans="1:6" x14ac:dyDescent="0.3">
      <c r="A151" s="2">
        <f>+'CMG-PDO'!A151</f>
        <v>46052</v>
      </c>
      <c r="B151" s="8">
        <f>+'CMG-PDO'!B151</f>
        <v>2.1249999999999978</v>
      </c>
      <c r="C151" s="7">
        <v>26.009536526946111</v>
      </c>
      <c r="D151" s="7">
        <v>26.746883233532937</v>
      </c>
      <c r="E151" s="7">
        <v>26.969656287425153</v>
      </c>
      <c r="F151" s="7">
        <v>24.781158083832338</v>
      </c>
    </row>
    <row r="152" spans="1:6" x14ac:dyDescent="0.3">
      <c r="A152" s="2">
        <f>+'CMG-PDO'!A152</f>
        <v>46052</v>
      </c>
      <c r="B152" s="8">
        <f>+'CMG-PDO'!B152</f>
        <v>2.1458333333333313</v>
      </c>
      <c r="C152" s="7">
        <v>25.637187125748504</v>
      </c>
      <c r="D152" s="7">
        <v>26.367136526946108</v>
      </c>
      <c r="E152" s="7">
        <v>26.60685508982036</v>
      </c>
      <c r="F152" s="7">
        <v>24.515962874251496</v>
      </c>
    </row>
    <row r="153" spans="1:6" x14ac:dyDescent="0.3">
      <c r="A153" s="2">
        <f>+'CMG-PDO'!A153</f>
        <v>46052</v>
      </c>
      <c r="B153" s="8">
        <f>+'CMG-PDO'!B153</f>
        <v>2.1666666666666647</v>
      </c>
      <c r="C153" s="7">
        <v>25.869049401197607</v>
      </c>
      <c r="D153" s="7">
        <v>26.588810778443115</v>
      </c>
      <c r="E153" s="7">
        <v>26.899008083832335</v>
      </c>
      <c r="F153" s="7">
        <v>24.720173353293411</v>
      </c>
    </row>
    <row r="154" spans="1:6" x14ac:dyDescent="0.3">
      <c r="A154" s="2">
        <f>+'CMG-PDO'!A154</f>
        <v>46052</v>
      </c>
      <c r="B154" s="8">
        <f>+'CMG-PDO'!B154</f>
        <v>2.1874999999999982</v>
      </c>
      <c r="C154" s="7">
        <v>29.790559880239524</v>
      </c>
      <c r="D154" s="7">
        <v>30.742291916167666</v>
      </c>
      <c r="E154" s="7">
        <v>30.976925748502993</v>
      </c>
      <c r="F154" s="7">
        <v>28.494351497005987</v>
      </c>
    </row>
    <row r="155" spans="1:6" x14ac:dyDescent="0.3">
      <c r="A155" s="2">
        <f>+'CMG-PDO'!A155</f>
        <v>46052</v>
      </c>
      <c r="B155" s="8">
        <f>+'CMG-PDO'!B155</f>
        <v>2.2083333333333317</v>
      </c>
      <c r="C155" s="7">
        <v>29.98467155688623</v>
      </c>
      <c r="D155" s="7">
        <v>30.973009880239523</v>
      </c>
      <c r="E155" s="7">
        <v>31.17639371257485</v>
      </c>
      <c r="F155" s="7">
        <v>28.631163173652695</v>
      </c>
    </row>
    <row r="156" spans="1:6" x14ac:dyDescent="0.3">
      <c r="A156" s="2">
        <f>+'CMG-PDO'!A156</f>
        <v>46052</v>
      </c>
      <c r="B156" s="8">
        <f>+'CMG-PDO'!B156</f>
        <v>2.2291666666666652</v>
      </c>
      <c r="C156" s="7">
        <v>30.174131736526945</v>
      </c>
      <c r="D156" s="7">
        <v>31.189988323353294</v>
      </c>
      <c r="E156" s="7">
        <v>31.354321856287424</v>
      </c>
      <c r="F156" s="7">
        <v>28.791715868263477</v>
      </c>
    </row>
    <row r="157" spans="1:6" x14ac:dyDescent="0.3">
      <c r="A157" s="2">
        <f>+'CMG-PDO'!A157</f>
        <v>46052</v>
      </c>
      <c r="B157" s="8">
        <f>+'CMG-PDO'!B157</f>
        <v>2.2499999999999987</v>
      </c>
      <c r="C157" s="7">
        <v>29.829701197604791</v>
      </c>
      <c r="D157" s="7">
        <v>30.824675449101797</v>
      </c>
      <c r="E157" s="7">
        <v>30.883344610778448</v>
      </c>
      <c r="F157" s="7">
        <v>28.445597005988027</v>
      </c>
    </row>
    <row r="158" spans="1:6" x14ac:dyDescent="0.3">
      <c r="A158" s="2">
        <f>+'CMG-PDO'!A158</f>
        <v>46052</v>
      </c>
      <c r="B158" s="8">
        <f>+'CMG-PDO'!B158</f>
        <v>2.2708333333333321</v>
      </c>
      <c r="C158" s="7">
        <v>29.753680838323355</v>
      </c>
      <c r="D158" s="7">
        <v>30.782052994011977</v>
      </c>
      <c r="E158" s="7">
        <v>30.220828742514971</v>
      </c>
      <c r="F158" s="7">
        <v>28.245364670658685</v>
      </c>
    </row>
    <row r="159" spans="1:6" x14ac:dyDescent="0.3">
      <c r="A159" s="2">
        <f>+'CMG-PDO'!A159</f>
        <v>46052</v>
      </c>
      <c r="B159" s="8">
        <f>+'CMG-PDO'!B159</f>
        <v>2.2916666666666656</v>
      </c>
      <c r="C159" s="7">
        <v>24.137808383233534</v>
      </c>
      <c r="D159" s="7">
        <v>24.969556886227547</v>
      </c>
      <c r="E159" s="7">
        <v>23.887481736526947</v>
      </c>
      <c r="F159" s="7">
        <v>22.762472155688624</v>
      </c>
    </row>
    <row r="160" spans="1:6" x14ac:dyDescent="0.3">
      <c r="A160" s="2">
        <f>+'CMG-PDO'!A160</f>
        <v>46052</v>
      </c>
      <c r="B160" s="8">
        <f>+'CMG-PDO'!B160</f>
        <v>2.3124999999999991</v>
      </c>
      <c r="C160" s="7">
        <v>24.056102994011979</v>
      </c>
      <c r="D160" s="7">
        <v>24.955705089820359</v>
      </c>
      <c r="E160" s="7">
        <v>23.357909880239522</v>
      </c>
      <c r="F160" s="7">
        <v>22.601219461077847</v>
      </c>
    </row>
    <row r="161" spans="1:6" x14ac:dyDescent="0.3">
      <c r="A161" s="2">
        <f>+'CMG-PDO'!A161</f>
        <v>46052</v>
      </c>
      <c r="B161" s="8">
        <f>+'CMG-PDO'!B161</f>
        <v>2.3333333333333326</v>
      </c>
      <c r="C161" s="7">
        <v>0.7687065868263474</v>
      </c>
      <c r="D161" s="7">
        <v>0.79631077844311382</v>
      </c>
      <c r="E161" s="7">
        <v>0.74297544910179647</v>
      </c>
      <c r="F161" s="7">
        <v>0.72136227544910181</v>
      </c>
    </row>
    <row r="162" spans="1:6" x14ac:dyDescent="0.3">
      <c r="A162" s="2">
        <f>+'CMG-PDO'!A162</f>
        <v>46052</v>
      </c>
      <c r="B162" s="8">
        <f>+'CMG-PDO'!B162</f>
        <v>2.3541666666666661</v>
      </c>
      <c r="C162" s="7">
        <v>24.79741886227545</v>
      </c>
      <c r="D162" s="7">
        <v>25.801245508982035</v>
      </c>
      <c r="E162" s="7">
        <v>23.889052395209582</v>
      </c>
      <c r="F162" s="7">
        <v>23.224023353293411</v>
      </c>
    </row>
    <row r="163" spans="1:6" x14ac:dyDescent="0.3">
      <c r="A163" s="2">
        <f>+'CMG-PDO'!A163</f>
        <v>46052</v>
      </c>
      <c r="B163" s="8">
        <f>+'CMG-PDO'!B163</f>
        <v>2.3749999999999996</v>
      </c>
      <c r="C163" s="7">
        <v>33.745174850299399</v>
      </c>
      <c r="D163" s="7">
        <v>35.146377245508987</v>
      </c>
      <c r="E163" s="7">
        <v>32.561542215568863</v>
      </c>
      <c r="F163" s="7">
        <v>31.554552395209583</v>
      </c>
    </row>
    <row r="164" spans="1:6" x14ac:dyDescent="0.3">
      <c r="A164" s="2">
        <f>+'CMG-PDO'!A164</f>
        <v>46052</v>
      </c>
      <c r="B164" s="8">
        <f>+'CMG-PDO'!B164</f>
        <v>2.395833333333333</v>
      </c>
      <c r="C164" s="7">
        <v>30.889579640718562</v>
      </c>
      <c r="D164" s="7">
        <v>32.125028143712576</v>
      </c>
      <c r="E164" s="7">
        <v>29.869586227544914</v>
      </c>
      <c r="F164" s="7">
        <v>28.878675449101795</v>
      </c>
    </row>
    <row r="165" spans="1:6" x14ac:dyDescent="0.3">
      <c r="A165" s="2">
        <f>+'CMG-PDO'!A165</f>
        <v>46052</v>
      </c>
      <c r="B165" s="8">
        <f>+'CMG-PDO'!B165</f>
        <v>2.4166666666666665</v>
      </c>
      <c r="C165" s="7">
        <v>29.997078443113772</v>
      </c>
      <c r="D165" s="7">
        <v>31.250920658682634</v>
      </c>
      <c r="E165" s="7">
        <v>29.133994311377247</v>
      </c>
      <c r="F165" s="7">
        <v>28.172952395209581</v>
      </c>
    </row>
    <row r="166" spans="1:6" x14ac:dyDescent="0.3">
      <c r="A166" s="2">
        <f>+'CMG-PDO'!A166</f>
        <v>46052</v>
      </c>
      <c r="B166" s="8">
        <f>+'CMG-PDO'!B166</f>
        <v>2.4375</v>
      </c>
      <c r="C166" s="7">
        <v>31.192079640718564</v>
      </c>
      <c r="D166" s="7">
        <v>32.61991646706587</v>
      </c>
      <c r="E166" s="7">
        <v>30.260019760479043</v>
      </c>
      <c r="F166" s="7">
        <v>29.188919161676647</v>
      </c>
    </row>
    <row r="167" spans="1:6" x14ac:dyDescent="0.3">
      <c r="A167" s="2">
        <f>+'CMG-PDO'!A167</f>
        <v>46052</v>
      </c>
      <c r="B167" s="8">
        <f>+'CMG-PDO'!B167</f>
        <v>2.4583333333333335</v>
      </c>
      <c r="C167" s="7">
        <v>30.603890419161679</v>
      </c>
      <c r="D167" s="7">
        <v>32.074987125748507</v>
      </c>
      <c r="E167" s="7">
        <v>29.756590419161679</v>
      </c>
      <c r="F167" s="7">
        <v>28.742003892215571</v>
      </c>
    </row>
    <row r="168" spans="1:6" x14ac:dyDescent="0.3">
      <c r="A168" s="2">
        <f>+'CMG-PDO'!A168</f>
        <v>46052</v>
      </c>
      <c r="B168" s="8">
        <f>+'CMG-PDO'!B168</f>
        <v>2.479166666666667</v>
      </c>
      <c r="C168" s="7">
        <v>33.063359880239524</v>
      </c>
      <c r="D168" s="7">
        <v>34.758569461077848</v>
      </c>
      <c r="E168" s="7">
        <v>32.13159131736527</v>
      </c>
      <c r="F168" s="7">
        <v>31.052407784431139</v>
      </c>
    </row>
    <row r="169" spans="1:6" x14ac:dyDescent="0.3">
      <c r="A169" s="2">
        <f>+'CMG-PDO'!A169</f>
        <v>46052</v>
      </c>
      <c r="B169" s="8">
        <f>+'CMG-PDO'!B169</f>
        <v>2.5000000000000004</v>
      </c>
      <c r="C169" s="7">
        <v>33.157870658682633</v>
      </c>
      <c r="D169" s="7">
        <v>34.900948203592812</v>
      </c>
      <c r="E169" s="7">
        <v>32.140397305389222</v>
      </c>
      <c r="F169" s="7">
        <v>31.037280838323355</v>
      </c>
    </row>
    <row r="170" spans="1:6" x14ac:dyDescent="0.3">
      <c r="A170" s="2">
        <f>+'CMG-PDO'!A170</f>
        <v>46052</v>
      </c>
      <c r="B170" s="8">
        <f>+'CMG-PDO'!B170</f>
        <v>2.5208333333333339</v>
      </c>
      <c r="C170" s="7">
        <v>30.571306287425152</v>
      </c>
      <c r="D170" s="7">
        <v>32.114143113772457</v>
      </c>
      <c r="E170" s="7">
        <v>29.568885329341317</v>
      </c>
      <c r="F170" s="7">
        <v>28.605003892215571</v>
      </c>
    </row>
    <row r="171" spans="1:6" x14ac:dyDescent="0.3">
      <c r="A171" s="2">
        <f>+'CMG-PDO'!A171</f>
        <v>46052</v>
      </c>
      <c r="B171" s="8">
        <f>+'CMG-PDO'!B171</f>
        <v>2.5416666666666674</v>
      </c>
      <c r="C171" s="7">
        <v>30.573561377245511</v>
      </c>
      <c r="D171" s="7">
        <v>32.046244910179645</v>
      </c>
      <c r="E171" s="7">
        <v>29.467393113772456</v>
      </c>
      <c r="F171" s="7">
        <v>28.604418263473057</v>
      </c>
    </row>
    <row r="172" spans="1:6" x14ac:dyDescent="0.3">
      <c r="A172" s="2">
        <f>+'CMG-PDO'!A172</f>
        <v>46052</v>
      </c>
      <c r="B172" s="8">
        <f>+'CMG-PDO'!B172</f>
        <v>2.5625000000000009</v>
      </c>
      <c r="C172" s="7">
        <v>30.525470958083833</v>
      </c>
      <c r="D172" s="7">
        <v>32.007883832335331</v>
      </c>
      <c r="E172" s="7">
        <v>29.437043113772454</v>
      </c>
      <c r="F172" s="7">
        <v>28.539649401197607</v>
      </c>
    </row>
    <row r="173" spans="1:6" x14ac:dyDescent="0.3">
      <c r="A173" s="2">
        <f>+'CMG-PDO'!A173</f>
        <v>46052</v>
      </c>
      <c r="B173" s="8">
        <f>+'CMG-PDO'!B173</f>
        <v>2.5833333333333344</v>
      </c>
      <c r="C173" s="7">
        <v>30.527214670658683</v>
      </c>
      <c r="D173" s="7">
        <v>31.915956586826347</v>
      </c>
      <c r="E173" s="7">
        <v>29.527734730538924</v>
      </c>
      <c r="F173" s="7">
        <v>28.544135628742517</v>
      </c>
    </row>
    <row r="174" spans="1:6" x14ac:dyDescent="0.3">
      <c r="A174" s="2">
        <f>+'CMG-PDO'!A174</f>
        <v>46052</v>
      </c>
      <c r="B174" s="8">
        <f>+'CMG-PDO'!B174</f>
        <v>2.6041666666666679</v>
      </c>
      <c r="C174" s="7">
        <v>30.47608143712575</v>
      </c>
      <c r="D174" s="7">
        <v>31.88713383233533</v>
      </c>
      <c r="E174" s="7">
        <v>29.514355688622757</v>
      </c>
      <c r="F174" s="7">
        <v>28.572661077844312</v>
      </c>
    </row>
    <row r="175" spans="1:6" x14ac:dyDescent="0.3">
      <c r="A175" s="2">
        <f>+'CMG-PDO'!A175</f>
        <v>46052</v>
      </c>
      <c r="B175" s="8">
        <f>+'CMG-PDO'!B175</f>
        <v>2.6250000000000013</v>
      </c>
      <c r="C175" s="7">
        <v>30.428232634730541</v>
      </c>
      <c r="D175" s="7">
        <v>31.809645808383237</v>
      </c>
      <c r="E175" s="7">
        <v>29.431911077844312</v>
      </c>
      <c r="F175" s="7">
        <v>28.529052994011977</v>
      </c>
    </row>
    <row r="176" spans="1:6" x14ac:dyDescent="0.3">
      <c r="A176" s="2">
        <f>+'CMG-PDO'!A176</f>
        <v>46052</v>
      </c>
      <c r="B176" s="8">
        <f>+'CMG-PDO'!B176</f>
        <v>2.6458333333333348</v>
      </c>
      <c r="C176" s="7">
        <v>30.532105389221559</v>
      </c>
      <c r="D176" s="7">
        <v>32.055836227544908</v>
      </c>
      <c r="E176" s="7">
        <v>29.389931437125746</v>
      </c>
      <c r="F176" s="7">
        <v>28.51809011976048</v>
      </c>
    </row>
    <row r="177" spans="1:6" x14ac:dyDescent="0.3">
      <c r="A177" s="2">
        <f>+'CMG-PDO'!A177</f>
        <v>46052</v>
      </c>
      <c r="B177" s="8">
        <f>+'CMG-PDO'!B177</f>
        <v>2.6666666666666683</v>
      </c>
      <c r="C177" s="7">
        <v>30.50824401197605</v>
      </c>
      <c r="D177" s="7">
        <v>31.898997904191617</v>
      </c>
      <c r="E177" s="7">
        <v>29.362812574850299</v>
      </c>
      <c r="F177" s="7">
        <v>28.508668562874252</v>
      </c>
    </row>
    <row r="178" spans="1:6" x14ac:dyDescent="0.3">
      <c r="A178" s="2">
        <f>+'CMG-PDO'!A178</f>
        <v>46052</v>
      </c>
      <c r="B178" s="8">
        <f>+'CMG-PDO'!B178</f>
        <v>2.6875000000000018</v>
      </c>
      <c r="C178" s="7">
        <v>29.99840359281437</v>
      </c>
      <c r="D178" s="7">
        <v>31.419049700598805</v>
      </c>
      <c r="E178" s="7">
        <v>29.201287125748504</v>
      </c>
      <c r="F178" s="7">
        <v>28.09457155688623</v>
      </c>
    </row>
    <row r="179" spans="1:6" x14ac:dyDescent="0.3">
      <c r="A179" s="2">
        <f>+'CMG-PDO'!A179</f>
        <v>46052</v>
      </c>
      <c r="B179" s="8">
        <f>+'CMG-PDO'!B179</f>
        <v>2.7083333333333353</v>
      </c>
      <c r="C179" s="7">
        <v>30.471834730538923</v>
      </c>
      <c r="D179" s="7">
        <v>31.839926646706587</v>
      </c>
      <c r="E179" s="7">
        <v>30.564576047904193</v>
      </c>
      <c r="F179" s="7">
        <v>28.75378982035928</v>
      </c>
    </row>
    <row r="180" spans="1:6" x14ac:dyDescent="0.3">
      <c r="A180" s="2">
        <f>+'CMG-PDO'!A180</f>
        <v>46052</v>
      </c>
      <c r="B180" s="8">
        <f>+'CMG-PDO'!B180</f>
        <v>2.7291666666666687</v>
      </c>
      <c r="C180" s="7">
        <v>30.5722122754491</v>
      </c>
      <c r="D180" s="7">
        <v>31.835786227544911</v>
      </c>
      <c r="E180" s="7">
        <v>30.948132934131738</v>
      </c>
      <c r="F180" s="7">
        <v>28.913227245508981</v>
      </c>
    </row>
    <row r="181" spans="1:6" x14ac:dyDescent="0.3">
      <c r="A181" s="2">
        <f>+'CMG-PDO'!A181</f>
        <v>46052</v>
      </c>
      <c r="B181" s="8">
        <f>+'CMG-PDO'!B181</f>
        <v>2.7500000000000022</v>
      </c>
      <c r="C181" s="7">
        <v>30.5611</v>
      </c>
      <c r="D181" s="7">
        <v>31.820309880239524</v>
      </c>
      <c r="E181" s="7">
        <v>31.241560479041919</v>
      </c>
      <c r="F181" s="7">
        <v>28.969043113772454</v>
      </c>
    </row>
    <row r="182" spans="1:6" x14ac:dyDescent="0.3">
      <c r="A182" s="2">
        <f>+'CMG-PDO'!A182</f>
        <v>46052</v>
      </c>
      <c r="B182" s="8">
        <f>+'CMG-PDO'!B182</f>
        <v>2.7708333333333357</v>
      </c>
      <c r="C182" s="7">
        <v>30.389796407185628</v>
      </c>
      <c r="D182" s="7">
        <v>31.661768263473054</v>
      </c>
      <c r="E182" s="7">
        <v>31.480971856287425</v>
      </c>
      <c r="F182" s="7">
        <v>28.96897874251497</v>
      </c>
    </row>
    <row r="183" spans="1:6" x14ac:dyDescent="0.3">
      <c r="A183" s="2">
        <f>+'CMG-PDO'!A183</f>
        <v>46052</v>
      </c>
      <c r="B183" s="8">
        <f>+'CMG-PDO'!B183</f>
        <v>2.7916666666666692</v>
      </c>
      <c r="C183" s="7">
        <v>36.066524251497007</v>
      </c>
      <c r="D183" s="7">
        <v>37.88509550898204</v>
      </c>
      <c r="E183" s="7">
        <v>37.45252245508982</v>
      </c>
      <c r="F183" s="7">
        <v>34.323298203592813</v>
      </c>
    </row>
    <row r="184" spans="1:6" x14ac:dyDescent="0.3">
      <c r="A184" s="2">
        <f>+'CMG-PDO'!A184</f>
        <v>46052</v>
      </c>
      <c r="B184" s="8">
        <f>+'CMG-PDO'!B184</f>
        <v>2.8125000000000027</v>
      </c>
      <c r="C184" s="7">
        <v>41.16288083832336</v>
      </c>
      <c r="D184" s="7">
        <v>42.909895808383233</v>
      </c>
      <c r="E184" s="7">
        <v>42.884841317365265</v>
      </c>
      <c r="F184" s="7">
        <v>39.233841017964075</v>
      </c>
    </row>
    <row r="185" spans="1:6" x14ac:dyDescent="0.3">
      <c r="A185" s="2">
        <f>+'CMG-PDO'!A185</f>
        <v>46052</v>
      </c>
      <c r="B185" s="8">
        <f>+'CMG-PDO'!B185</f>
        <v>2.8333333333333361</v>
      </c>
      <c r="C185" s="7">
        <v>41.142600000000002</v>
      </c>
      <c r="D185" s="7">
        <v>42.74892874251497</v>
      </c>
      <c r="E185" s="7">
        <v>42.916625449101801</v>
      </c>
      <c r="F185" s="7">
        <v>39.205487724550899</v>
      </c>
    </row>
    <row r="186" spans="1:6" x14ac:dyDescent="0.3">
      <c r="A186" s="2">
        <f>+'CMG-PDO'!A186</f>
        <v>46052</v>
      </c>
      <c r="B186" s="8">
        <f>+'CMG-PDO'!B186</f>
        <v>2.8541666666666696</v>
      </c>
      <c r="C186" s="7">
        <v>41.228732634730541</v>
      </c>
      <c r="D186" s="7">
        <v>42.79196526946108</v>
      </c>
      <c r="E186" s="7">
        <v>43.176321556886229</v>
      </c>
      <c r="F186" s="7">
        <v>39.37234760479042</v>
      </c>
    </row>
    <row r="187" spans="1:6" x14ac:dyDescent="0.3">
      <c r="A187" s="2">
        <f>+'CMG-PDO'!A187</f>
        <v>46052</v>
      </c>
      <c r="B187" s="8">
        <f>+'CMG-PDO'!B187</f>
        <v>2.8750000000000031</v>
      </c>
      <c r="C187" s="7">
        <v>41.342257185628739</v>
      </c>
      <c r="D187" s="7">
        <v>42.9079502994012</v>
      </c>
      <c r="E187" s="7">
        <v>43.349334131736526</v>
      </c>
      <c r="F187" s="7">
        <v>39.511153892215567</v>
      </c>
    </row>
    <row r="188" spans="1:6" x14ac:dyDescent="0.3">
      <c r="A188" s="2">
        <f>+'CMG-PDO'!A188</f>
        <v>46052</v>
      </c>
      <c r="B188" s="8">
        <f>+'CMG-PDO'!B188</f>
        <v>2.8958333333333366</v>
      </c>
      <c r="C188" s="7">
        <v>38.236800000000002</v>
      </c>
      <c r="D188" s="7">
        <v>39.684214071856289</v>
      </c>
      <c r="E188" s="7">
        <v>40.047982934131738</v>
      </c>
      <c r="F188" s="7">
        <v>36.541258083832339</v>
      </c>
    </row>
    <row r="189" spans="1:6" x14ac:dyDescent="0.3">
      <c r="A189" s="2">
        <f>+'CMG-PDO'!A189</f>
        <v>46052</v>
      </c>
      <c r="B189" s="8">
        <f>+'CMG-PDO'!B189</f>
        <v>2.9166666666666701</v>
      </c>
      <c r="C189" s="7">
        <v>38.094562574850301</v>
      </c>
      <c r="D189" s="7">
        <v>39.728406586826353</v>
      </c>
      <c r="E189" s="7">
        <v>39.891764371257487</v>
      </c>
      <c r="F189" s="7">
        <v>36.416764371257486</v>
      </c>
    </row>
    <row r="190" spans="1:6" x14ac:dyDescent="0.3">
      <c r="A190" s="2">
        <f>+'CMG-PDO'!A190</f>
        <v>46052</v>
      </c>
      <c r="B190" s="8">
        <f>+'CMG-PDO'!B190</f>
        <v>2.9375000000000036</v>
      </c>
      <c r="C190" s="7">
        <v>40.834458083832338</v>
      </c>
      <c r="D190" s="7">
        <v>42.732228143712575</v>
      </c>
      <c r="E190" s="7">
        <v>42.846472155688623</v>
      </c>
      <c r="F190" s="7">
        <v>39.084212275449104</v>
      </c>
    </row>
    <row r="191" spans="1:6" x14ac:dyDescent="0.3">
      <c r="A191" s="2">
        <f>+'CMG-PDO'!A191</f>
        <v>46052</v>
      </c>
      <c r="B191" s="8">
        <f>+'CMG-PDO'!B191</f>
        <v>2.958333333333337</v>
      </c>
      <c r="C191" s="7">
        <v>40.739124550898211</v>
      </c>
      <c r="D191" s="7">
        <v>42.487490718562874</v>
      </c>
      <c r="E191" s="7">
        <v>42.84876017964072</v>
      </c>
      <c r="F191" s="7">
        <v>39.05669461077845</v>
      </c>
    </row>
    <row r="192" spans="1:6" x14ac:dyDescent="0.3">
      <c r="A192" s="2">
        <f>+'CMG-PDO'!A192</f>
        <v>46052</v>
      </c>
      <c r="B192" s="8">
        <f>+'CMG-PDO'!B192</f>
        <v>2.9791666666666705</v>
      </c>
      <c r="C192" s="7">
        <v>37.828983832335332</v>
      </c>
      <c r="D192" s="7">
        <v>39.435775748502991</v>
      </c>
      <c r="E192" s="7">
        <v>39.841345209580844</v>
      </c>
      <c r="F192" s="7">
        <v>36.237038622754497</v>
      </c>
    </row>
    <row r="193" spans="1:6" x14ac:dyDescent="0.3">
      <c r="A193" s="2">
        <f>+'CMG-PDO'!A193</f>
        <v>46052</v>
      </c>
      <c r="B193" s="8">
        <f>+'CMG-PDO'!B193</f>
        <v>3.000000000000004</v>
      </c>
      <c r="C193" s="7">
        <v>35.698818562874251</v>
      </c>
      <c r="D193" s="7">
        <v>37.042173952095808</v>
      </c>
      <c r="E193" s="7">
        <v>37.411420359281436</v>
      </c>
      <c r="F193" s="7">
        <v>34.183883233532939</v>
      </c>
    </row>
    <row r="194" spans="1:6" x14ac:dyDescent="0.3">
      <c r="A194" s="2">
        <f>+'CMG-PDO'!A194</f>
        <v>46053</v>
      </c>
      <c r="B194" s="8">
        <f>+'CMG-PDO'!B194</f>
        <v>3.0208333333333375</v>
      </c>
      <c r="C194" s="7">
        <v>32.710537724550903</v>
      </c>
      <c r="D194" s="7">
        <v>33.753334730538924</v>
      </c>
      <c r="E194" s="7">
        <v>34.308182335329342</v>
      </c>
      <c r="F194" s="7">
        <v>31.356157185628742</v>
      </c>
    </row>
    <row r="195" spans="1:6" x14ac:dyDescent="0.3">
      <c r="A195" s="2">
        <f>+'CMG-PDO'!A195</f>
        <v>46053</v>
      </c>
      <c r="B195" s="8">
        <f>+'CMG-PDO'!B195</f>
        <v>3.041666666666671</v>
      </c>
      <c r="C195" s="7">
        <v>32.678184431137723</v>
      </c>
      <c r="D195" s="7">
        <v>33.759590419161675</v>
      </c>
      <c r="E195" s="7">
        <v>34.187679341317363</v>
      </c>
      <c r="F195" s="7">
        <v>31.331944311377249</v>
      </c>
    </row>
    <row r="196" spans="1:6" x14ac:dyDescent="0.3">
      <c r="A196" s="2">
        <f>+'CMG-PDO'!A196</f>
        <v>46053</v>
      </c>
      <c r="B196" s="8">
        <f>+'CMG-PDO'!B196</f>
        <v>3.0625000000000044</v>
      </c>
      <c r="C196" s="7">
        <v>32.687793413173651</v>
      </c>
      <c r="D196" s="7">
        <v>33.789833233532931</v>
      </c>
      <c r="E196" s="7">
        <v>34.263661077844311</v>
      </c>
      <c r="F196" s="7">
        <v>31.309782035928148</v>
      </c>
    </row>
    <row r="197" spans="1:6" x14ac:dyDescent="0.3">
      <c r="A197" s="2">
        <f>+'CMG-PDO'!A197</f>
        <v>46053</v>
      </c>
      <c r="B197" s="8">
        <f>+'CMG-PDO'!B197</f>
        <v>3.0833333333333379</v>
      </c>
      <c r="C197" s="7">
        <v>32.692517964071861</v>
      </c>
      <c r="D197" s="7">
        <v>33.710682335329338</v>
      </c>
      <c r="E197" s="7">
        <v>34.256847604790423</v>
      </c>
      <c r="F197" s="7">
        <v>31.338437125748502</v>
      </c>
    </row>
    <row r="198" spans="1:6" x14ac:dyDescent="0.3">
      <c r="A198" s="2">
        <f>+'CMG-PDO'!A198</f>
        <v>46053</v>
      </c>
      <c r="B198" s="8">
        <f>+'CMG-PDO'!B198</f>
        <v>3.1041666666666714</v>
      </c>
      <c r="C198" s="7">
        <v>32.670800898203595</v>
      </c>
      <c r="D198" s="7">
        <v>33.684176946107783</v>
      </c>
      <c r="E198" s="7">
        <v>34.2749251497006</v>
      </c>
      <c r="F198" s="7">
        <v>31.335701497005989</v>
      </c>
    </row>
    <row r="199" spans="1:6" x14ac:dyDescent="0.3">
      <c r="A199" s="2">
        <f>+'CMG-PDO'!A199</f>
        <v>46053</v>
      </c>
      <c r="B199" s="8">
        <f>+'CMG-PDO'!B199</f>
        <v>3.1250000000000049</v>
      </c>
      <c r="C199" s="7">
        <v>29.848959580838326</v>
      </c>
      <c r="D199" s="7">
        <v>30.759457485029941</v>
      </c>
      <c r="E199" s="7">
        <v>31.266055988023954</v>
      </c>
      <c r="F199" s="7">
        <v>28.607934431137725</v>
      </c>
    </row>
    <row r="200" spans="1:6" x14ac:dyDescent="0.3">
      <c r="A200" s="2">
        <f>+'CMG-PDO'!A200</f>
        <v>46053</v>
      </c>
      <c r="B200" s="8">
        <f>+'CMG-PDO'!B200</f>
        <v>3.1458333333333384</v>
      </c>
      <c r="C200" s="7">
        <v>30.026695508982037</v>
      </c>
      <c r="D200" s="7">
        <v>30.879929640718565</v>
      </c>
      <c r="E200" s="7">
        <v>31.49120628742515</v>
      </c>
      <c r="F200" s="7">
        <v>28.868171856287429</v>
      </c>
    </row>
    <row r="201" spans="1:6" x14ac:dyDescent="0.3">
      <c r="A201" s="2">
        <f>+'CMG-PDO'!A201</f>
        <v>46053</v>
      </c>
      <c r="B201" s="8">
        <f>+'CMG-PDO'!B201</f>
        <v>3.1666666666666718</v>
      </c>
      <c r="C201" s="7">
        <v>32.657424251497005</v>
      </c>
      <c r="D201" s="7">
        <v>33.695515868263477</v>
      </c>
      <c r="E201" s="7">
        <v>34.267354191616768</v>
      </c>
      <c r="F201" s="7">
        <v>31.368355688622756</v>
      </c>
    </row>
    <row r="202" spans="1:6" x14ac:dyDescent="0.3">
      <c r="A202" s="2">
        <f>+'CMG-PDO'!A202</f>
        <v>46053</v>
      </c>
      <c r="B202" s="8">
        <f>+'CMG-PDO'!B202</f>
        <v>3.1875000000000053</v>
      </c>
      <c r="C202" s="7">
        <v>32.677173053892218</v>
      </c>
      <c r="D202" s="7">
        <v>33.706477245508985</v>
      </c>
      <c r="E202" s="7">
        <v>34.317163772455089</v>
      </c>
      <c r="F202" s="7">
        <v>31.378648502994015</v>
      </c>
    </row>
    <row r="203" spans="1:6" x14ac:dyDescent="0.3">
      <c r="A203" s="2">
        <f>+'CMG-PDO'!A203</f>
        <v>46053</v>
      </c>
      <c r="B203" s="8">
        <f>+'CMG-PDO'!B203</f>
        <v>3.2083333333333388</v>
      </c>
      <c r="C203" s="7">
        <v>30.174505389221558</v>
      </c>
      <c r="D203" s="7">
        <v>31.085504491017968</v>
      </c>
      <c r="E203" s="7">
        <v>31.549834431137725</v>
      </c>
      <c r="F203" s="7">
        <v>28.90096796407186</v>
      </c>
    </row>
    <row r="204" spans="1:6" x14ac:dyDescent="0.3">
      <c r="A204" s="2">
        <f>+'CMG-PDO'!A204</f>
        <v>46053</v>
      </c>
      <c r="B204" s="8">
        <f>+'CMG-PDO'!B204</f>
        <v>3.2291666666666723</v>
      </c>
      <c r="C204" s="7">
        <v>30.224009880239525</v>
      </c>
      <c r="D204" s="7">
        <v>31.194407485029945</v>
      </c>
      <c r="E204" s="7">
        <v>31.582605988023953</v>
      </c>
      <c r="F204" s="7">
        <v>28.958253293413176</v>
      </c>
    </row>
    <row r="205" spans="1:6" x14ac:dyDescent="0.3">
      <c r="A205" s="2">
        <f>+'CMG-PDO'!A205</f>
        <v>46053</v>
      </c>
      <c r="B205" s="8">
        <f>+'CMG-PDO'!B205</f>
        <v>3.2500000000000058</v>
      </c>
      <c r="C205" s="7">
        <v>30.132568562874255</v>
      </c>
      <c r="D205" s="7">
        <v>31.037078742514971</v>
      </c>
      <c r="E205" s="7">
        <v>31.544241616766467</v>
      </c>
      <c r="F205" s="7">
        <v>28.880178143712577</v>
      </c>
    </row>
    <row r="206" spans="1:6" x14ac:dyDescent="0.3">
      <c r="A206" s="2">
        <f>+'CMG-PDO'!A206</f>
        <v>46053</v>
      </c>
      <c r="B206" s="8">
        <f>+'CMG-PDO'!B206</f>
        <v>3.2708333333333393</v>
      </c>
      <c r="C206" s="7">
        <v>30.264491916167668</v>
      </c>
      <c r="D206" s="7">
        <v>31.281565868263474</v>
      </c>
      <c r="E206" s="7">
        <v>31.58404161676647</v>
      </c>
      <c r="F206" s="7">
        <v>28.922424850299404</v>
      </c>
    </row>
    <row r="207" spans="1:6" x14ac:dyDescent="0.3">
      <c r="A207" s="2">
        <f>+'CMG-PDO'!A207</f>
        <v>46053</v>
      </c>
      <c r="B207" s="8">
        <f>+'CMG-PDO'!B207</f>
        <v>3.2916666666666727</v>
      </c>
      <c r="C207" s="7">
        <v>24.97993532934132</v>
      </c>
      <c r="D207" s="7">
        <v>25.822035029940121</v>
      </c>
      <c r="E207" s="7">
        <v>25.852668862275451</v>
      </c>
      <c r="F207" s="7">
        <v>23.776118263473055</v>
      </c>
    </row>
    <row r="208" spans="1:6" x14ac:dyDescent="0.3">
      <c r="A208" s="2">
        <f>+'CMG-PDO'!A208</f>
        <v>46053</v>
      </c>
      <c r="B208" s="8">
        <f>+'CMG-PDO'!B208</f>
        <v>3.3125000000000062</v>
      </c>
      <c r="C208" s="7">
        <v>25.599905688622759</v>
      </c>
      <c r="D208" s="7">
        <v>26.502275149700601</v>
      </c>
      <c r="E208" s="7">
        <v>26.132534730538925</v>
      </c>
      <c r="F208" s="7">
        <v>24.39792275449102</v>
      </c>
    </row>
    <row r="209" spans="1:6" x14ac:dyDescent="0.3">
      <c r="A209" s="2">
        <f>+'CMG-PDO'!A209</f>
        <v>46053</v>
      </c>
      <c r="B209" s="8">
        <f>+'CMG-PDO'!B209</f>
        <v>3.3333333333333397</v>
      </c>
      <c r="C209" s="7">
        <v>29.792967964071856</v>
      </c>
      <c r="D209" s="7">
        <v>30.842917365269461</v>
      </c>
      <c r="E209" s="7">
        <v>30.430274550898204</v>
      </c>
      <c r="F209" s="7">
        <v>28.357135329341322</v>
      </c>
    </row>
    <row r="210" spans="1:6" x14ac:dyDescent="0.3">
      <c r="A210" s="2">
        <f>+'CMG-PDO'!A210</f>
        <v>46053</v>
      </c>
      <c r="B210" s="8">
        <f>+'CMG-PDO'!B210</f>
        <v>3.3541666666666732</v>
      </c>
      <c r="C210" s="7">
        <v>29.835902395209583</v>
      </c>
      <c r="D210" s="7">
        <v>31.018821556886227</v>
      </c>
      <c r="E210" s="7">
        <v>30.172835928143712</v>
      </c>
      <c r="F210" s="7">
        <v>28.368605988023951</v>
      </c>
    </row>
    <row r="211" spans="1:6" x14ac:dyDescent="0.3">
      <c r="A211" s="2">
        <f>+'CMG-PDO'!A211</f>
        <v>46053</v>
      </c>
      <c r="B211" s="8">
        <f>+'CMG-PDO'!B211</f>
        <v>3.3750000000000067</v>
      </c>
      <c r="C211" s="7">
        <v>29.970303892215568</v>
      </c>
      <c r="D211" s="7">
        <v>31.308204191616767</v>
      </c>
      <c r="E211" s="7">
        <v>30.003152994011977</v>
      </c>
      <c r="F211" s="7">
        <v>28.429286526946107</v>
      </c>
    </row>
    <row r="212" spans="1:6" x14ac:dyDescent="0.3">
      <c r="A212" s="2">
        <f>+'CMG-PDO'!A212</f>
        <v>46053</v>
      </c>
      <c r="B212" s="8">
        <f>+'CMG-PDO'!B212</f>
        <v>3.3958333333333401</v>
      </c>
      <c r="C212" s="7">
        <v>29.971450299401198</v>
      </c>
      <c r="D212" s="7">
        <v>31.34617365269461</v>
      </c>
      <c r="E212" s="7">
        <v>29.970819760479042</v>
      </c>
      <c r="F212" s="7">
        <v>28.443225449101796</v>
      </c>
    </row>
    <row r="213" spans="1:6" x14ac:dyDescent="0.3">
      <c r="A213" s="2">
        <f>+'CMG-PDO'!A213</f>
        <v>46053</v>
      </c>
      <c r="B213" s="8">
        <f>+'CMG-PDO'!B213</f>
        <v>3.4166666666666736</v>
      </c>
      <c r="C213" s="7">
        <v>30.477782335329344</v>
      </c>
      <c r="D213" s="7">
        <v>31.877935628742517</v>
      </c>
      <c r="E213" s="7">
        <v>30.37798502994012</v>
      </c>
      <c r="F213" s="7">
        <v>28.941949700598801</v>
      </c>
    </row>
    <row r="214" spans="1:6" x14ac:dyDescent="0.3">
      <c r="A214" s="2">
        <f>+'CMG-PDO'!A214</f>
        <v>46053</v>
      </c>
      <c r="B214" s="8">
        <f>+'CMG-PDO'!B214</f>
        <v>3.4375000000000071</v>
      </c>
      <c r="C214" s="7">
        <v>32.976546107784436</v>
      </c>
      <c r="D214" s="7">
        <v>34.61945928143713</v>
      </c>
      <c r="E214" s="7">
        <v>33.08842245508982</v>
      </c>
      <c r="F214" s="7">
        <v>31.440487425149701</v>
      </c>
    </row>
    <row r="215" spans="1:6" x14ac:dyDescent="0.3">
      <c r="A215" s="2">
        <f>+'CMG-PDO'!A215</f>
        <v>46053</v>
      </c>
      <c r="B215" s="8">
        <f>+'CMG-PDO'!B215</f>
        <v>3.4583333333333406</v>
      </c>
      <c r="C215" s="7">
        <v>33.051307784431138</v>
      </c>
      <c r="D215" s="7">
        <v>34.675669760479046</v>
      </c>
      <c r="E215" s="7">
        <v>33.027914071856287</v>
      </c>
      <c r="F215" s="7">
        <v>31.449596706586828</v>
      </c>
    </row>
    <row r="216" spans="1:6" x14ac:dyDescent="0.3">
      <c r="A216" s="2">
        <f>+'CMG-PDO'!A216</f>
        <v>46053</v>
      </c>
      <c r="B216" s="8">
        <f>+'CMG-PDO'!B216</f>
        <v>3.4791666666666741</v>
      </c>
      <c r="C216" s="7">
        <v>33.031761077844315</v>
      </c>
      <c r="D216" s="7">
        <v>34.879646107784431</v>
      </c>
      <c r="E216" s="7">
        <v>32.285354790419163</v>
      </c>
      <c r="F216" s="7">
        <v>31.184693413173655</v>
      </c>
    </row>
    <row r="217" spans="1:6" x14ac:dyDescent="0.3">
      <c r="A217" s="2">
        <f>+'CMG-PDO'!A217</f>
        <v>46053</v>
      </c>
      <c r="B217" s="8">
        <f>+'CMG-PDO'!B217</f>
        <v>3.5000000000000075</v>
      </c>
      <c r="C217" s="7">
        <v>30.474278443113775</v>
      </c>
      <c r="D217" s="7">
        <v>32.095441317365271</v>
      </c>
      <c r="E217" s="7">
        <v>29.589790419161677</v>
      </c>
      <c r="F217" s="7">
        <v>28.682728143712577</v>
      </c>
    </row>
    <row r="218" spans="1:6" x14ac:dyDescent="0.3">
      <c r="A218" s="2">
        <f>+'CMG-PDO'!A218</f>
        <v>46053</v>
      </c>
      <c r="B218" s="8">
        <f>+'CMG-PDO'!B218</f>
        <v>3.520833333333341</v>
      </c>
      <c r="C218" s="7">
        <v>30.025901497005989</v>
      </c>
      <c r="D218" s="7">
        <v>31.638858083832339</v>
      </c>
      <c r="E218" s="7">
        <v>29.03492634730539</v>
      </c>
      <c r="F218" s="7">
        <v>28.258930538922158</v>
      </c>
    </row>
    <row r="219" spans="1:6" x14ac:dyDescent="0.3">
      <c r="A219" s="2">
        <f>+'CMG-PDO'!A219</f>
        <v>46053</v>
      </c>
      <c r="B219" s="8">
        <f>+'CMG-PDO'!B219</f>
        <v>3.5416666666666745</v>
      </c>
      <c r="C219" s="7">
        <v>29.938282035928143</v>
      </c>
      <c r="D219" s="7">
        <v>31.42687155688623</v>
      </c>
      <c r="E219" s="7">
        <v>28.929643113772453</v>
      </c>
      <c r="F219" s="7">
        <v>28.179041916167666</v>
      </c>
    </row>
    <row r="220" spans="1:6" x14ac:dyDescent="0.3">
      <c r="A220" s="2">
        <f>+'CMG-PDO'!A220</f>
        <v>46053</v>
      </c>
      <c r="B220" s="8">
        <f>+'CMG-PDO'!B220</f>
        <v>3.562500000000008</v>
      </c>
      <c r="C220" s="7">
        <v>25.792790119760479</v>
      </c>
      <c r="D220" s="7">
        <v>26.925943113772455</v>
      </c>
      <c r="E220" s="7">
        <v>25.026670658682633</v>
      </c>
      <c r="F220" s="7">
        <v>24.296273353293415</v>
      </c>
    </row>
    <row r="221" spans="1:6" x14ac:dyDescent="0.3">
      <c r="A221" s="2">
        <f>+'CMG-PDO'!A221</f>
        <v>46053</v>
      </c>
      <c r="B221" s="8">
        <f>+'CMG-PDO'!B221</f>
        <v>3.5833333333333415</v>
      </c>
      <c r="C221" s="7">
        <v>30.835206886227546</v>
      </c>
      <c r="D221" s="7">
        <v>32.283041916167669</v>
      </c>
      <c r="E221" s="7">
        <v>30.768670658682634</v>
      </c>
      <c r="F221" s="7">
        <v>29.174575748502996</v>
      </c>
    </row>
    <row r="222" spans="1:6" x14ac:dyDescent="0.3">
      <c r="A222" s="2">
        <f>+'CMG-PDO'!A222</f>
        <v>46053</v>
      </c>
      <c r="B222" s="8">
        <f>+'CMG-PDO'!B222</f>
        <v>3.604166666666675</v>
      </c>
      <c r="C222" s="7">
        <v>30.463070359281438</v>
      </c>
      <c r="D222" s="7">
        <v>31.847806586826348</v>
      </c>
      <c r="E222" s="7">
        <v>30.564147604790421</v>
      </c>
      <c r="F222" s="7">
        <v>28.923532934131739</v>
      </c>
    </row>
    <row r="223" spans="1:6" x14ac:dyDescent="0.3">
      <c r="A223" s="2">
        <f>+'CMG-PDO'!A223</f>
        <v>46053</v>
      </c>
      <c r="B223" s="8">
        <f>+'CMG-PDO'!B223</f>
        <v>3.6250000000000084</v>
      </c>
      <c r="C223" s="7">
        <v>30.412052994011976</v>
      </c>
      <c r="D223" s="7">
        <v>31.729017065868266</v>
      </c>
      <c r="E223" s="7">
        <v>30.379404491017969</v>
      </c>
      <c r="F223" s="7">
        <v>28.843216167664671</v>
      </c>
    </row>
    <row r="224" spans="1:6" x14ac:dyDescent="0.3">
      <c r="A224" s="2">
        <f>+'CMG-PDO'!A224</f>
        <v>46053</v>
      </c>
      <c r="B224" s="8">
        <f>+'CMG-PDO'!B224</f>
        <v>3.6458333333333419</v>
      </c>
      <c r="C224" s="7">
        <v>30.399120958083831</v>
      </c>
      <c r="D224" s="7">
        <v>31.76991497005988</v>
      </c>
      <c r="E224" s="7">
        <v>30.291696706586826</v>
      </c>
      <c r="F224" s="7">
        <v>28.766112874251498</v>
      </c>
    </row>
    <row r="225" spans="1:6" x14ac:dyDescent="0.3">
      <c r="A225" s="2">
        <f>+'CMG-PDO'!A225</f>
        <v>46053</v>
      </c>
      <c r="B225" s="8">
        <f>+'CMG-PDO'!B225</f>
        <v>3.6666666666666754</v>
      </c>
      <c r="C225" s="7">
        <v>30.290776946107783</v>
      </c>
      <c r="D225" s="7">
        <v>31.513748802395209</v>
      </c>
      <c r="E225" s="7">
        <v>30.542617365269464</v>
      </c>
      <c r="F225" s="7">
        <v>28.603939221556885</v>
      </c>
    </row>
    <row r="226" spans="1:6" x14ac:dyDescent="0.3">
      <c r="A226" s="2">
        <f>+'CMG-PDO'!A226</f>
        <v>46053</v>
      </c>
      <c r="B226" s="8">
        <f>+'CMG-PDO'!B226</f>
        <v>3.6875000000000089</v>
      </c>
      <c r="C226" s="7">
        <v>30.897813173652697</v>
      </c>
      <c r="D226" s="7">
        <v>32.235121257485034</v>
      </c>
      <c r="E226" s="7">
        <v>31.673932934131738</v>
      </c>
      <c r="F226" s="7">
        <v>29.323249700598804</v>
      </c>
    </row>
    <row r="227" spans="1:6" x14ac:dyDescent="0.3">
      <c r="A227" s="2">
        <f>+'CMG-PDO'!A227</f>
        <v>46053</v>
      </c>
      <c r="B227" s="8">
        <f>+'CMG-PDO'!B227</f>
        <v>3.7083333333333424</v>
      </c>
      <c r="C227" s="7">
        <v>30.341588323353296</v>
      </c>
      <c r="D227" s="7">
        <v>31.736561377245508</v>
      </c>
      <c r="E227" s="7">
        <v>31.278884730538923</v>
      </c>
      <c r="F227" s="7">
        <v>28.888075748502992</v>
      </c>
    </row>
    <row r="228" spans="1:6" x14ac:dyDescent="0.3">
      <c r="A228" s="2">
        <f>+'CMG-PDO'!A228</f>
        <v>46053</v>
      </c>
      <c r="B228" s="8">
        <f>+'CMG-PDO'!B228</f>
        <v>3.7291666666666758</v>
      </c>
      <c r="C228" s="7">
        <v>29.783935329341322</v>
      </c>
      <c r="D228" s="7">
        <v>31.065243113772457</v>
      </c>
      <c r="E228" s="7">
        <v>30.891824850299404</v>
      </c>
      <c r="F228" s="7">
        <v>28.403888023952099</v>
      </c>
    </row>
    <row r="229" spans="1:6" x14ac:dyDescent="0.3">
      <c r="A229" s="2">
        <f>+'CMG-PDO'!A229</f>
        <v>46053</v>
      </c>
      <c r="B229" s="8">
        <f>+'CMG-PDO'!B229</f>
        <v>3.7500000000000093</v>
      </c>
      <c r="C229" s="7">
        <v>29.768958682634729</v>
      </c>
      <c r="D229" s="7">
        <v>30.998518562874249</v>
      </c>
      <c r="E229" s="7">
        <v>31.066515568862279</v>
      </c>
      <c r="F229" s="7">
        <v>28.430611377245508</v>
      </c>
    </row>
    <row r="230" spans="1:6" x14ac:dyDescent="0.3">
      <c r="A230" s="2">
        <f>+'CMG-PDO'!A230</f>
        <v>46053</v>
      </c>
      <c r="B230" s="8">
        <f>+'CMG-PDO'!B230</f>
        <v>3.7708333333333428</v>
      </c>
      <c r="C230" s="7">
        <v>30.365800898203592</v>
      </c>
      <c r="D230" s="7">
        <v>31.714433233532937</v>
      </c>
      <c r="E230" s="7">
        <v>31.976616766467068</v>
      </c>
      <c r="F230" s="7">
        <v>29.09779850299401</v>
      </c>
    </row>
    <row r="231" spans="1:6" x14ac:dyDescent="0.3">
      <c r="A231" s="2">
        <f>+'CMG-PDO'!A231</f>
        <v>46053</v>
      </c>
      <c r="B231" s="8">
        <f>+'CMG-PDO'!B231</f>
        <v>3.7916666666666763</v>
      </c>
      <c r="C231" s="7">
        <v>36.852391317365267</v>
      </c>
      <c r="D231" s="7">
        <v>38.848271856287425</v>
      </c>
      <c r="E231" s="7">
        <v>38.875698502994013</v>
      </c>
      <c r="F231" s="7">
        <v>35.495280239520959</v>
      </c>
    </row>
    <row r="232" spans="1:6" x14ac:dyDescent="0.3">
      <c r="A232" s="2">
        <f>+'CMG-PDO'!A232</f>
        <v>46053</v>
      </c>
      <c r="B232" s="8">
        <f>+'CMG-PDO'!B232</f>
        <v>3.8125000000000098</v>
      </c>
      <c r="C232" s="7">
        <v>36.860949101796407</v>
      </c>
      <c r="D232" s="7">
        <v>38.91074820359281</v>
      </c>
      <c r="E232" s="7">
        <v>39.005173652694609</v>
      </c>
      <c r="F232" s="7">
        <v>35.56454940119761</v>
      </c>
    </row>
    <row r="233" spans="1:6" x14ac:dyDescent="0.3">
      <c r="A233" s="2">
        <f>+'CMG-PDO'!A233</f>
        <v>46053</v>
      </c>
      <c r="B233" s="8">
        <f>+'CMG-PDO'!B233</f>
        <v>3.8333333333333433</v>
      </c>
      <c r="C233" s="7">
        <v>36.85806556886228</v>
      </c>
      <c r="D233" s="7">
        <v>38.846474251497007</v>
      </c>
      <c r="E233" s="7">
        <v>39.064153892215572</v>
      </c>
      <c r="F233" s="7">
        <v>35.60142754491018</v>
      </c>
    </row>
    <row r="234" spans="1:6" x14ac:dyDescent="0.3">
      <c r="A234" s="2">
        <f>+'CMG-PDO'!A234</f>
        <v>46053</v>
      </c>
      <c r="B234" s="8">
        <f>+'CMG-PDO'!B234</f>
        <v>3.8541666666666767</v>
      </c>
      <c r="C234" s="7">
        <v>36.865716766467067</v>
      </c>
      <c r="D234" s="7">
        <v>38.996443113772457</v>
      </c>
      <c r="E234" s="7">
        <v>39.226426347305392</v>
      </c>
      <c r="F234" s="7">
        <v>35.55262574850299</v>
      </c>
    </row>
    <row r="235" spans="1:6" x14ac:dyDescent="0.3">
      <c r="A235" s="2">
        <f>+'CMG-PDO'!A235</f>
        <v>46053</v>
      </c>
      <c r="B235" s="8">
        <f>+'CMG-PDO'!B235</f>
        <v>3.8750000000000102</v>
      </c>
      <c r="C235" s="7">
        <v>36.865297305389227</v>
      </c>
      <c r="D235" s="7">
        <v>38.844871257485032</v>
      </c>
      <c r="E235" s="7">
        <v>39.271644311377251</v>
      </c>
      <c r="F235" s="7">
        <v>35.638410179640722</v>
      </c>
    </row>
    <row r="236" spans="1:6" x14ac:dyDescent="0.3">
      <c r="A236" s="2">
        <f>+'CMG-PDO'!A236</f>
        <v>46053</v>
      </c>
      <c r="B236" s="8">
        <f>+'CMG-PDO'!B236</f>
        <v>3.8958333333333437</v>
      </c>
      <c r="C236" s="7">
        <v>36.858379640718567</v>
      </c>
      <c r="D236" s="7">
        <v>38.812868862275451</v>
      </c>
      <c r="E236" s="7">
        <v>39.202375449101801</v>
      </c>
      <c r="F236" s="7">
        <v>35.620918263473058</v>
      </c>
    </row>
    <row r="237" spans="1:6" x14ac:dyDescent="0.3">
      <c r="A237" s="2">
        <f>+'CMG-PDO'!A237</f>
        <v>46053</v>
      </c>
      <c r="B237" s="8">
        <f>+'CMG-PDO'!B237</f>
        <v>3.9166666666666772</v>
      </c>
      <c r="C237" s="7">
        <v>36.859726047904196</v>
      </c>
      <c r="D237" s="7">
        <v>38.69159550898204</v>
      </c>
      <c r="E237" s="7">
        <v>39.198838922155694</v>
      </c>
      <c r="F237" s="7">
        <v>35.560938622754492</v>
      </c>
    </row>
    <row r="238" spans="1:6" x14ac:dyDescent="0.3">
      <c r="A238" s="2">
        <f>+'CMG-PDO'!A238</f>
        <v>46053</v>
      </c>
      <c r="B238" s="8">
        <f>+'CMG-PDO'!B238</f>
        <v>3.9375000000000107</v>
      </c>
      <c r="C238" s="7">
        <v>35.532333532934132</v>
      </c>
      <c r="D238" s="7">
        <v>37.293900299401201</v>
      </c>
      <c r="E238" s="7">
        <v>37.830064670658686</v>
      </c>
      <c r="F238" s="7">
        <v>34.3245</v>
      </c>
    </row>
    <row r="239" spans="1:6" x14ac:dyDescent="0.3">
      <c r="A239" s="2">
        <f>+'CMG-PDO'!A239</f>
        <v>46053</v>
      </c>
      <c r="B239" s="8">
        <f>+'CMG-PDO'!B239</f>
        <v>3.9583333333333441</v>
      </c>
      <c r="C239" s="7">
        <v>35.500929041916173</v>
      </c>
      <c r="D239" s="7">
        <v>36.935133233532937</v>
      </c>
      <c r="E239" s="7">
        <v>37.682473652694611</v>
      </c>
      <c r="F239" s="7">
        <v>34.182805988023958</v>
      </c>
    </row>
    <row r="240" spans="1:6" x14ac:dyDescent="0.3">
      <c r="A240" s="2">
        <f>+'CMG-PDO'!A240</f>
        <v>46053</v>
      </c>
      <c r="B240" s="8">
        <f>+'CMG-PDO'!B240</f>
        <v>3.9791666666666776</v>
      </c>
      <c r="C240" s="7">
        <v>30.344033233532933</v>
      </c>
      <c r="D240" s="7">
        <v>31.573202694610782</v>
      </c>
      <c r="E240" s="7">
        <v>32.150848203592815</v>
      </c>
      <c r="F240" s="7">
        <v>29.258450598802398</v>
      </c>
    </row>
    <row r="241" spans="1:6" x14ac:dyDescent="0.3">
      <c r="A241" s="2">
        <f>+'CMG-PDO'!A241</f>
        <v>46053</v>
      </c>
      <c r="B241" s="8">
        <f>+'CMG-PDO'!B241</f>
        <v>4.0000000000000107</v>
      </c>
      <c r="C241" s="7">
        <v>30.424033832335333</v>
      </c>
      <c r="D241" s="7">
        <v>31.66645898203593</v>
      </c>
      <c r="E241" s="7">
        <v>32.532161077844314</v>
      </c>
      <c r="F241" s="7">
        <v>29.264063772455092</v>
      </c>
    </row>
    <row r="242" spans="1:6" x14ac:dyDescent="0.3">
      <c r="A242" s="2">
        <f>+'CMG-PDO'!A242</f>
        <v>46054</v>
      </c>
      <c r="B242" s="8">
        <f>+'CMG-PDO'!B242</f>
        <v>4.0208333333333437</v>
      </c>
      <c r="C242" s="7">
        <v>30.143217365269464</v>
      </c>
      <c r="D242" s="7">
        <v>31.334481137724552</v>
      </c>
      <c r="E242" s="7">
        <v>32.032970658682636</v>
      </c>
      <c r="F242" s="7">
        <v>28.889409281437128</v>
      </c>
    </row>
    <row r="243" spans="1:6" x14ac:dyDescent="0.3">
      <c r="A243" s="2">
        <f>+'CMG-PDO'!A243</f>
        <v>46054</v>
      </c>
      <c r="B243" s="8">
        <f>+'CMG-PDO'!B243</f>
        <v>4.0416666666666767</v>
      </c>
      <c r="C243" s="7">
        <v>29.98127275449102</v>
      </c>
      <c r="D243" s="7">
        <v>31.108882335329341</v>
      </c>
      <c r="E243" s="7">
        <v>31.850930538922157</v>
      </c>
      <c r="F243" s="7">
        <v>28.752177544910182</v>
      </c>
    </row>
    <row r="244" spans="1:6" x14ac:dyDescent="0.3">
      <c r="A244" s="2">
        <f>+'CMG-PDO'!A244</f>
        <v>46054</v>
      </c>
      <c r="B244" s="8">
        <f>+'CMG-PDO'!B244</f>
        <v>4.0625000000000098</v>
      </c>
      <c r="C244" s="7">
        <v>30.026580538922158</v>
      </c>
      <c r="D244" s="7">
        <v>31.100349401197608</v>
      </c>
      <c r="E244" s="7">
        <v>31.907041616766467</v>
      </c>
      <c r="F244" s="7">
        <v>28.797318562874253</v>
      </c>
    </row>
    <row r="245" spans="1:6" x14ac:dyDescent="0.3">
      <c r="A245" s="2">
        <f>+'CMG-PDO'!A245</f>
        <v>46054</v>
      </c>
      <c r="B245" s="8">
        <f>+'CMG-PDO'!B245</f>
        <v>4.0833333333333428</v>
      </c>
      <c r="C245" s="7">
        <v>30.065201497005987</v>
      </c>
      <c r="D245" s="7">
        <v>31.124346407185627</v>
      </c>
      <c r="E245" s="7">
        <v>31.8807125748503</v>
      </c>
      <c r="F245" s="7">
        <v>28.893839820359283</v>
      </c>
    </row>
    <row r="246" spans="1:6" x14ac:dyDescent="0.3">
      <c r="A246" s="2">
        <f>+'CMG-PDO'!A246</f>
        <v>46054</v>
      </c>
      <c r="B246" s="8">
        <f>+'CMG-PDO'!B246</f>
        <v>4.1041666666666758</v>
      </c>
      <c r="C246" s="7">
        <v>29.763615269461081</v>
      </c>
      <c r="D246" s="7">
        <v>30.788411377245509</v>
      </c>
      <c r="E246" s="7">
        <v>31.476475748502995</v>
      </c>
      <c r="F246" s="7">
        <v>28.735784431137724</v>
      </c>
    </row>
    <row r="247" spans="1:6" x14ac:dyDescent="0.3">
      <c r="A247" s="2">
        <f>+'CMG-PDO'!A247</f>
        <v>46054</v>
      </c>
      <c r="B247" s="8">
        <f>+'CMG-PDO'!B247</f>
        <v>4.1250000000000089</v>
      </c>
      <c r="C247" s="7">
        <v>29.709846107784433</v>
      </c>
      <c r="D247" s="7">
        <v>30.767236526946107</v>
      </c>
      <c r="E247" s="7">
        <v>31.474814371257484</v>
      </c>
      <c r="F247" s="7">
        <v>28.724641017964075</v>
      </c>
    </row>
    <row r="248" spans="1:6" x14ac:dyDescent="0.3">
      <c r="A248" s="2">
        <f>+'CMG-PDO'!A248</f>
        <v>46054</v>
      </c>
      <c r="B248" s="8">
        <f>+'CMG-PDO'!B248</f>
        <v>4.1458333333333419</v>
      </c>
      <c r="C248" s="7">
        <v>29.589329341317367</v>
      </c>
      <c r="D248" s="7">
        <v>30.625675149700601</v>
      </c>
      <c r="E248" s="7">
        <v>31.362366467065868</v>
      </c>
      <c r="F248" s="7">
        <v>28.558380538922158</v>
      </c>
    </row>
    <row r="249" spans="1:6" x14ac:dyDescent="0.3">
      <c r="A249" s="2">
        <f>+'CMG-PDO'!A249</f>
        <v>46054</v>
      </c>
      <c r="B249" s="8">
        <f>+'CMG-PDO'!B249</f>
        <v>4.166666666666675</v>
      </c>
      <c r="C249" s="7">
        <v>29.559750898203593</v>
      </c>
      <c r="D249" s="7">
        <v>30.473231736526945</v>
      </c>
      <c r="E249" s="7">
        <v>31.367154191616766</v>
      </c>
      <c r="F249" s="7">
        <v>28.591951796407187</v>
      </c>
    </row>
    <row r="250" spans="1:6" x14ac:dyDescent="0.3">
      <c r="A250" s="2">
        <f>+'CMG-PDO'!A250</f>
        <v>46054</v>
      </c>
      <c r="B250" s="8">
        <f>+'CMG-PDO'!B250</f>
        <v>4.187500000000008</v>
      </c>
      <c r="C250" s="7">
        <v>29.566438323353292</v>
      </c>
      <c r="D250" s="7">
        <v>30.472345808383235</v>
      </c>
      <c r="E250" s="7">
        <v>31.362047604790423</v>
      </c>
      <c r="F250" s="7">
        <v>28.525379041916167</v>
      </c>
    </row>
    <row r="251" spans="1:6" x14ac:dyDescent="0.3">
      <c r="A251" s="2">
        <f>+'CMG-PDO'!A251</f>
        <v>46054</v>
      </c>
      <c r="B251" s="8">
        <f>+'CMG-PDO'!B251</f>
        <v>4.208333333333341</v>
      </c>
      <c r="C251" s="7">
        <v>29.550493712574852</v>
      </c>
      <c r="D251" s="7">
        <v>30.395938323353295</v>
      </c>
      <c r="E251" s="7">
        <v>31.351702395209582</v>
      </c>
      <c r="F251" s="7">
        <v>28.580562874251498</v>
      </c>
    </row>
    <row r="252" spans="1:6" x14ac:dyDescent="0.3">
      <c r="A252" s="2">
        <f>+'CMG-PDO'!A252</f>
        <v>46054</v>
      </c>
      <c r="B252" s="8">
        <f>+'CMG-PDO'!B252</f>
        <v>4.2291666666666741</v>
      </c>
      <c r="C252" s="7">
        <v>40.274339221556886</v>
      </c>
      <c r="D252" s="7">
        <v>41.581245508982036</v>
      </c>
      <c r="E252" s="7">
        <v>42.603506886227549</v>
      </c>
      <c r="F252" s="7">
        <v>38.803657185628751</v>
      </c>
    </row>
    <row r="253" spans="1:6" x14ac:dyDescent="0.3">
      <c r="A253" s="2">
        <f>+'CMG-PDO'!A253</f>
        <v>46054</v>
      </c>
      <c r="B253" s="8">
        <f>+'CMG-PDO'!B253</f>
        <v>4.2500000000000071</v>
      </c>
      <c r="C253" s="7">
        <v>23.851658083832334</v>
      </c>
      <c r="D253" s="7">
        <v>24.653027844311382</v>
      </c>
      <c r="E253" s="7">
        <v>25.048426347305391</v>
      </c>
      <c r="F253" s="7">
        <v>22.909299401197607</v>
      </c>
    </row>
    <row r="254" spans="1:6" x14ac:dyDescent="0.3">
      <c r="A254" s="2">
        <f>+'CMG-PDO'!A254</f>
        <v>46054</v>
      </c>
      <c r="B254" s="8">
        <f>+'CMG-PDO'!B254</f>
        <v>4.2708333333333401</v>
      </c>
      <c r="C254" s="7">
        <v>0.75435988023952105</v>
      </c>
      <c r="D254" s="7">
        <v>0.77952514970059883</v>
      </c>
      <c r="E254" s="7">
        <v>0.7820176646706587</v>
      </c>
      <c r="F254" s="7">
        <v>0.71920419161676652</v>
      </c>
    </row>
    <row r="255" spans="1:6" x14ac:dyDescent="0.3">
      <c r="A255" s="2">
        <f>+'CMG-PDO'!A255</f>
        <v>46054</v>
      </c>
      <c r="B255" s="8">
        <f>+'CMG-PDO'!B255</f>
        <v>4.2916666666666732</v>
      </c>
      <c r="C255" s="7">
        <v>0.72627185628742519</v>
      </c>
      <c r="D255" s="7">
        <v>0.74891047904191621</v>
      </c>
      <c r="E255" s="7">
        <v>0.74628832335329343</v>
      </c>
      <c r="F255" s="7">
        <v>0.69455658682634724</v>
      </c>
    </row>
    <row r="256" spans="1:6" x14ac:dyDescent="0.3">
      <c r="A256" s="2">
        <f>+'CMG-PDO'!A256</f>
        <v>46054</v>
      </c>
      <c r="B256" s="8">
        <f>+'CMG-PDO'!B256</f>
        <v>4.3125000000000062</v>
      </c>
      <c r="C256" s="7">
        <v>0.72769580838323356</v>
      </c>
      <c r="D256" s="7">
        <v>0.75042185628742519</v>
      </c>
      <c r="E256" s="7">
        <v>0.74394221556886231</v>
      </c>
      <c r="F256" s="7">
        <v>0.69998922155688625</v>
      </c>
    </row>
    <row r="257" spans="1:6" x14ac:dyDescent="0.3">
      <c r="A257" s="2">
        <f>+'CMG-PDO'!A257</f>
        <v>46054</v>
      </c>
      <c r="B257" s="8">
        <f>+'CMG-PDO'!B257</f>
        <v>4.3333333333333393</v>
      </c>
      <c r="C257" s="7">
        <v>0.77046107784431139</v>
      </c>
      <c r="D257" s="7">
        <v>0.80733293413173657</v>
      </c>
      <c r="E257" s="7">
        <v>0.7779781437125749</v>
      </c>
      <c r="F257" s="7">
        <v>0.73780838323353293</v>
      </c>
    </row>
    <row r="258" spans="1:6" x14ac:dyDescent="0.3">
      <c r="A258" s="2">
        <f>+'CMG-PDO'!A258</f>
        <v>46054</v>
      </c>
      <c r="B258" s="8">
        <f>+'CMG-PDO'!B258</f>
        <v>4.3541666666666723</v>
      </c>
      <c r="C258" s="7">
        <v>0.74883443113772463</v>
      </c>
      <c r="D258" s="7">
        <v>0.78210808383233532</v>
      </c>
      <c r="E258" s="7">
        <v>0.74405958083832335</v>
      </c>
      <c r="F258" s="7">
        <v>0.71321526946107783</v>
      </c>
    </row>
    <row r="259" spans="1:6" x14ac:dyDescent="0.3">
      <c r="A259" s="2">
        <f>+'CMG-PDO'!A259</f>
        <v>46054</v>
      </c>
      <c r="B259" s="8">
        <f>+'CMG-PDO'!B259</f>
        <v>4.3750000000000053</v>
      </c>
      <c r="C259" s="7">
        <v>0.78365479041916175</v>
      </c>
      <c r="D259" s="7">
        <v>0.82051736526946106</v>
      </c>
      <c r="E259" s="7">
        <v>0.76875568862275456</v>
      </c>
      <c r="F259" s="7">
        <v>0.73658143712574853</v>
      </c>
    </row>
    <row r="260" spans="1:6" x14ac:dyDescent="0.3">
      <c r="A260" s="2">
        <f>+'CMG-PDO'!A260</f>
        <v>46054</v>
      </c>
      <c r="B260" s="8">
        <f>+'CMG-PDO'!B260</f>
        <v>4.3958333333333384</v>
      </c>
      <c r="C260" s="7">
        <v>0.78849221556886229</v>
      </c>
      <c r="D260" s="7">
        <v>0.82755419161676658</v>
      </c>
      <c r="E260" s="7">
        <v>0.77024820359281443</v>
      </c>
      <c r="F260" s="7">
        <v>0.73505209580838338</v>
      </c>
    </row>
    <row r="261" spans="1:6" x14ac:dyDescent="0.3">
      <c r="A261" s="2">
        <f>+'CMG-PDO'!A261</f>
        <v>46054</v>
      </c>
      <c r="B261" s="8">
        <f>+'CMG-PDO'!B261</f>
        <v>4.4166666666666714</v>
      </c>
      <c r="C261" s="7">
        <v>0.79184401197604792</v>
      </c>
      <c r="D261" s="7">
        <v>0.83652455089820354</v>
      </c>
      <c r="E261" s="7">
        <v>0.76812634730538931</v>
      </c>
      <c r="F261" s="7">
        <v>0.73687455089820364</v>
      </c>
    </row>
    <row r="262" spans="1:6" x14ac:dyDescent="0.3">
      <c r="A262" s="2">
        <f>+'CMG-PDO'!A262</f>
        <v>46054</v>
      </c>
      <c r="B262" s="8">
        <f>+'CMG-PDO'!B262</f>
        <v>4.4375000000000044</v>
      </c>
      <c r="C262" s="7">
        <v>0.73975299401197614</v>
      </c>
      <c r="D262" s="7">
        <v>0.77512544910179648</v>
      </c>
      <c r="E262" s="7">
        <v>0.7175703592814372</v>
      </c>
      <c r="F262" s="7">
        <v>0.6887559880239521</v>
      </c>
    </row>
    <row r="263" spans="1:6" x14ac:dyDescent="0.3">
      <c r="A263" s="2">
        <f>+'CMG-PDO'!A263</f>
        <v>46054</v>
      </c>
      <c r="B263" s="8">
        <f>+'CMG-PDO'!B263</f>
        <v>4.4583333333333375</v>
      </c>
      <c r="C263" s="7">
        <v>0.74755209580838333</v>
      </c>
      <c r="D263" s="7">
        <v>0.78538892215568867</v>
      </c>
      <c r="E263" s="7">
        <v>0.73025958083832343</v>
      </c>
      <c r="F263" s="7">
        <v>0.69673802395209583</v>
      </c>
    </row>
    <row r="264" spans="1:6" x14ac:dyDescent="0.3">
      <c r="A264" s="2">
        <f>+'CMG-PDO'!A264</f>
        <v>46054</v>
      </c>
      <c r="B264" s="8">
        <f>+'CMG-PDO'!B264</f>
        <v>4.4791666666666705</v>
      </c>
      <c r="C264" s="7">
        <v>0.78169910179640723</v>
      </c>
      <c r="D264" s="7">
        <v>0.8219431137724551</v>
      </c>
      <c r="E264" s="7">
        <v>0.75995988023952099</v>
      </c>
      <c r="F264" s="7">
        <v>0.72640628742514979</v>
      </c>
    </row>
    <row r="265" spans="1:6" x14ac:dyDescent="0.3">
      <c r="A265" s="2">
        <f>+'CMG-PDO'!A265</f>
        <v>46054</v>
      </c>
      <c r="B265" s="8">
        <f>+'CMG-PDO'!B265</f>
        <v>4.5000000000000036</v>
      </c>
      <c r="C265" s="7">
        <v>13.184759880239522</v>
      </c>
      <c r="D265" s="7">
        <v>13.865022155688623</v>
      </c>
      <c r="E265" s="7">
        <v>12.769654790419162</v>
      </c>
      <c r="F265" s="7">
        <v>12.24529131736527</v>
      </c>
    </row>
    <row r="266" spans="1:6" x14ac:dyDescent="0.3">
      <c r="A266" s="2">
        <f>+'CMG-PDO'!A266</f>
        <v>46054</v>
      </c>
      <c r="B266" s="8">
        <f>+'CMG-PDO'!B266</f>
        <v>4.5208333333333366</v>
      </c>
      <c r="C266" s="7">
        <v>21.858290718562877</v>
      </c>
      <c r="D266" s="7">
        <v>23.038241017964076</v>
      </c>
      <c r="E266" s="7">
        <v>21.26687155688623</v>
      </c>
      <c r="F266" s="7">
        <v>20.30967754491018</v>
      </c>
    </row>
    <row r="267" spans="1:6" x14ac:dyDescent="0.3">
      <c r="A267" s="2">
        <f>+'CMG-PDO'!A267</f>
        <v>46054</v>
      </c>
      <c r="B267" s="8">
        <f>+'CMG-PDO'!B267</f>
        <v>4.5416666666666696</v>
      </c>
      <c r="C267" s="7">
        <v>21.974312574850302</v>
      </c>
      <c r="D267" s="7">
        <v>23.06672934131737</v>
      </c>
      <c r="E267" s="7">
        <v>21.471343113772456</v>
      </c>
      <c r="F267" s="7">
        <v>20.425156886227544</v>
      </c>
    </row>
    <row r="268" spans="1:6" x14ac:dyDescent="0.3">
      <c r="A268" s="2">
        <f>+'CMG-PDO'!A268</f>
        <v>46054</v>
      </c>
      <c r="B268" s="8">
        <f>+'CMG-PDO'!B268</f>
        <v>4.5625000000000027</v>
      </c>
      <c r="C268" s="7">
        <v>21.987200000000001</v>
      </c>
      <c r="D268" s="7">
        <v>23.152032335329341</v>
      </c>
      <c r="E268" s="7">
        <v>21.336126047904191</v>
      </c>
      <c r="F268" s="7">
        <v>20.419172155688624</v>
      </c>
    </row>
    <row r="269" spans="1:6" x14ac:dyDescent="0.3">
      <c r="A269" s="2">
        <f>+'CMG-PDO'!A269</f>
        <v>46054</v>
      </c>
      <c r="B269" s="8">
        <f>+'CMG-PDO'!B269</f>
        <v>4.5833333333333357</v>
      </c>
      <c r="C269" s="7">
        <v>21.956259880239521</v>
      </c>
      <c r="D269" s="7">
        <v>23.023215868263474</v>
      </c>
      <c r="E269" s="7">
        <v>21.521251197604791</v>
      </c>
      <c r="F269" s="7">
        <v>20.479308982035928</v>
      </c>
    </row>
    <row r="270" spans="1:6" x14ac:dyDescent="0.3">
      <c r="A270" s="2">
        <f>+'CMG-PDO'!A270</f>
        <v>46054</v>
      </c>
      <c r="B270" s="8">
        <f>+'CMG-PDO'!B270</f>
        <v>4.6041666666666687</v>
      </c>
      <c r="C270" s="7">
        <v>0.80663023952095803</v>
      </c>
      <c r="D270" s="7">
        <v>0.84766556886227551</v>
      </c>
      <c r="E270" s="7">
        <v>0.78584940119760482</v>
      </c>
      <c r="F270" s="7">
        <v>0.75098802395209585</v>
      </c>
    </row>
    <row r="271" spans="1:6" x14ac:dyDescent="0.3">
      <c r="A271" s="2">
        <f>+'CMG-PDO'!A271</f>
        <v>46054</v>
      </c>
      <c r="B271" s="8">
        <f>+'CMG-PDO'!B271</f>
        <v>4.6250000000000018</v>
      </c>
      <c r="C271" s="7">
        <v>0.82332455089820356</v>
      </c>
      <c r="D271" s="7">
        <v>0.8610422155688624</v>
      </c>
      <c r="E271" s="7">
        <v>0.8073176646706588</v>
      </c>
      <c r="F271" s="7">
        <v>0.76862604790419164</v>
      </c>
    </row>
    <row r="272" spans="1:6" x14ac:dyDescent="0.3">
      <c r="A272" s="2">
        <f>+'CMG-PDO'!A272</f>
        <v>46054</v>
      </c>
      <c r="B272" s="8">
        <f>+'CMG-PDO'!B272</f>
        <v>4.6458333333333348</v>
      </c>
      <c r="C272" s="7">
        <v>20.772716467065866</v>
      </c>
      <c r="D272" s="7">
        <v>21.757771856287427</v>
      </c>
      <c r="E272" s="7">
        <v>20.417773952095807</v>
      </c>
      <c r="F272" s="7">
        <v>19.421521856287427</v>
      </c>
    </row>
    <row r="273" spans="1:6" x14ac:dyDescent="0.3">
      <c r="A273" s="2">
        <f>+'CMG-PDO'!A273</f>
        <v>46054</v>
      </c>
      <c r="B273" s="8">
        <f>+'CMG-PDO'!B273</f>
        <v>4.6666666666666679</v>
      </c>
      <c r="C273" s="7">
        <v>21.128948502994014</v>
      </c>
      <c r="D273" s="7">
        <v>22.156562574850302</v>
      </c>
      <c r="E273" s="7">
        <v>21.123423652694612</v>
      </c>
      <c r="F273" s="7">
        <v>19.842795808383237</v>
      </c>
    </row>
    <row r="274" spans="1:6" x14ac:dyDescent="0.3">
      <c r="A274" s="2">
        <f>+'CMG-PDO'!A274</f>
        <v>46054</v>
      </c>
      <c r="B274" s="8">
        <f>+'CMG-PDO'!B274</f>
        <v>4.6875000000000009</v>
      </c>
      <c r="C274" s="7">
        <v>22.245564970059878</v>
      </c>
      <c r="D274" s="7">
        <v>23.479459580838327</v>
      </c>
      <c r="E274" s="7">
        <v>22.150100598802396</v>
      </c>
      <c r="F274" s="7">
        <v>20.847501197604792</v>
      </c>
    </row>
    <row r="275" spans="1:6" x14ac:dyDescent="0.3">
      <c r="A275" s="2">
        <f>+'CMG-PDO'!A275</f>
        <v>46054</v>
      </c>
      <c r="B275" s="8">
        <f>+'CMG-PDO'!B275</f>
        <v>4.7083333333333339</v>
      </c>
      <c r="C275" s="7">
        <v>24.329529041916167</v>
      </c>
      <c r="D275" s="7">
        <v>25.652707185628742</v>
      </c>
      <c r="E275" s="7">
        <v>24.803082335329339</v>
      </c>
      <c r="F275" s="7">
        <v>22.966011976047906</v>
      </c>
    </row>
    <row r="276" spans="1:6" x14ac:dyDescent="0.3">
      <c r="A276" s="2">
        <f>+'CMG-PDO'!A276</f>
        <v>46054</v>
      </c>
      <c r="B276" s="8">
        <f>+'CMG-PDO'!B276</f>
        <v>4.729166666666667</v>
      </c>
      <c r="C276" s="7">
        <v>24.063727844311376</v>
      </c>
      <c r="D276" s="7">
        <v>25.204894011976052</v>
      </c>
      <c r="E276" s="7">
        <v>24.979075449101796</v>
      </c>
      <c r="F276" s="7">
        <v>22.901808083832339</v>
      </c>
    </row>
    <row r="277" spans="1:6" x14ac:dyDescent="0.3">
      <c r="A277" s="2">
        <f>+'CMG-PDO'!A277</f>
        <v>46054</v>
      </c>
      <c r="B277" s="8">
        <f>+'CMG-PDO'!B277</f>
        <v>4.75</v>
      </c>
      <c r="C277" s="7">
        <v>24.887538323353294</v>
      </c>
      <c r="D277" s="7">
        <v>25.788793113772456</v>
      </c>
      <c r="E277" s="7">
        <v>26.039230239520961</v>
      </c>
      <c r="F277" s="7">
        <v>23.74793502994012</v>
      </c>
    </row>
    <row r="278" spans="1:6" x14ac:dyDescent="0.3">
      <c r="A278" s="2">
        <f>+'CMG-PDO'!A278</f>
        <v>46054</v>
      </c>
      <c r="B278" s="8">
        <f>+'CMG-PDO'!B278</f>
        <v>4.770833333333333</v>
      </c>
      <c r="C278" s="7">
        <v>30.23658143712575</v>
      </c>
      <c r="D278" s="7">
        <v>31.524267065868262</v>
      </c>
      <c r="E278" s="7">
        <v>31.902137425149704</v>
      </c>
      <c r="F278" s="7">
        <v>28.942828443113775</v>
      </c>
    </row>
    <row r="279" spans="1:6" x14ac:dyDescent="0.3">
      <c r="A279" s="2">
        <f>+'CMG-PDO'!A279</f>
        <v>46054</v>
      </c>
      <c r="B279" s="8">
        <f>+'CMG-PDO'!B279</f>
        <v>4.7916666666666661</v>
      </c>
      <c r="C279" s="7">
        <v>30.562920958083833</v>
      </c>
      <c r="D279" s="7">
        <v>32.062374550898205</v>
      </c>
      <c r="E279" s="7">
        <v>32.239698502994017</v>
      </c>
      <c r="F279" s="7">
        <v>29.239397305389222</v>
      </c>
    </row>
    <row r="280" spans="1:6" x14ac:dyDescent="0.3">
      <c r="A280" s="2">
        <f>+'CMG-PDO'!A280</f>
        <v>46054</v>
      </c>
      <c r="B280" s="8">
        <f>+'CMG-PDO'!B280</f>
        <v>4.8124999999999991</v>
      </c>
      <c r="C280" s="7">
        <v>32.878933233532933</v>
      </c>
      <c r="D280" s="7">
        <v>34.529158982035931</v>
      </c>
      <c r="E280" s="7">
        <v>34.741034131736527</v>
      </c>
      <c r="F280" s="7">
        <v>31.47231646706587</v>
      </c>
    </row>
    <row r="281" spans="1:6" x14ac:dyDescent="0.3">
      <c r="A281" s="2">
        <f>+'CMG-PDO'!A281</f>
        <v>46054</v>
      </c>
      <c r="B281" s="8">
        <f>+'CMG-PDO'!B281</f>
        <v>4.8333333333333321</v>
      </c>
      <c r="C281" s="7">
        <v>37.919567664670666</v>
      </c>
      <c r="D281" s="7">
        <v>39.876918263473058</v>
      </c>
      <c r="E281" s="7">
        <v>40.162563772455094</v>
      </c>
      <c r="F281" s="7">
        <v>36.383956886227551</v>
      </c>
    </row>
    <row r="282" spans="1:6" x14ac:dyDescent="0.3">
      <c r="A282" s="2">
        <f>+'CMG-PDO'!A282</f>
        <v>46054</v>
      </c>
      <c r="B282" s="8">
        <f>+'CMG-PDO'!B282</f>
        <v>4.8541666666666652</v>
      </c>
      <c r="C282" s="7">
        <v>37.901834131736528</v>
      </c>
      <c r="D282" s="7">
        <v>39.841411077844313</v>
      </c>
      <c r="E282" s="7">
        <v>40.183977245508984</v>
      </c>
      <c r="F282" s="7">
        <v>36.315880838323352</v>
      </c>
    </row>
    <row r="283" spans="1:6" x14ac:dyDescent="0.3">
      <c r="A283" s="2">
        <f>+'CMG-PDO'!A283</f>
        <v>46054</v>
      </c>
      <c r="B283" s="8">
        <f>+'CMG-PDO'!B283</f>
        <v>4.8749999999999982</v>
      </c>
      <c r="C283" s="7">
        <v>32.911752694610776</v>
      </c>
      <c r="D283" s="7">
        <v>34.531122754491022</v>
      </c>
      <c r="E283" s="7">
        <v>34.963218263473053</v>
      </c>
      <c r="F283" s="7">
        <v>31.619296407185633</v>
      </c>
    </row>
    <row r="284" spans="1:6" x14ac:dyDescent="0.3">
      <c r="A284" s="2">
        <f>+'CMG-PDO'!A284</f>
        <v>46054</v>
      </c>
      <c r="B284" s="8">
        <f>+'CMG-PDO'!B284</f>
        <v>4.8958333333333313</v>
      </c>
      <c r="C284" s="7">
        <v>32.79580928143713</v>
      </c>
      <c r="D284" s="7">
        <v>34.297027544910179</v>
      </c>
      <c r="E284" s="7">
        <v>34.705610179640722</v>
      </c>
      <c r="F284" s="7">
        <v>31.336403892215571</v>
      </c>
    </row>
    <row r="285" spans="1:6" x14ac:dyDescent="0.3">
      <c r="A285" s="2">
        <f>+'CMG-PDO'!A285</f>
        <v>46054</v>
      </c>
      <c r="B285" s="8">
        <f>+'CMG-PDO'!B285</f>
        <v>4.9166666666666643</v>
      </c>
      <c r="C285" s="7">
        <v>36.960382335329342</v>
      </c>
      <c r="D285" s="7">
        <v>38.534145508982036</v>
      </c>
      <c r="E285" s="7">
        <v>39.070882035928143</v>
      </c>
      <c r="F285" s="7">
        <v>35.468377544910183</v>
      </c>
    </row>
    <row r="286" spans="1:6" x14ac:dyDescent="0.3">
      <c r="A286" s="2">
        <f>+'CMG-PDO'!A286</f>
        <v>46054</v>
      </c>
      <c r="B286" s="8">
        <f>+'CMG-PDO'!B286</f>
        <v>4.9374999999999973</v>
      </c>
      <c r="C286" s="7">
        <v>30.441714670658683</v>
      </c>
      <c r="D286" s="7">
        <v>31.701918263473054</v>
      </c>
      <c r="E286" s="7">
        <v>32.270388622754488</v>
      </c>
      <c r="F286" s="7">
        <v>29.247254491017966</v>
      </c>
    </row>
    <row r="287" spans="1:6" x14ac:dyDescent="0.3">
      <c r="A287" s="2">
        <f>+'CMG-PDO'!A287</f>
        <v>46054</v>
      </c>
      <c r="B287" s="8">
        <f>+'CMG-PDO'!B287</f>
        <v>4.9583333333333304</v>
      </c>
      <c r="C287" s="7">
        <v>31.458444011976049</v>
      </c>
      <c r="D287" s="7">
        <v>32.674105389221559</v>
      </c>
      <c r="E287" s="7">
        <v>33.374515568862279</v>
      </c>
      <c r="F287" s="7">
        <v>30.322363772455091</v>
      </c>
    </row>
    <row r="288" spans="1:6" x14ac:dyDescent="0.3">
      <c r="A288" s="2">
        <f>+'CMG-PDO'!A288</f>
        <v>46054</v>
      </c>
      <c r="B288" s="8">
        <f>+'CMG-PDO'!B288</f>
        <v>4.9791666666666634</v>
      </c>
      <c r="C288" s="7">
        <v>25.596422754491019</v>
      </c>
      <c r="D288" s="7">
        <v>26.523424550898206</v>
      </c>
      <c r="E288" s="7">
        <v>27.092784730538924</v>
      </c>
      <c r="F288" s="7">
        <v>24.561368562874254</v>
      </c>
    </row>
    <row r="289" spans="1:6" x14ac:dyDescent="0.3">
      <c r="A289" s="2">
        <f>+'CMG-PDO'!A289</f>
        <v>46054</v>
      </c>
      <c r="B289" s="8">
        <f>+'CMG-PDO'!B289</f>
        <v>4.9999999999999964</v>
      </c>
      <c r="C289" s="7">
        <v>24.854329940119761</v>
      </c>
      <c r="D289" s="7">
        <v>25.72339520958084</v>
      </c>
      <c r="E289" s="7">
        <v>26.389353892215567</v>
      </c>
      <c r="F289" s="7">
        <v>23.907152095808385</v>
      </c>
    </row>
    <row r="290" spans="1:6" x14ac:dyDescent="0.3">
      <c r="A290" s="2">
        <f>+'CMG-PDO'!A290</f>
        <v>46055</v>
      </c>
      <c r="B290" s="8">
        <f>+'CMG-PDO'!B290</f>
        <v>5.0208333333333295</v>
      </c>
      <c r="C290" s="7">
        <v>29.95338173652695</v>
      </c>
      <c r="D290" s="7">
        <v>31.006028143712577</v>
      </c>
      <c r="E290" s="7">
        <v>31.777705688622753</v>
      </c>
      <c r="F290" s="7">
        <v>28.81015179640719</v>
      </c>
    </row>
    <row r="291" spans="1:6" x14ac:dyDescent="0.3">
      <c r="A291" s="2">
        <f>+'CMG-PDO'!A291</f>
        <v>46055</v>
      </c>
      <c r="B291" s="8">
        <f>+'CMG-PDO'!B291</f>
        <v>5.0416666666666625</v>
      </c>
      <c r="C291" s="7">
        <v>24.80994760479042</v>
      </c>
      <c r="D291" s="7">
        <v>25.603886826347306</v>
      </c>
      <c r="E291" s="7">
        <v>26.347291616766469</v>
      </c>
      <c r="F291" s="7">
        <v>23.932488023952097</v>
      </c>
    </row>
    <row r="292" spans="1:6" x14ac:dyDescent="0.3">
      <c r="A292" s="2">
        <f>+'CMG-PDO'!A292</f>
        <v>46055</v>
      </c>
      <c r="B292" s="8">
        <f>+'CMG-PDO'!B292</f>
        <v>5.0624999999999956</v>
      </c>
      <c r="C292" s="7">
        <v>23.762173353293413</v>
      </c>
      <c r="D292" s="7">
        <v>24.534387425149703</v>
      </c>
      <c r="E292" s="7">
        <v>25.207394910179644</v>
      </c>
      <c r="F292" s="7">
        <v>22.84003023952096</v>
      </c>
    </row>
    <row r="293" spans="1:6" x14ac:dyDescent="0.3">
      <c r="A293" s="2">
        <f>+'CMG-PDO'!A293</f>
        <v>46055</v>
      </c>
      <c r="B293" s="8">
        <f>+'CMG-PDO'!B293</f>
        <v>5.0833333333333286</v>
      </c>
      <c r="C293" s="7">
        <v>0.75062604790419163</v>
      </c>
      <c r="D293" s="7">
        <v>0.7745008982035928</v>
      </c>
      <c r="E293" s="7">
        <v>0.79648353293413177</v>
      </c>
      <c r="F293" s="7">
        <v>0.72350658682634739</v>
      </c>
    </row>
    <row r="294" spans="1:6" x14ac:dyDescent="0.3">
      <c r="A294" s="2">
        <f>+'CMG-PDO'!A294</f>
        <v>46055</v>
      </c>
      <c r="B294" s="8">
        <f>+'CMG-PDO'!B294</f>
        <v>5.1041666666666616</v>
      </c>
      <c r="C294" s="7">
        <v>0.73102604790419168</v>
      </c>
      <c r="D294" s="7">
        <v>0.75244760479041917</v>
      </c>
      <c r="E294" s="7">
        <v>0.77504431137724561</v>
      </c>
      <c r="F294" s="7">
        <v>0.70355658682634736</v>
      </c>
    </row>
    <row r="295" spans="1:6" x14ac:dyDescent="0.3">
      <c r="A295" s="2">
        <f>+'CMG-PDO'!A295</f>
        <v>46055</v>
      </c>
      <c r="B295" s="8">
        <f>+'CMG-PDO'!B295</f>
        <v>5.1249999999999947</v>
      </c>
      <c r="C295" s="7">
        <v>0.71431167664670658</v>
      </c>
      <c r="D295" s="7">
        <v>0.7365832335329342</v>
      </c>
      <c r="E295" s="7">
        <v>0.75839820359281429</v>
      </c>
      <c r="F295" s="7">
        <v>0.68715329341317366</v>
      </c>
    </row>
    <row r="296" spans="1:6" x14ac:dyDescent="0.3">
      <c r="A296" s="2">
        <f>+'CMG-PDO'!A296</f>
        <v>46055</v>
      </c>
      <c r="B296" s="8">
        <f>+'CMG-PDO'!B296</f>
        <v>5.1458333333333277</v>
      </c>
      <c r="C296" s="7">
        <v>0.70844341317365278</v>
      </c>
      <c r="D296" s="7">
        <v>0.73133323353293411</v>
      </c>
      <c r="E296" s="7">
        <v>0.75322365269461078</v>
      </c>
      <c r="F296" s="7">
        <v>0.68314101796407189</v>
      </c>
    </row>
    <row r="297" spans="1:6" x14ac:dyDescent="0.3">
      <c r="A297" s="2">
        <f>+'CMG-PDO'!A297</f>
        <v>46055</v>
      </c>
      <c r="B297" s="8">
        <f>+'CMG-PDO'!B297</f>
        <v>5.1666666666666607</v>
      </c>
      <c r="C297" s="7">
        <v>0.70229011976047906</v>
      </c>
      <c r="D297" s="7">
        <v>0.72358323353293408</v>
      </c>
      <c r="E297" s="7">
        <v>0.74795538922155691</v>
      </c>
      <c r="F297" s="7">
        <v>0.67820479041916182</v>
      </c>
    </row>
    <row r="298" spans="1:6" x14ac:dyDescent="0.3">
      <c r="A298" s="2">
        <f>+'CMG-PDO'!A298</f>
        <v>46055</v>
      </c>
      <c r="B298" s="8">
        <f>+'CMG-PDO'!B298</f>
        <v>5.1874999999999938</v>
      </c>
      <c r="C298" s="7">
        <v>0.70160359281437124</v>
      </c>
      <c r="D298" s="7">
        <v>0.72422754491017971</v>
      </c>
      <c r="E298" s="7">
        <v>0.74739011976047909</v>
      </c>
      <c r="F298" s="7">
        <v>0.67744011976047902</v>
      </c>
    </row>
    <row r="299" spans="1:6" x14ac:dyDescent="0.3">
      <c r="A299" s="2">
        <f>+'CMG-PDO'!A299</f>
        <v>46055</v>
      </c>
      <c r="B299" s="8">
        <f>+'CMG-PDO'!B299</f>
        <v>5.2083333333333268</v>
      </c>
      <c r="C299" s="7">
        <v>0.71017065868263485</v>
      </c>
      <c r="D299" s="7">
        <v>0.73224311377245521</v>
      </c>
      <c r="E299" s="7">
        <v>0.75660988023952092</v>
      </c>
      <c r="F299" s="7">
        <v>0.68540089820359273</v>
      </c>
    </row>
    <row r="300" spans="1:6" x14ac:dyDescent="0.3">
      <c r="A300" s="2">
        <f>+'CMG-PDO'!A300</f>
        <v>46055</v>
      </c>
      <c r="B300" s="8">
        <f>+'CMG-PDO'!B300</f>
        <v>5.2291666666666599</v>
      </c>
      <c r="C300" s="7">
        <v>0.71568982035928153</v>
      </c>
      <c r="D300" s="7">
        <v>0.74171107784431134</v>
      </c>
      <c r="E300" s="7">
        <v>0.76169461077844314</v>
      </c>
      <c r="F300" s="7">
        <v>0.68966047904191619</v>
      </c>
    </row>
    <row r="301" spans="1:6" x14ac:dyDescent="0.3">
      <c r="A301" s="2">
        <f>+'CMG-PDO'!A301</f>
        <v>46055</v>
      </c>
      <c r="B301" s="8">
        <f>+'CMG-PDO'!B301</f>
        <v>5.2499999999999929</v>
      </c>
      <c r="C301" s="7">
        <v>0.70527784431137719</v>
      </c>
      <c r="D301" s="7">
        <v>0.72923652694610774</v>
      </c>
      <c r="E301" s="7">
        <v>0.75029311377245511</v>
      </c>
      <c r="F301" s="7">
        <v>0.68029520958083833</v>
      </c>
    </row>
    <row r="302" spans="1:6" x14ac:dyDescent="0.3">
      <c r="A302" s="2">
        <f>+'CMG-PDO'!A302</f>
        <v>46055</v>
      </c>
      <c r="B302" s="8">
        <f>+'CMG-PDO'!B302</f>
        <v>5.2708333333333259</v>
      </c>
      <c r="C302" s="7">
        <v>0.70861227544910188</v>
      </c>
      <c r="D302" s="7">
        <v>0.73592125748503001</v>
      </c>
      <c r="E302" s="7">
        <v>0.74997694610778443</v>
      </c>
      <c r="F302" s="7">
        <v>0.68042335329341319</v>
      </c>
    </row>
    <row r="303" spans="1:6" x14ac:dyDescent="0.3">
      <c r="A303" s="2">
        <f>+'CMG-PDO'!A303</f>
        <v>46055</v>
      </c>
      <c r="B303" s="8">
        <f>+'CMG-PDO'!B303</f>
        <v>5.291666666666659</v>
      </c>
      <c r="C303" s="7">
        <v>0.72725838323353298</v>
      </c>
      <c r="D303" s="7">
        <v>0.75434550898203601</v>
      </c>
      <c r="E303" s="7">
        <v>0.76541437125748513</v>
      </c>
      <c r="F303" s="7">
        <v>0.69797904191616766</v>
      </c>
    </row>
    <row r="304" spans="1:6" x14ac:dyDescent="0.3">
      <c r="A304" s="2">
        <f>+'CMG-PDO'!A304</f>
        <v>46055</v>
      </c>
      <c r="B304" s="8">
        <f>+'CMG-PDO'!B304</f>
        <v>5.312499999999992</v>
      </c>
      <c r="C304" s="7">
        <v>18.525181137724552</v>
      </c>
      <c r="D304" s="7">
        <v>19.167567964071857</v>
      </c>
      <c r="E304" s="7">
        <v>19.369645808383233</v>
      </c>
      <c r="F304" s="7">
        <v>17.779129041916168</v>
      </c>
    </row>
    <row r="305" spans="1:6" x14ac:dyDescent="0.3">
      <c r="A305" s="2">
        <f>+'CMG-PDO'!A305</f>
        <v>46055</v>
      </c>
      <c r="B305" s="8">
        <f>+'CMG-PDO'!B305</f>
        <v>5.333333333333325</v>
      </c>
      <c r="C305" s="7">
        <v>24.193199401197603</v>
      </c>
      <c r="D305" s="7">
        <v>25.172051197604791</v>
      </c>
      <c r="E305" s="7">
        <v>25.191575449101794</v>
      </c>
      <c r="F305" s="7">
        <v>23.103660479041917</v>
      </c>
    </row>
    <row r="306" spans="1:6" x14ac:dyDescent="0.3">
      <c r="A306" s="2">
        <f>+'CMG-PDO'!A306</f>
        <v>46055</v>
      </c>
      <c r="B306" s="8">
        <f>+'CMG-PDO'!B306</f>
        <v>5.3541666666666581</v>
      </c>
      <c r="C306" s="7">
        <v>24.818753293413177</v>
      </c>
      <c r="D306" s="7">
        <v>26.065484131736529</v>
      </c>
      <c r="E306" s="7">
        <v>25.709620658682635</v>
      </c>
      <c r="F306" s="7">
        <v>23.659739820359285</v>
      </c>
    </row>
    <row r="307" spans="1:6" x14ac:dyDescent="0.3">
      <c r="A307" s="2">
        <f>+'CMG-PDO'!A307</f>
        <v>46055</v>
      </c>
      <c r="B307" s="8">
        <f>+'CMG-PDO'!B307</f>
        <v>5.3749999999999911</v>
      </c>
      <c r="C307" s="7">
        <v>24.96624520958084</v>
      </c>
      <c r="D307" s="7">
        <v>26.25727125748503</v>
      </c>
      <c r="E307" s="7">
        <v>25.530507185628746</v>
      </c>
      <c r="F307" s="7">
        <v>23.80948652694611</v>
      </c>
    </row>
    <row r="308" spans="1:6" x14ac:dyDescent="0.3">
      <c r="A308" s="2">
        <f>+'CMG-PDO'!A308</f>
        <v>46055</v>
      </c>
      <c r="B308" s="8">
        <f>+'CMG-PDO'!B308</f>
        <v>5.3958333333333242</v>
      </c>
      <c r="C308" s="7">
        <v>30.681140119760482</v>
      </c>
      <c r="D308" s="7">
        <v>32.361410179640721</v>
      </c>
      <c r="E308" s="7">
        <v>30.830030239520958</v>
      </c>
      <c r="F308" s="7">
        <v>29.002868562874252</v>
      </c>
    </row>
    <row r="309" spans="1:6" x14ac:dyDescent="0.3">
      <c r="A309" s="2">
        <f>+'CMG-PDO'!A309</f>
        <v>46055</v>
      </c>
      <c r="B309" s="8">
        <f>+'CMG-PDO'!B309</f>
        <v>5.4166666666666572</v>
      </c>
      <c r="C309" s="7">
        <v>37.475846407185628</v>
      </c>
      <c r="D309" s="7">
        <v>39.613580838323351</v>
      </c>
      <c r="E309" s="7">
        <v>37.924084131736528</v>
      </c>
      <c r="F309" s="7">
        <v>35.608451796407188</v>
      </c>
    </row>
    <row r="310" spans="1:6" x14ac:dyDescent="0.3">
      <c r="A310" s="2">
        <f>+'CMG-PDO'!A310</f>
        <v>46055</v>
      </c>
      <c r="B310" s="8">
        <f>+'CMG-PDO'!B310</f>
        <v>5.4374999999999902</v>
      </c>
      <c r="C310" s="7">
        <v>30.067826347305392</v>
      </c>
      <c r="D310" s="7">
        <v>31.83002904191617</v>
      </c>
      <c r="E310" s="7">
        <v>30.632053293413176</v>
      </c>
      <c r="F310" s="7">
        <v>28.548014371257487</v>
      </c>
    </row>
    <row r="311" spans="1:6" x14ac:dyDescent="0.3">
      <c r="A311" s="2">
        <f>+'CMG-PDO'!A311</f>
        <v>46055</v>
      </c>
      <c r="B311" s="8">
        <f>+'CMG-PDO'!B311</f>
        <v>5.4583333333333233</v>
      </c>
      <c r="C311" s="7">
        <v>35.033129041916169</v>
      </c>
      <c r="D311" s="7">
        <v>37.036935928143713</v>
      </c>
      <c r="E311" s="7">
        <v>35.957817065868262</v>
      </c>
      <c r="F311" s="7">
        <v>33.411077544910185</v>
      </c>
    </row>
    <row r="312" spans="1:6" x14ac:dyDescent="0.3">
      <c r="A312" s="2">
        <f>+'CMG-PDO'!A312</f>
        <v>46055</v>
      </c>
      <c r="B312" s="8">
        <f>+'CMG-PDO'!B312</f>
        <v>5.4791666666666563</v>
      </c>
      <c r="C312" s="7">
        <v>37.434014371257483</v>
      </c>
      <c r="D312" s="7">
        <v>39.392811077844314</v>
      </c>
      <c r="E312" s="7">
        <v>38.380411077844315</v>
      </c>
      <c r="F312" s="7">
        <v>35.697414970059882</v>
      </c>
    </row>
    <row r="313" spans="1:6" x14ac:dyDescent="0.3">
      <c r="A313" s="2">
        <f>+'CMG-PDO'!A313</f>
        <v>46055</v>
      </c>
      <c r="B313" s="8">
        <f>+'CMG-PDO'!B313</f>
        <v>5.4999999999999893</v>
      </c>
      <c r="C313" s="7">
        <v>37.468244311377248</v>
      </c>
      <c r="D313" s="7">
        <v>39.534780239520963</v>
      </c>
      <c r="E313" s="7">
        <v>38.358334131736534</v>
      </c>
      <c r="F313" s="7">
        <v>35.629058982035929</v>
      </c>
    </row>
    <row r="314" spans="1:6" x14ac:dyDescent="0.3">
      <c r="A314" s="2">
        <f>+'CMG-PDO'!A314</f>
        <v>46055</v>
      </c>
      <c r="B314" s="8">
        <f>+'CMG-PDO'!B314</f>
        <v>5.5208333333333224</v>
      </c>
      <c r="C314" s="7">
        <v>37.456755089820362</v>
      </c>
      <c r="D314" s="7">
        <v>39.574914071856291</v>
      </c>
      <c r="E314" s="7">
        <v>38.536094311377248</v>
      </c>
      <c r="F314" s="7">
        <v>35.769240119760482</v>
      </c>
    </row>
    <row r="315" spans="1:6" x14ac:dyDescent="0.3">
      <c r="A315" s="2">
        <f>+'CMG-PDO'!A315</f>
        <v>46055</v>
      </c>
      <c r="B315" s="8">
        <f>+'CMG-PDO'!B315</f>
        <v>5.5416666666666554</v>
      </c>
      <c r="C315" s="7">
        <v>37.463669461077849</v>
      </c>
      <c r="D315" s="7">
        <v>39.52904311377246</v>
      </c>
      <c r="E315" s="7">
        <v>38.306898203592816</v>
      </c>
      <c r="F315" s="7">
        <v>35.742136227544911</v>
      </c>
    </row>
    <row r="316" spans="1:6" x14ac:dyDescent="0.3">
      <c r="A316" s="2">
        <f>+'CMG-PDO'!A316</f>
        <v>46055</v>
      </c>
      <c r="B316" s="8">
        <f>+'CMG-PDO'!B316</f>
        <v>5.5624999999999885</v>
      </c>
      <c r="C316" s="7">
        <v>37.418666467065869</v>
      </c>
      <c r="D316" s="7">
        <v>39.455454790419161</v>
      </c>
      <c r="E316" s="7">
        <v>37.888767664670659</v>
      </c>
      <c r="F316" s="7">
        <v>35.476944311377245</v>
      </c>
    </row>
    <row r="317" spans="1:6" x14ac:dyDescent="0.3">
      <c r="A317" s="2">
        <f>+'CMG-PDO'!A317</f>
        <v>46055</v>
      </c>
      <c r="B317" s="8">
        <f>+'CMG-PDO'!B317</f>
        <v>5.5833333333333215</v>
      </c>
      <c r="C317" s="7">
        <v>37.924440119760483</v>
      </c>
      <c r="D317" s="7">
        <v>39.915134131736529</v>
      </c>
      <c r="E317" s="7">
        <v>38.714020059880241</v>
      </c>
      <c r="F317" s="7">
        <v>35.964879341317371</v>
      </c>
    </row>
    <row r="318" spans="1:6" x14ac:dyDescent="0.3">
      <c r="A318" s="2">
        <f>+'CMG-PDO'!A318</f>
        <v>46055</v>
      </c>
      <c r="B318" s="8">
        <f>+'CMG-PDO'!B318</f>
        <v>5.6041666666666545</v>
      </c>
      <c r="C318" s="7">
        <v>38.342456586826351</v>
      </c>
      <c r="D318" s="7">
        <v>40.507679640718564</v>
      </c>
      <c r="E318" s="7">
        <v>39.115272455089823</v>
      </c>
      <c r="F318" s="7">
        <v>36.422753892215574</v>
      </c>
    </row>
    <row r="319" spans="1:6" x14ac:dyDescent="0.3">
      <c r="A319" s="2">
        <f>+'CMG-PDO'!A319</f>
        <v>46055</v>
      </c>
      <c r="B319" s="8">
        <f>+'CMG-PDO'!B319</f>
        <v>5.6249999999999876</v>
      </c>
      <c r="C319" s="7">
        <v>38.334350299401201</v>
      </c>
      <c r="D319" s="7">
        <v>40.309037425149697</v>
      </c>
      <c r="E319" s="7">
        <v>39.440247604790422</v>
      </c>
      <c r="F319" s="7">
        <v>36.5038005988024</v>
      </c>
    </row>
    <row r="320" spans="1:6" x14ac:dyDescent="0.3">
      <c r="A320" s="2">
        <f>+'CMG-PDO'!A320</f>
        <v>46055</v>
      </c>
      <c r="B320" s="8">
        <f>+'CMG-PDO'!B320</f>
        <v>5.6458333333333206</v>
      </c>
      <c r="C320" s="7">
        <v>38.454470958083832</v>
      </c>
      <c r="D320" s="7">
        <v>40.571805688622753</v>
      </c>
      <c r="E320" s="7">
        <v>39.547332934131738</v>
      </c>
      <c r="F320" s="7">
        <v>36.594535029940118</v>
      </c>
    </row>
    <row r="321" spans="1:6" x14ac:dyDescent="0.3">
      <c r="A321" s="2">
        <f>+'CMG-PDO'!A321</f>
        <v>46055</v>
      </c>
      <c r="B321" s="8">
        <f>+'CMG-PDO'!B321</f>
        <v>5.6666666666666536</v>
      </c>
      <c r="C321" s="7">
        <v>38.57393862275449</v>
      </c>
      <c r="D321" s="7">
        <v>40.627695508982043</v>
      </c>
      <c r="E321" s="7">
        <v>39.687733233532938</v>
      </c>
      <c r="F321" s="7">
        <v>36.660807784431135</v>
      </c>
    </row>
    <row r="322" spans="1:6" x14ac:dyDescent="0.3">
      <c r="A322" s="2">
        <f>+'CMG-PDO'!A322</f>
        <v>46055</v>
      </c>
      <c r="B322" s="8">
        <f>+'CMG-PDO'!B322</f>
        <v>5.6874999999999867</v>
      </c>
      <c r="C322" s="7">
        <v>38.968798502994012</v>
      </c>
      <c r="D322" s="7">
        <v>41.002252694610775</v>
      </c>
      <c r="E322" s="7">
        <v>40.038138023952101</v>
      </c>
      <c r="F322" s="7">
        <v>37.046283532934133</v>
      </c>
    </row>
    <row r="323" spans="1:6" x14ac:dyDescent="0.3">
      <c r="A323" s="2">
        <f>+'CMG-PDO'!A323</f>
        <v>46055</v>
      </c>
      <c r="B323" s="8">
        <f>+'CMG-PDO'!B323</f>
        <v>5.7083333333333197</v>
      </c>
      <c r="C323" s="7">
        <v>38.087457485029944</v>
      </c>
      <c r="D323" s="7">
        <v>39.982647005988028</v>
      </c>
      <c r="E323" s="7">
        <v>39.934152095808386</v>
      </c>
      <c r="F323" s="7">
        <v>36.365477544910185</v>
      </c>
    </row>
    <row r="324" spans="1:6" x14ac:dyDescent="0.3">
      <c r="A324" s="2">
        <f>+'CMG-PDO'!A324</f>
        <v>46055</v>
      </c>
      <c r="B324" s="8">
        <f>+'CMG-PDO'!B324</f>
        <v>5.7291666666666528</v>
      </c>
      <c r="C324" s="7">
        <v>37.59649281437126</v>
      </c>
      <c r="D324" s="7">
        <v>39.55980239520958</v>
      </c>
      <c r="E324" s="7">
        <v>39.870426646706591</v>
      </c>
      <c r="F324" s="7">
        <v>36.000555988023955</v>
      </c>
    </row>
    <row r="325" spans="1:6" x14ac:dyDescent="0.3">
      <c r="A325" s="2">
        <f>+'CMG-PDO'!A325</f>
        <v>46055</v>
      </c>
      <c r="B325" s="8">
        <f>+'CMG-PDO'!B325</f>
        <v>5.7499999999999858</v>
      </c>
      <c r="C325" s="7">
        <v>32.84939640718563</v>
      </c>
      <c r="D325" s="7">
        <v>34.390261377245508</v>
      </c>
      <c r="E325" s="7">
        <v>34.753716766467072</v>
      </c>
      <c r="F325" s="7">
        <v>31.453633832335331</v>
      </c>
    </row>
    <row r="326" spans="1:6" x14ac:dyDescent="0.3">
      <c r="A326" s="2">
        <f>+'CMG-PDO'!A326</f>
        <v>46055</v>
      </c>
      <c r="B326" s="8">
        <f>+'CMG-PDO'!B326</f>
        <v>5.7708333333333188</v>
      </c>
      <c r="C326" s="7">
        <v>32.831948502994017</v>
      </c>
      <c r="D326" s="7">
        <v>34.367039221556887</v>
      </c>
      <c r="E326" s="7">
        <v>34.857710778443113</v>
      </c>
      <c r="F326" s="7">
        <v>31.489022155688623</v>
      </c>
    </row>
    <row r="327" spans="1:6" x14ac:dyDescent="0.3">
      <c r="A327" s="2">
        <f>+'CMG-PDO'!A327</f>
        <v>46055</v>
      </c>
      <c r="B327" s="8">
        <f>+'CMG-PDO'!B327</f>
        <v>5.7916666666666519</v>
      </c>
      <c r="C327" s="7">
        <v>38.050149700598809</v>
      </c>
      <c r="D327" s="7">
        <v>40.158304790419166</v>
      </c>
      <c r="E327" s="7">
        <v>40.531044610778451</v>
      </c>
      <c r="F327" s="7">
        <v>36.496027245508984</v>
      </c>
    </row>
    <row r="328" spans="1:6" x14ac:dyDescent="0.3">
      <c r="A328" s="2">
        <f>+'CMG-PDO'!A328</f>
        <v>46055</v>
      </c>
      <c r="B328" s="8">
        <f>+'CMG-PDO'!B328</f>
        <v>5.8124999999999849</v>
      </c>
      <c r="C328" s="7">
        <v>38.825522455089825</v>
      </c>
      <c r="D328" s="7">
        <v>41.045396706586828</v>
      </c>
      <c r="E328" s="7">
        <v>41.336460778443119</v>
      </c>
      <c r="F328" s="7">
        <v>37.266611077844317</v>
      </c>
    </row>
    <row r="329" spans="1:6" x14ac:dyDescent="0.3">
      <c r="A329" s="2">
        <f>+'CMG-PDO'!A329</f>
        <v>46055</v>
      </c>
      <c r="B329" s="8">
        <f>+'CMG-PDO'!B329</f>
        <v>5.8333333333333179</v>
      </c>
      <c r="C329" s="7">
        <v>38.127212574850304</v>
      </c>
      <c r="D329" s="7">
        <v>40.245726047904192</v>
      </c>
      <c r="E329" s="7">
        <v>40.672939221556895</v>
      </c>
      <c r="F329" s="7">
        <v>36.589826047904197</v>
      </c>
    </row>
    <row r="330" spans="1:6" x14ac:dyDescent="0.3">
      <c r="A330" s="2">
        <f>+'CMG-PDO'!A330</f>
        <v>46055</v>
      </c>
      <c r="B330" s="8">
        <f>+'CMG-PDO'!B330</f>
        <v>5.854166666666651</v>
      </c>
      <c r="C330" s="7">
        <v>38.272736826347305</v>
      </c>
      <c r="D330" s="7">
        <v>40.229644311377243</v>
      </c>
      <c r="E330" s="7">
        <v>40.79648203592815</v>
      </c>
      <c r="F330" s="7">
        <v>36.74296497005988</v>
      </c>
    </row>
    <row r="331" spans="1:6" x14ac:dyDescent="0.3">
      <c r="A331" s="2">
        <f>+'CMG-PDO'!A331</f>
        <v>46055</v>
      </c>
      <c r="B331" s="8">
        <f>+'CMG-PDO'!B331</f>
        <v>5.874999999999984</v>
      </c>
      <c r="C331" s="7">
        <v>38.17311407185629</v>
      </c>
      <c r="D331" s="7">
        <v>40.233762275449102</v>
      </c>
      <c r="E331" s="7">
        <v>40.652939520958085</v>
      </c>
      <c r="F331" s="7">
        <v>36.607505988023952</v>
      </c>
    </row>
    <row r="332" spans="1:6" x14ac:dyDescent="0.3">
      <c r="A332" s="2">
        <f>+'CMG-PDO'!A332</f>
        <v>46055</v>
      </c>
      <c r="B332" s="8">
        <f>+'CMG-PDO'!B332</f>
        <v>5.8958333333333171</v>
      </c>
      <c r="C332" s="7">
        <v>38.027865269461081</v>
      </c>
      <c r="D332" s="7">
        <v>40.174126347305389</v>
      </c>
      <c r="E332" s="7">
        <v>40.713397005988021</v>
      </c>
      <c r="F332" s="7">
        <v>36.604376646706591</v>
      </c>
    </row>
    <row r="333" spans="1:6" x14ac:dyDescent="0.3">
      <c r="A333" s="2">
        <f>+'CMG-PDO'!A333</f>
        <v>46055</v>
      </c>
      <c r="B333" s="8">
        <f>+'CMG-PDO'!B333</f>
        <v>5.9166666666666501</v>
      </c>
      <c r="C333" s="7">
        <v>38.002525748502997</v>
      </c>
      <c r="D333" s="7">
        <v>40.025565868263477</v>
      </c>
      <c r="E333" s="7">
        <v>40.494458383233528</v>
      </c>
      <c r="F333" s="7">
        <v>36.487895808383236</v>
      </c>
    </row>
    <row r="334" spans="1:6" x14ac:dyDescent="0.3">
      <c r="A334" s="2">
        <f>+'CMG-PDO'!A334</f>
        <v>46055</v>
      </c>
      <c r="B334" s="8">
        <f>+'CMG-PDO'!B334</f>
        <v>5.9374999999999831</v>
      </c>
      <c r="C334" s="7">
        <v>37.379569161676649</v>
      </c>
      <c r="D334" s="7">
        <v>39.166932335329342</v>
      </c>
      <c r="E334" s="7">
        <v>39.692275748503</v>
      </c>
      <c r="F334" s="7">
        <v>35.810913473053894</v>
      </c>
    </row>
    <row r="335" spans="1:6" x14ac:dyDescent="0.3">
      <c r="A335" s="2">
        <f>+'CMG-PDO'!A335</f>
        <v>46055</v>
      </c>
      <c r="B335" s="8">
        <f>+'CMG-PDO'!B335</f>
        <v>5.9583333333333162</v>
      </c>
      <c r="C335" s="7">
        <v>38.151099101796412</v>
      </c>
      <c r="D335" s="7">
        <v>39.741105988023953</v>
      </c>
      <c r="E335" s="7">
        <v>40.274220958083831</v>
      </c>
      <c r="F335" s="7">
        <v>36.467005688622756</v>
      </c>
    </row>
    <row r="336" spans="1:6" x14ac:dyDescent="0.3">
      <c r="A336" s="2">
        <f>+'CMG-PDO'!A336</f>
        <v>46055</v>
      </c>
      <c r="B336" s="8">
        <f>+'CMG-PDO'!B336</f>
        <v>5.9791666666666492</v>
      </c>
      <c r="C336" s="7">
        <v>40.618935329341319</v>
      </c>
      <c r="D336" s="7">
        <v>42.230245209580836</v>
      </c>
      <c r="E336" s="7">
        <v>42.786813173652703</v>
      </c>
      <c r="F336" s="7">
        <v>38.970651796407189</v>
      </c>
    </row>
    <row r="337" spans="1:6" x14ac:dyDescent="0.3">
      <c r="A337" s="2">
        <f>+'CMG-PDO'!A337</f>
        <v>46055</v>
      </c>
      <c r="B337" s="8">
        <f>+'CMG-PDO'!B337</f>
        <v>5.9999999999999822</v>
      </c>
      <c r="C337" s="7">
        <v>25.531568562874256</v>
      </c>
      <c r="D337" s="7">
        <v>26.4577625748503</v>
      </c>
      <c r="E337" s="7">
        <v>26.961397904191617</v>
      </c>
      <c r="F337" s="7">
        <v>24.431892814371256</v>
      </c>
    </row>
    <row r="338" spans="1:6" x14ac:dyDescent="0.3">
      <c r="A338" s="2">
        <f>+'CMG-PDO'!A338</f>
        <v>46056</v>
      </c>
      <c r="B338" s="8">
        <f>+'CMG-PDO'!B338</f>
        <v>6.0208333333333153</v>
      </c>
      <c r="C338" s="7">
        <v>24.954007185628743</v>
      </c>
      <c r="D338" s="7">
        <v>25.878147005988023</v>
      </c>
      <c r="E338" s="7">
        <v>26.335754491017966</v>
      </c>
      <c r="F338" s="7">
        <v>23.909816167664669</v>
      </c>
    </row>
    <row r="339" spans="1:6" x14ac:dyDescent="0.3">
      <c r="A339" s="2">
        <f>+'CMG-PDO'!A339</f>
        <v>46056</v>
      </c>
      <c r="B339" s="8">
        <f>+'CMG-PDO'!B339</f>
        <v>6.0416666666666483</v>
      </c>
      <c r="C339" s="7">
        <v>24.834626347305392</v>
      </c>
      <c r="D339" s="7">
        <v>25.665000898203594</v>
      </c>
      <c r="E339" s="7">
        <v>26.242561976047902</v>
      </c>
      <c r="F339" s="7">
        <v>23.866724251497008</v>
      </c>
    </row>
    <row r="340" spans="1:6" x14ac:dyDescent="0.3">
      <c r="A340" s="2">
        <f>+'CMG-PDO'!A340</f>
        <v>46056</v>
      </c>
      <c r="B340" s="8">
        <f>+'CMG-PDO'!B340</f>
        <v>6.0624999999999813</v>
      </c>
      <c r="C340" s="7">
        <v>23.93021736526946</v>
      </c>
      <c r="D340" s="7">
        <v>24.672855389221557</v>
      </c>
      <c r="E340" s="7">
        <v>25.246295808383234</v>
      </c>
      <c r="F340" s="7">
        <v>22.931311976047905</v>
      </c>
    </row>
    <row r="341" spans="1:6" x14ac:dyDescent="0.3">
      <c r="A341" s="2">
        <f>+'CMG-PDO'!A341</f>
        <v>46056</v>
      </c>
      <c r="B341" s="8">
        <f>+'CMG-PDO'!B341</f>
        <v>6.0833333333333144</v>
      </c>
      <c r="C341" s="7">
        <v>22.906119461077846</v>
      </c>
      <c r="D341" s="7">
        <v>23.579394311377246</v>
      </c>
      <c r="E341" s="7">
        <v>24.160693413173654</v>
      </c>
      <c r="F341" s="7">
        <v>21.98776616766467</v>
      </c>
    </row>
    <row r="342" spans="1:6" x14ac:dyDescent="0.3">
      <c r="A342" s="2">
        <f>+'CMG-PDO'!A342</f>
        <v>46056</v>
      </c>
      <c r="B342" s="8">
        <f>+'CMG-PDO'!B342</f>
        <v>6.1041666666666474</v>
      </c>
      <c r="C342" s="7">
        <v>22.847444910179643</v>
      </c>
      <c r="D342" s="7">
        <v>23.496049401197606</v>
      </c>
      <c r="E342" s="7">
        <v>24.080296407185632</v>
      </c>
      <c r="F342" s="7">
        <v>21.903043113772458</v>
      </c>
    </row>
    <row r="343" spans="1:6" x14ac:dyDescent="0.3">
      <c r="A343" s="2">
        <f>+'CMG-PDO'!A343</f>
        <v>46056</v>
      </c>
      <c r="B343" s="8">
        <f>+'CMG-PDO'!B343</f>
        <v>6.1249999999999805</v>
      </c>
      <c r="C343" s="7">
        <v>22.842129640718564</v>
      </c>
      <c r="D343" s="7">
        <v>23.557379940119759</v>
      </c>
      <c r="E343" s="7">
        <v>24.094185029940117</v>
      </c>
      <c r="F343" s="7">
        <v>21.939391317365271</v>
      </c>
    </row>
    <row r="344" spans="1:6" x14ac:dyDescent="0.3">
      <c r="A344" s="2">
        <f>+'CMG-PDO'!A344</f>
        <v>46056</v>
      </c>
      <c r="B344" s="8">
        <f>+'CMG-PDO'!B344</f>
        <v>6.1458333333333135</v>
      </c>
      <c r="C344" s="7">
        <v>0.75293952095808392</v>
      </c>
      <c r="D344" s="7">
        <v>0.77575299401197606</v>
      </c>
      <c r="E344" s="7">
        <v>0.79379790419161689</v>
      </c>
      <c r="F344" s="7">
        <v>0.72152904191616773</v>
      </c>
    </row>
    <row r="345" spans="1:6" x14ac:dyDescent="0.3">
      <c r="A345" s="2">
        <f>+'CMG-PDO'!A345</f>
        <v>46056</v>
      </c>
      <c r="B345" s="8">
        <f>+'CMG-PDO'!B345</f>
        <v>6.1666666666666465</v>
      </c>
      <c r="C345" s="7">
        <v>18.487087425149703</v>
      </c>
      <c r="D345" s="7">
        <v>19.013453293413175</v>
      </c>
      <c r="E345" s="7">
        <v>19.443789221556887</v>
      </c>
      <c r="F345" s="7">
        <v>17.770393113772457</v>
      </c>
    </row>
    <row r="346" spans="1:6" x14ac:dyDescent="0.3">
      <c r="A346" s="2">
        <f>+'CMG-PDO'!A346</f>
        <v>46056</v>
      </c>
      <c r="B346" s="8">
        <f>+'CMG-PDO'!B346</f>
        <v>6.1874999999999796</v>
      </c>
      <c r="C346" s="7">
        <v>18.503339820359283</v>
      </c>
      <c r="D346" s="7">
        <v>19.044160778443114</v>
      </c>
      <c r="E346" s="7">
        <v>19.484651796407189</v>
      </c>
      <c r="F346" s="7">
        <v>17.793385329341319</v>
      </c>
    </row>
    <row r="347" spans="1:6" x14ac:dyDescent="0.3">
      <c r="A347" s="2">
        <f>+'CMG-PDO'!A347</f>
        <v>46056</v>
      </c>
      <c r="B347" s="8">
        <f>+'CMG-PDO'!B347</f>
        <v>6.2083333333333126</v>
      </c>
      <c r="C347" s="7">
        <v>18.545373353293414</v>
      </c>
      <c r="D347" s="7">
        <v>19.150761377245509</v>
      </c>
      <c r="E347" s="7">
        <v>19.583750898203593</v>
      </c>
      <c r="F347" s="7">
        <v>17.772577544910181</v>
      </c>
    </row>
    <row r="348" spans="1:6" x14ac:dyDescent="0.3">
      <c r="A348" s="2">
        <f>+'CMG-PDO'!A348</f>
        <v>46056</v>
      </c>
      <c r="B348" s="8">
        <f>+'CMG-PDO'!B348</f>
        <v>6.2291666666666456</v>
      </c>
      <c r="C348" s="7">
        <v>24.863864970059883</v>
      </c>
      <c r="D348" s="7">
        <v>25.574611676646708</v>
      </c>
      <c r="E348" s="7">
        <v>26.264746107784433</v>
      </c>
      <c r="F348" s="7">
        <v>23.929102395209583</v>
      </c>
    </row>
    <row r="349" spans="1:6" x14ac:dyDescent="0.3">
      <c r="A349" s="2">
        <f>+'CMG-PDO'!A349</f>
        <v>46056</v>
      </c>
      <c r="B349" s="8">
        <f>+'CMG-PDO'!B349</f>
        <v>6.2499999999999787</v>
      </c>
      <c r="C349" s="7">
        <v>22.858730838323357</v>
      </c>
      <c r="D349" s="7">
        <v>23.550953592814373</v>
      </c>
      <c r="E349" s="7">
        <v>24.015392215568863</v>
      </c>
      <c r="F349" s="7">
        <v>21.960708083832337</v>
      </c>
    </row>
    <row r="350" spans="1:6" x14ac:dyDescent="0.3">
      <c r="A350" s="2">
        <f>+'CMG-PDO'!A350</f>
        <v>46056</v>
      </c>
      <c r="B350" s="8">
        <f>+'CMG-PDO'!B350</f>
        <v>6.2708333333333117</v>
      </c>
      <c r="C350" s="7">
        <v>18.514216766467069</v>
      </c>
      <c r="D350" s="7">
        <v>19.104703293413174</v>
      </c>
      <c r="E350" s="7">
        <v>19.337137125748505</v>
      </c>
      <c r="F350" s="7">
        <v>17.748576646706589</v>
      </c>
    </row>
    <row r="351" spans="1:6" x14ac:dyDescent="0.3">
      <c r="A351" s="2">
        <f>+'CMG-PDO'!A351</f>
        <v>46056</v>
      </c>
      <c r="B351" s="8">
        <f>+'CMG-PDO'!B351</f>
        <v>6.2916666666666448</v>
      </c>
      <c r="C351" s="7">
        <v>0.75607754491017964</v>
      </c>
      <c r="D351" s="7">
        <v>0.7792922155688623</v>
      </c>
      <c r="E351" s="7">
        <v>0.77364610778443121</v>
      </c>
      <c r="F351" s="7">
        <v>0.71932604790419163</v>
      </c>
    </row>
    <row r="352" spans="1:6" x14ac:dyDescent="0.3">
      <c r="A352" s="2">
        <f>+'CMG-PDO'!A352</f>
        <v>46056</v>
      </c>
      <c r="B352" s="8">
        <f>+'CMG-PDO'!B352</f>
        <v>6.3124999999999778</v>
      </c>
      <c r="C352" s="7">
        <v>0.75582455089820366</v>
      </c>
      <c r="D352" s="7">
        <v>0.78383413173652694</v>
      </c>
      <c r="E352" s="7">
        <v>0.76604940119760478</v>
      </c>
      <c r="F352" s="7">
        <v>0.7166233532934132</v>
      </c>
    </row>
    <row r="353" spans="1:6" x14ac:dyDescent="0.3">
      <c r="A353" s="2">
        <f>+'CMG-PDO'!A353</f>
        <v>46056</v>
      </c>
      <c r="B353" s="8">
        <f>+'CMG-PDO'!B353</f>
        <v>6.3333333333333108</v>
      </c>
      <c r="C353" s="7">
        <v>0.78533143712574849</v>
      </c>
      <c r="D353" s="7">
        <v>0.81515239520958083</v>
      </c>
      <c r="E353" s="7">
        <v>0.78501317365269463</v>
      </c>
      <c r="F353" s="7">
        <v>0.74165239520958093</v>
      </c>
    </row>
    <row r="354" spans="1:6" x14ac:dyDescent="0.3">
      <c r="A354" s="2">
        <f>+'CMG-PDO'!A354</f>
        <v>46056</v>
      </c>
      <c r="B354" s="8">
        <f>+'CMG-PDO'!B354</f>
        <v>6.3541666666666439</v>
      </c>
      <c r="C354" s="7">
        <v>24.867502694610778</v>
      </c>
      <c r="D354" s="7">
        <v>25.933432035928142</v>
      </c>
      <c r="E354" s="7">
        <v>24.827657485029938</v>
      </c>
      <c r="F354" s="7">
        <v>23.493690419161677</v>
      </c>
    </row>
    <row r="355" spans="1:6" x14ac:dyDescent="0.3">
      <c r="A355" s="2">
        <f>+'CMG-PDO'!A355</f>
        <v>46056</v>
      </c>
      <c r="B355" s="8">
        <f>+'CMG-PDO'!B355</f>
        <v>6.3749999999999769</v>
      </c>
      <c r="C355" s="7">
        <v>25.320258682634734</v>
      </c>
      <c r="D355" s="7">
        <v>26.544212275449102</v>
      </c>
      <c r="E355" s="7">
        <v>25.553829940119758</v>
      </c>
      <c r="F355" s="7">
        <v>24.002420958083835</v>
      </c>
    </row>
    <row r="356" spans="1:6" x14ac:dyDescent="0.3">
      <c r="A356" s="2">
        <f>+'CMG-PDO'!A356</f>
        <v>46056</v>
      </c>
      <c r="B356" s="8">
        <f>+'CMG-PDO'!B356</f>
        <v>6.3958333333333099</v>
      </c>
      <c r="C356" s="7">
        <v>24.914510778443116</v>
      </c>
      <c r="D356" s="7">
        <v>26.157123952095809</v>
      </c>
      <c r="E356" s="7">
        <v>24.773736227544912</v>
      </c>
      <c r="F356" s="7">
        <v>23.502331437125751</v>
      </c>
    </row>
    <row r="357" spans="1:6" x14ac:dyDescent="0.3">
      <c r="A357" s="2">
        <f>+'CMG-PDO'!A357</f>
        <v>46056</v>
      </c>
      <c r="B357" s="8">
        <f>+'CMG-PDO'!B357</f>
        <v>6.416666666666643</v>
      </c>
      <c r="C357" s="7">
        <v>25.880345808383233</v>
      </c>
      <c r="D357" s="7">
        <v>27.179865868263477</v>
      </c>
      <c r="E357" s="7">
        <v>26.19497904191617</v>
      </c>
      <c r="F357" s="7">
        <v>24.322820359281437</v>
      </c>
    </row>
    <row r="358" spans="1:6" x14ac:dyDescent="0.3">
      <c r="A358" s="2">
        <f>+'CMG-PDO'!A358</f>
        <v>46056</v>
      </c>
      <c r="B358" s="8">
        <f>+'CMG-PDO'!B358</f>
        <v>6.437499999999976</v>
      </c>
      <c r="C358" s="7">
        <v>33.178432934131742</v>
      </c>
      <c r="D358" s="7">
        <v>35.031230538922159</v>
      </c>
      <c r="E358" s="7">
        <v>33.863008982035929</v>
      </c>
      <c r="F358" s="7">
        <v>31.209423952095808</v>
      </c>
    </row>
    <row r="359" spans="1:6" x14ac:dyDescent="0.3">
      <c r="A359" s="2">
        <f>+'CMG-PDO'!A359</f>
        <v>46056</v>
      </c>
      <c r="B359" s="8">
        <f>+'CMG-PDO'!B359</f>
        <v>6.4583333333333091</v>
      </c>
      <c r="C359" s="7">
        <v>33.045223053892215</v>
      </c>
      <c r="D359" s="7">
        <v>34.945359880239522</v>
      </c>
      <c r="E359" s="7">
        <v>33.765990718562875</v>
      </c>
      <c r="F359" s="7">
        <v>31.17362634730539</v>
      </c>
    </row>
    <row r="360" spans="1:6" x14ac:dyDescent="0.3">
      <c r="A360" s="2">
        <f>+'CMG-PDO'!A360</f>
        <v>46056</v>
      </c>
      <c r="B360" s="8">
        <f>+'CMG-PDO'!B360</f>
        <v>6.4791666666666421</v>
      </c>
      <c r="C360" s="7">
        <v>33.130779940119766</v>
      </c>
      <c r="D360" s="7">
        <v>35.028211077844311</v>
      </c>
      <c r="E360" s="7">
        <v>33.54665179640719</v>
      </c>
      <c r="F360" s="7">
        <v>31.158032634730542</v>
      </c>
    </row>
    <row r="361" spans="1:6" x14ac:dyDescent="0.3">
      <c r="A361" s="2">
        <f>+'CMG-PDO'!A361</f>
        <v>46056</v>
      </c>
      <c r="B361" s="8">
        <f>+'CMG-PDO'!B361</f>
        <v>6.4999999999999751</v>
      </c>
      <c r="C361" s="7">
        <v>37.049284431137721</v>
      </c>
      <c r="D361" s="7">
        <v>39.133106886227544</v>
      </c>
      <c r="E361" s="7">
        <v>37.612441317365267</v>
      </c>
      <c r="F361" s="7">
        <v>34.868202095808385</v>
      </c>
    </row>
    <row r="362" spans="1:6" x14ac:dyDescent="0.3">
      <c r="A362" s="2">
        <f>+'CMG-PDO'!A362</f>
        <v>46056</v>
      </c>
      <c r="B362" s="8">
        <f>+'CMG-PDO'!B362</f>
        <v>6.5208333333333082</v>
      </c>
      <c r="C362" s="7">
        <v>33.199108982035931</v>
      </c>
      <c r="D362" s="7">
        <v>35.081105688622756</v>
      </c>
      <c r="E362" s="7">
        <v>33.694945209580837</v>
      </c>
      <c r="F362" s="7">
        <v>31.243819760479045</v>
      </c>
    </row>
    <row r="363" spans="1:6" x14ac:dyDescent="0.3">
      <c r="A363" s="2">
        <f>+'CMG-PDO'!A363</f>
        <v>46056</v>
      </c>
      <c r="B363" s="8">
        <f>+'CMG-PDO'!B363</f>
        <v>6.5416666666666412</v>
      </c>
      <c r="C363" s="7">
        <v>30.996619760479046</v>
      </c>
      <c r="D363" s="7">
        <v>32.626860179640722</v>
      </c>
      <c r="E363" s="7">
        <v>30.72923862275449</v>
      </c>
      <c r="F363" s="7">
        <v>29.073705089820358</v>
      </c>
    </row>
    <row r="364" spans="1:6" x14ac:dyDescent="0.3">
      <c r="A364" s="2">
        <f>+'CMG-PDO'!A364</f>
        <v>46056</v>
      </c>
      <c r="B364" s="8">
        <f>+'CMG-PDO'!B364</f>
        <v>6.5624999999999742</v>
      </c>
      <c r="C364" s="7">
        <v>36.685835329341323</v>
      </c>
      <c r="D364" s="7">
        <v>38.604384431137731</v>
      </c>
      <c r="E364" s="7">
        <v>36.510787724550902</v>
      </c>
      <c r="F364" s="7">
        <v>34.407075449101796</v>
      </c>
    </row>
    <row r="365" spans="1:6" x14ac:dyDescent="0.3">
      <c r="A365" s="2">
        <f>+'CMG-PDO'!A365</f>
        <v>46056</v>
      </c>
      <c r="B365" s="8">
        <f>+'CMG-PDO'!B365</f>
        <v>6.5833333333333073</v>
      </c>
      <c r="C365" s="7">
        <v>36.380367664670665</v>
      </c>
      <c r="D365" s="7">
        <v>38.326155688622755</v>
      </c>
      <c r="E365" s="7">
        <v>36.420283832335329</v>
      </c>
      <c r="F365" s="7">
        <v>34.155754491017966</v>
      </c>
    </row>
    <row r="366" spans="1:6" x14ac:dyDescent="0.3">
      <c r="A366" s="2">
        <f>+'CMG-PDO'!A366</f>
        <v>46056</v>
      </c>
      <c r="B366" s="8">
        <f>+'CMG-PDO'!B366</f>
        <v>6.6041666666666403</v>
      </c>
      <c r="C366" s="7">
        <v>29.993209580838322</v>
      </c>
      <c r="D366" s="7">
        <v>31.55081167664671</v>
      </c>
      <c r="E366" s="7">
        <v>29.479013173652696</v>
      </c>
      <c r="F366" s="7">
        <v>28.055429940119762</v>
      </c>
    </row>
    <row r="367" spans="1:6" x14ac:dyDescent="0.3">
      <c r="A367" s="2">
        <f>+'CMG-PDO'!A367</f>
        <v>46056</v>
      </c>
      <c r="B367" s="8">
        <f>+'CMG-PDO'!B367</f>
        <v>6.6249999999999734</v>
      </c>
      <c r="C367" s="7">
        <v>29.996551497005989</v>
      </c>
      <c r="D367" s="7">
        <v>31.547743712574849</v>
      </c>
      <c r="E367" s="7">
        <v>29.502498502994015</v>
      </c>
      <c r="F367" s="7">
        <v>28.108959580838327</v>
      </c>
    </row>
    <row r="368" spans="1:6" x14ac:dyDescent="0.3">
      <c r="A368" s="2">
        <f>+'CMG-PDO'!A368</f>
        <v>46056</v>
      </c>
      <c r="B368" s="8">
        <f>+'CMG-PDO'!B368</f>
        <v>6.6458333333333064</v>
      </c>
      <c r="C368" s="7">
        <v>37.129682035928141</v>
      </c>
      <c r="D368" s="7">
        <v>39.05982664670659</v>
      </c>
      <c r="E368" s="7">
        <v>37.465931736526947</v>
      </c>
      <c r="F368" s="7">
        <v>34.870220658682634</v>
      </c>
    </row>
    <row r="369" spans="1:6" x14ac:dyDescent="0.3">
      <c r="A369" s="2">
        <f>+'CMG-PDO'!A369</f>
        <v>46056</v>
      </c>
      <c r="B369" s="8">
        <f>+'CMG-PDO'!B369</f>
        <v>6.6666666666666394</v>
      </c>
      <c r="C369" s="7">
        <v>31.196142215568862</v>
      </c>
      <c r="D369" s="7">
        <v>32.667008982035931</v>
      </c>
      <c r="E369" s="7">
        <v>32.202438023952098</v>
      </c>
      <c r="F369" s="7">
        <v>29.422864071856289</v>
      </c>
    </row>
    <row r="370" spans="1:6" x14ac:dyDescent="0.3">
      <c r="A370" s="2">
        <f>+'CMG-PDO'!A370</f>
        <v>46056</v>
      </c>
      <c r="B370" s="8">
        <f>+'CMG-PDO'!B370</f>
        <v>6.6874999999999725</v>
      </c>
      <c r="C370" s="7">
        <v>32.96618053892216</v>
      </c>
      <c r="D370" s="7">
        <v>34.488200000000006</v>
      </c>
      <c r="E370" s="7">
        <v>34.584401197604791</v>
      </c>
      <c r="F370" s="7">
        <v>31.219716167664675</v>
      </c>
    </row>
    <row r="371" spans="1:6" x14ac:dyDescent="0.3">
      <c r="A371" s="2">
        <f>+'CMG-PDO'!A371</f>
        <v>46056</v>
      </c>
      <c r="B371" s="8">
        <f>+'CMG-PDO'!B371</f>
        <v>6.7083333333333055</v>
      </c>
      <c r="C371" s="7">
        <v>37.466982634730542</v>
      </c>
      <c r="D371" s="7">
        <v>39.356776347305384</v>
      </c>
      <c r="E371" s="7">
        <v>39.840351197604797</v>
      </c>
      <c r="F371" s="7">
        <v>35.463034730538922</v>
      </c>
    </row>
    <row r="372" spans="1:6" x14ac:dyDescent="0.3">
      <c r="A372" s="2">
        <f>+'CMG-PDO'!A372</f>
        <v>46056</v>
      </c>
      <c r="B372" s="8">
        <f>+'CMG-PDO'!B372</f>
        <v>6.7291666666666385</v>
      </c>
      <c r="C372" s="7">
        <v>36.637237125748506</v>
      </c>
      <c r="D372" s="7">
        <v>38.381930838323356</v>
      </c>
      <c r="E372" s="7">
        <v>38.289590718562877</v>
      </c>
      <c r="F372" s="7">
        <v>34.568514670658686</v>
      </c>
    </row>
    <row r="373" spans="1:6" x14ac:dyDescent="0.3">
      <c r="A373" s="2">
        <f>+'CMG-PDO'!A373</f>
        <v>46056</v>
      </c>
      <c r="B373" s="8">
        <f>+'CMG-PDO'!B373</f>
        <v>6.7499999999999716</v>
      </c>
      <c r="C373" s="7">
        <v>29.93432634730539</v>
      </c>
      <c r="D373" s="7">
        <v>31.158979041916169</v>
      </c>
      <c r="E373" s="7">
        <v>31.099049101796407</v>
      </c>
      <c r="F373" s="7">
        <v>28.479824251497007</v>
      </c>
    </row>
    <row r="374" spans="1:6" x14ac:dyDescent="0.3">
      <c r="A374" s="2">
        <f>+'CMG-PDO'!A374</f>
        <v>46056</v>
      </c>
      <c r="B374" s="8">
        <f>+'CMG-PDO'!B374</f>
        <v>6.7708333333333046</v>
      </c>
      <c r="C374" s="7">
        <v>29.844172754491019</v>
      </c>
      <c r="D374" s="7">
        <v>31.080609880239521</v>
      </c>
      <c r="E374" s="7">
        <v>31.128110778443116</v>
      </c>
      <c r="F374" s="7">
        <v>28.37827754491018</v>
      </c>
    </row>
    <row r="375" spans="1:6" x14ac:dyDescent="0.3">
      <c r="A375" s="2">
        <f>+'CMG-PDO'!A375</f>
        <v>46056</v>
      </c>
      <c r="B375" s="8">
        <f>+'CMG-PDO'!B375</f>
        <v>6.7916666666666377</v>
      </c>
      <c r="C375" s="7">
        <v>30.452982634730542</v>
      </c>
      <c r="D375" s="7">
        <v>31.929163173652697</v>
      </c>
      <c r="E375" s="7">
        <v>31.755451197604792</v>
      </c>
      <c r="F375" s="7">
        <v>28.940362275449104</v>
      </c>
    </row>
    <row r="376" spans="1:6" x14ac:dyDescent="0.3">
      <c r="A376" s="2">
        <f>+'CMG-PDO'!A376</f>
        <v>46056</v>
      </c>
      <c r="B376" s="8">
        <f>+'CMG-PDO'!B376</f>
        <v>6.8124999999999707</v>
      </c>
      <c r="C376" s="7">
        <v>37.857458682634729</v>
      </c>
      <c r="D376" s="7">
        <v>39.889332035928142</v>
      </c>
      <c r="E376" s="7">
        <v>39.533176047904192</v>
      </c>
      <c r="F376" s="7">
        <v>36.046951796407185</v>
      </c>
    </row>
    <row r="377" spans="1:6" x14ac:dyDescent="0.3">
      <c r="A377" s="2">
        <f>+'CMG-PDO'!A377</f>
        <v>46056</v>
      </c>
      <c r="B377" s="8">
        <f>+'CMG-PDO'!B377</f>
        <v>6.8333333333333037</v>
      </c>
      <c r="C377" s="7">
        <v>37.84188143712575</v>
      </c>
      <c r="D377" s="7">
        <v>39.892440419161673</v>
      </c>
      <c r="E377" s="7">
        <v>39.611089820359282</v>
      </c>
      <c r="F377" s="7">
        <v>36.081493712574854</v>
      </c>
    </row>
    <row r="378" spans="1:6" x14ac:dyDescent="0.3">
      <c r="A378" s="2">
        <f>+'CMG-PDO'!A378</f>
        <v>46056</v>
      </c>
      <c r="B378" s="8">
        <f>+'CMG-PDO'!B378</f>
        <v>6.8541666666666368</v>
      </c>
      <c r="C378" s="7">
        <v>32.939699401197608</v>
      </c>
      <c r="D378" s="7">
        <v>34.676765868263473</v>
      </c>
      <c r="E378" s="7">
        <v>34.527337724550897</v>
      </c>
      <c r="F378" s="7">
        <v>31.383850299401196</v>
      </c>
    </row>
    <row r="379" spans="1:6" x14ac:dyDescent="0.3">
      <c r="A379" s="2">
        <f>+'CMG-PDO'!A379</f>
        <v>46056</v>
      </c>
      <c r="B379" s="8">
        <f>+'CMG-PDO'!B379</f>
        <v>6.8749999999999698</v>
      </c>
      <c r="C379" s="7">
        <v>32.915056586826353</v>
      </c>
      <c r="D379" s="7">
        <v>34.639550299401201</v>
      </c>
      <c r="E379" s="7">
        <v>34.620923952095808</v>
      </c>
      <c r="F379" s="7">
        <v>31.410228143712576</v>
      </c>
    </row>
    <row r="380" spans="1:6" x14ac:dyDescent="0.3">
      <c r="A380" s="2">
        <f>+'CMG-PDO'!A380</f>
        <v>46056</v>
      </c>
      <c r="B380" s="8">
        <f>+'CMG-PDO'!B380</f>
        <v>6.8958333333333028</v>
      </c>
      <c r="C380" s="7">
        <v>32.964172455089823</v>
      </c>
      <c r="D380" s="7">
        <v>34.600212275449103</v>
      </c>
      <c r="E380" s="7">
        <v>34.697625748502993</v>
      </c>
      <c r="F380" s="7">
        <v>31.407111976047904</v>
      </c>
    </row>
    <row r="381" spans="1:6" x14ac:dyDescent="0.3">
      <c r="A381" s="2">
        <f>+'CMG-PDO'!A381</f>
        <v>46056</v>
      </c>
      <c r="B381" s="8">
        <f>+'CMG-PDO'!B381</f>
        <v>6.9166666666666359</v>
      </c>
      <c r="C381" s="7">
        <v>33.047539520958082</v>
      </c>
      <c r="D381" s="7">
        <v>34.664037425149701</v>
      </c>
      <c r="E381" s="7">
        <v>34.79819520958084</v>
      </c>
      <c r="F381" s="7">
        <v>31.488232035928142</v>
      </c>
    </row>
    <row r="382" spans="1:6" x14ac:dyDescent="0.3">
      <c r="A382" s="2">
        <f>+'CMG-PDO'!A382</f>
        <v>46056</v>
      </c>
      <c r="B382" s="8">
        <f>+'CMG-PDO'!B382</f>
        <v>6.9374999999999689</v>
      </c>
      <c r="C382" s="7">
        <v>33.055703592814368</v>
      </c>
      <c r="D382" s="7">
        <v>34.546680838323354</v>
      </c>
      <c r="E382" s="7">
        <v>34.774134431137725</v>
      </c>
      <c r="F382" s="7">
        <v>31.528769461077847</v>
      </c>
    </row>
    <row r="383" spans="1:6" x14ac:dyDescent="0.3">
      <c r="A383" s="2">
        <f>+'CMG-PDO'!A383</f>
        <v>46056</v>
      </c>
      <c r="B383" s="8">
        <f>+'CMG-PDO'!B383</f>
        <v>6.958333333333302</v>
      </c>
      <c r="C383" s="7">
        <v>33.070576347305391</v>
      </c>
      <c r="D383" s="7">
        <v>34.394427245508986</v>
      </c>
      <c r="E383" s="7">
        <v>34.80871766467066</v>
      </c>
      <c r="F383" s="7">
        <v>31.558906586826346</v>
      </c>
    </row>
    <row r="384" spans="1:6" x14ac:dyDescent="0.3">
      <c r="A384" s="2">
        <f>+'CMG-PDO'!A384</f>
        <v>46056</v>
      </c>
      <c r="B384" s="8">
        <f>+'CMG-PDO'!B384</f>
        <v>6.979166666666635</v>
      </c>
      <c r="C384" s="7">
        <v>27.690105688622758</v>
      </c>
      <c r="D384" s="7">
        <v>28.716929041916167</v>
      </c>
      <c r="E384" s="7">
        <v>29.073570958083835</v>
      </c>
      <c r="F384" s="7">
        <v>26.420098802395209</v>
      </c>
    </row>
    <row r="385" spans="1:6" x14ac:dyDescent="0.3">
      <c r="A385" s="2">
        <f>+'CMG-PDO'!A385</f>
        <v>46056</v>
      </c>
      <c r="B385" s="8">
        <f>+'CMG-PDO'!B385</f>
        <v>6.999999999999968</v>
      </c>
      <c r="C385" s="7">
        <v>26.271204790419162</v>
      </c>
      <c r="D385" s="7">
        <v>27.443302395209582</v>
      </c>
      <c r="E385" s="7">
        <v>27.744866467065872</v>
      </c>
      <c r="F385" s="7">
        <v>25.130530538922159</v>
      </c>
    </row>
    <row r="386" spans="1:6" x14ac:dyDescent="0.3">
      <c r="A386" s="2">
        <f>+'CMG-PDO'!A386</f>
        <v>46057</v>
      </c>
      <c r="B386" s="8">
        <f>+'CMG-PDO'!B386</f>
        <v>7.0208333333333011</v>
      </c>
      <c r="C386" s="7">
        <v>24.124729041916169</v>
      </c>
      <c r="D386" s="7">
        <v>24.880438023952095</v>
      </c>
      <c r="E386" s="7">
        <v>25.432803293413176</v>
      </c>
      <c r="F386" s="7">
        <v>23.075353293413176</v>
      </c>
    </row>
    <row r="387" spans="1:6" x14ac:dyDescent="0.3">
      <c r="A387" s="2">
        <f>+'CMG-PDO'!A387</f>
        <v>46057</v>
      </c>
      <c r="B387" s="8">
        <f>+'CMG-PDO'!B387</f>
        <v>7.0416666666666341</v>
      </c>
      <c r="C387" s="7">
        <v>23.402688622754493</v>
      </c>
      <c r="D387" s="7">
        <v>24.149931437125748</v>
      </c>
      <c r="E387" s="7">
        <v>24.657645209580838</v>
      </c>
      <c r="F387" s="7">
        <v>22.394117365269462</v>
      </c>
    </row>
    <row r="388" spans="1:6" x14ac:dyDescent="0.3">
      <c r="A388" s="2">
        <f>+'CMG-PDO'!A388</f>
        <v>46057</v>
      </c>
      <c r="B388" s="8">
        <f>+'CMG-PDO'!B388</f>
        <v>7.0624999999999671</v>
      </c>
      <c r="C388" s="7">
        <v>22.877220658682635</v>
      </c>
      <c r="D388" s="7">
        <v>23.542409580838324</v>
      </c>
      <c r="E388" s="7">
        <v>24.033770658682638</v>
      </c>
      <c r="F388" s="7">
        <v>21.939442215568864</v>
      </c>
    </row>
    <row r="389" spans="1:6" x14ac:dyDescent="0.3">
      <c r="A389" s="2">
        <f>+'CMG-PDO'!A389</f>
        <v>46057</v>
      </c>
      <c r="B389" s="8">
        <f>+'CMG-PDO'!B389</f>
        <v>7.0833333333333002</v>
      </c>
      <c r="C389" s="7">
        <v>18.773723053892216</v>
      </c>
      <c r="D389" s="7">
        <v>19.32234401197605</v>
      </c>
      <c r="E389" s="7">
        <v>19.796345808383233</v>
      </c>
      <c r="F389" s="7">
        <v>17.981640718562875</v>
      </c>
    </row>
    <row r="390" spans="1:6" x14ac:dyDescent="0.3">
      <c r="A390" s="2">
        <f>+'CMG-PDO'!A390</f>
        <v>46057</v>
      </c>
      <c r="B390" s="8">
        <f>+'CMG-PDO'!B390</f>
        <v>7.1041666666666332</v>
      </c>
      <c r="C390" s="7">
        <v>18.516740718562875</v>
      </c>
      <c r="D390" s="7">
        <v>19.058719461077846</v>
      </c>
      <c r="E390" s="7">
        <v>19.453359580838324</v>
      </c>
      <c r="F390" s="7">
        <v>17.756200000000003</v>
      </c>
    </row>
    <row r="391" spans="1:6" x14ac:dyDescent="0.3">
      <c r="A391" s="2">
        <f>+'CMG-PDO'!A391</f>
        <v>46057</v>
      </c>
      <c r="B391" s="8">
        <f>+'CMG-PDO'!B391</f>
        <v>7.1249999999999662</v>
      </c>
      <c r="C391" s="7">
        <v>18.737917664670661</v>
      </c>
      <c r="D391" s="7">
        <v>19.315099700598804</v>
      </c>
      <c r="E391" s="7">
        <v>19.779706287425149</v>
      </c>
      <c r="F391" s="7">
        <v>17.966291017964075</v>
      </c>
    </row>
    <row r="392" spans="1:6" x14ac:dyDescent="0.3">
      <c r="A392" s="2">
        <f>+'CMG-PDO'!A392</f>
        <v>46057</v>
      </c>
      <c r="B392" s="8">
        <f>+'CMG-PDO'!B392</f>
        <v>7.1458333333332993</v>
      </c>
      <c r="C392" s="7">
        <v>0.80309311377245518</v>
      </c>
      <c r="D392" s="7">
        <v>0.82682455089820361</v>
      </c>
      <c r="E392" s="7">
        <v>0.84538353293413171</v>
      </c>
      <c r="F392" s="7">
        <v>0.77021556886227549</v>
      </c>
    </row>
    <row r="393" spans="1:6" x14ac:dyDescent="0.3">
      <c r="A393" s="2">
        <f>+'CMG-PDO'!A393</f>
        <v>46057</v>
      </c>
      <c r="B393" s="8">
        <f>+'CMG-PDO'!B393</f>
        <v>7.1666666666666323</v>
      </c>
      <c r="C393" s="7">
        <v>18.585712874251499</v>
      </c>
      <c r="D393" s="7">
        <v>19.202961676646705</v>
      </c>
      <c r="E393" s="7">
        <v>19.638370359281438</v>
      </c>
      <c r="F393" s="7">
        <v>17.84682754491018</v>
      </c>
    </row>
    <row r="394" spans="1:6" x14ac:dyDescent="0.3">
      <c r="A394" s="2">
        <f>+'CMG-PDO'!A394</f>
        <v>46057</v>
      </c>
      <c r="B394" s="8">
        <f>+'CMG-PDO'!B394</f>
        <v>7.1874999999999654</v>
      </c>
      <c r="C394" s="7">
        <v>18.757657784431139</v>
      </c>
      <c r="D394" s="7">
        <v>19.374896407185631</v>
      </c>
      <c r="E394" s="7">
        <v>19.835867365269461</v>
      </c>
      <c r="F394" s="7">
        <v>17.991924550898204</v>
      </c>
    </row>
    <row r="395" spans="1:6" x14ac:dyDescent="0.3">
      <c r="A395" s="2">
        <f>+'CMG-PDO'!A395</f>
        <v>46057</v>
      </c>
      <c r="B395" s="8">
        <f>+'CMG-PDO'!B395</f>
        <v>7.2083333333332984</v>
      </c>
      <c r="C395" s="7">
        <v>18.668660778443115</v>
      </c>
      <c r="D395" s="7">
        <v>19.26061137724551</v>
      </c>
      <c r="E395" s="7">
        <v>19.762649101796409</v>
      </c>
      <c r="F395" s="7">
        <v>17.915837125748503</v>
      </c>
    </row>
    <row r="396" spans="1:6" x14ac:dyDescent="0.3">
      <c r="A396" s="2">
        <f>+'CMG-PDO'!A396</f>
        <v>46057</v>
      </c>
      <c r="B396" s="8">
        <f>+'CMG-PDO'!B396</f>
        <v>7.2291666666666314</v>
      </c>
      <c r="C396" s="7">
        <v>23.059832934131737</v>
      </c>
      <c r="D396" s="7">
        <v>23.820840718562877</v>
      </c>
      <c r="E396" s="7">
        <v>24.385152395209584</v>
      </c>
      <c r="F396" s="7">
        <v>22.10642994011976</v>
      </c>
    </row>
    <row r="397" spans="1:6" x14ac:dyDescent="0.3">
      <c r="A397" s="2">
        <f>+'CMG-PDO'!A397</f>
        <v>46057</v>
      </c>
      <c r="B397" s="8">
        <f>+'CMG-PDO'!B397</f>
        <v>7.2499999999999645</v>
      </c>
      <c r="C397" s="7">
        <v>23.070636826347304</v>
      </c>
      <c r="D397" s="7">
        <v>23.824833532934132</v>
      </c>
      <c r="E397" s="7">
        <v>24.194699401197603</v>
      </c>
      <c r="F397" s="7">
        <v>22.058304191616767</v>
      </c>
    </row>
    <row r="398" spans="1:6" x14ac:dyDescent="0.3">
      <c r="A398" s="2">
        <f>+'CMG-PDO'!A398</f>
        <v>46057</v>
      </c>
      <c r="B398" s="8">
        <f>+'CMG-PDO'!B398</f>
        <v>7.2708333333332975</v>
      </c>
      <c r="C398" s="7">
        <v>0.78293742514970066</v>
      </c>
      <c r="D398" s="7">
        <v>0.80933413173652702</v>
      </c>
      <c r="E398" s="7">
        <v>0.80994161676646703</v>
      </c>
      <c r="F398" s="7">
        <v>0.74613532934131743</v>
      </c>
    </row>
    <row r="399" spans="1:6" x14ac:dyDescent="0.3">
      <c r="A399" s="2">
        <f>+'CMG-PDO'!A399</f>
        <v>46057</v>
      </c>
      <c r="B399" s="8">
        <f>+'CMG-PDO'!B399</f>
        <v>7.2916666666666305</v>
      </c>
      <c r="C399" s="7">
        <v>0.75258682634730545</v>
      </c>
      <c r="D399" s="7">
        <v>0.77933173652694621</v>
      </c>
      <c r="E399" s="7">
        <v>0.76298892215568859</v>
      </c>
      <c r="F399" s="7">
        <v>0.7139688622754492</v>
      </c>
    </row>
    <row r="400" spans="1:6" x14ac:dyDescent="0.3">
      <c r="A400" s="2">
        <f>+'CMG-PDO'!A400</f>
        <v>46057</v>
      </c>
      <c r="B400" s="8">
        <f>+'CMG-PDO'!B400</f>
        <v>7.3124999999999636</v>
      </c>
      <c r="C400" s="7">
        <v>18.545992814371257</v>
      </c>
      <c r="D400" s="7">
        <v>19.227332035928146</v>
      </c>
      <c r="E400" s="7">
        <v>18.406583832335329</v>
      </c>
      <c r="F400" s="7">
        <v>17.541005988023951</v>
      </c>
    </row>
    <row r="401" spans="1:6" x14ac:dyDescent="0.3">
      <c r="A401" s="2">
        <f>+'CMG-PDO'!A401</f>
        <v>46057</v>
      </c>
      <c r="B401" s="8">
        <f>+'CMG-PDO'!B401</f>
        <v>7.3333333333332966</v>
      </c>
      <c r="C401" s="7">
        <v>22.965714071856286</v>
      </c>
      <c r="D401" s="7">
        <v>23.807155089820363</v>
      </c>
      <c r="E401" s="7">
        <v>22.75850868263473</v>
      </c>
      <c r="F401" s="7">
        <v>21.706694910179642</v>
      </c>
    </row>
    <row r="402" spans="1:6" x14ac:dyDescent="0.3">
      <c r="A402" s="2">
        <f>+'CMG-PDO'!A402</f>
        <v>46057</v>
      </c>
      <c r="B402" s="8">
        <f>+'CMG-PDO'!B402</f>
        <v>7.3541666666666297</v>
      </c>
      <c r="C402" s="7">
        <v>24.881094910179641</v>
      </c>
      <c r="D402" s="7">
        <v>25.988437425149705</v>
      </c>
      <c r="E402" s="7">
        <v>24.593317964071858</v>
      </c>
      <c r="F402" s="7">
        <v>23.459448502994011</v>
      </c>
    </row>
    <row r="403" spans="1:6" x14ac:dyDescent="0.3">
      <c r="A403" s="2">
        <f>+'CMG-PDO'!A403</f>
        <v>46057</v>
      </c>
      <c r="B403" s="8">
        <f>+'CMG-PDO'!B403</f>
        <v>7.3749999999999627</v>
      </c>
      <c r="C403" s="7">
        <v>25.307028443113772</v>
      </c>
      <c r="D403" s="7">
        <v>26.478202694610779</v>
      </c>
      <c r="E403" s="7">
        <v>24.965823952095811</v>
      </c>
      <c r="F403" s="7">
        <v>23.819028143712575</v>
      </c>
    </row>
    <row r="404" spans="1:6" x14ac:dyDescent="0.3">
      <c r="A404" s="2">
        <f>+'CMG-PDO'!A404</f>
        <v>46057</v>
      </c>
      <c r="B404" s="8">
        <f>+'CMG-PDO'!B404</f>
        <v>7.3958333333332957</v>
      </c>
      <c r="C404" s="7">
        <v>25.918271856287426</v>
      </c>
      <c r="D404" s="7">
        <v>27.218605688622755</v>
      </c>
      <c r="E404" s="7">
        <v>25.607951796407185</v>
      </c>
      <c r="F404" s="7">
        <v>24.423192514970061</v>
      </c>
    </row>
    <row r="405" spans="1:6" x14ac:dyDescent="0.3">
      <c r="A405" s="2">
        <f>+'CMG-PDO'!A405</f>
        <v>46057</v>
      </c>
      <c r="B405" s="8">
        <f>+'CMG-PDO'!B405</f>
        <v>7.4166666666666288</v>
      </c>
      <c r="C405" s="7">
        <v>26.79844880239521</v>
      </c>
      <c r="D405" s="7">
        <v>28.085460479041917</v>
      </c>
      <c r="E405" s="7">
        <v>26.447549700598806</v>
      </c>
      <c r="F405" s="7">
        <v>25.245800898203594</v>
      </c>
    </row>
    <row r="406" spans="1:6" x14ac:dyDescent="0.3">
      <c r="A406" s="2">
        <f>+'CMG-PDO'!A406</f>
        <v>46057</v>
      </c>
      <c r="B406" s="8">
        <f>+'CMG-PDO'!B406</f>
        <v>7.4374999999999618</v>
      </c>
      <c r="C406" s="7">
        <v>27.386516766467068</v>
      </c>
      <c r="D406" s="7">
        <v>28.626387724550899</v>
      </c>
      <c r="E406" s="7">
        <v>26.95754371257485</v>
      </c>
      <c r="F406" s="7">
        <v>25.800661676646708</v>
      </c>
    </row>
    <row r="407" spans="1:6" x14ac:dyDescent="0.3">
      <c r="A407" s="2">
        <f>+'CMG-PDO'!A407</f>
        <v>46057</v>
      </c>
      <c r="B407" s="8">
        <f>+'CMG-PDO'!B407</f>
        <v>7.4583333333332948</v>
      </c>
      <c r="C407" s="7">
        <v>33.115821257485031</v>
      </c>
      <c r="D407" s="7">
        <v>34.701181137724554</v>
      </c>
      <c r="E407" s="7">
        <v>32.927267664670659</v>
      </c>
      <c r="F407" s="7">
        <v>31.294021556886229</v>
      </c>
    </row>
    <row r="408" spans="1:6" x14ac:dyDescent="0.3">
      <c r="A408" s="2">
        <f>+'CMG-PDO'!A408</f>
        <v>46057</v>
      </c>
      <c r="B408" s="8">
        <f>+'CMG-PDO'!B408</f>
        <v>7.4791666666666279</v>
      </c>
      <c r="C408" s="7">
        <v>34.471089221556888</v>
      </c>
      <c r="D408" s="7">
        <v>36.354953293413175</v>
      </c>
      <c r="E408" s="7">
        <v>34.575805988023951</v>
      </c>
      <c r="F408" s="7">
        <v>32.713630838323354</v>
      </c>
    </row>
    <row r="409" spans="1:6" x14ac:dyDescent="0.3">
      <c r="A409" s="2">
        <f>+'CMG-PDO'!A409</f>
        <v>46057</v>
      </c>
      <c r="B409" s="8">
        <f>+'CMG-PDO'!B409</f>
        <v>7.4999999999999609</v>
      </c>
      <c r="C409" s="7">
        <v>34.332368562874258</v>
      </c>
      <c r="D409" s="7">
        <v>36.147023652694614</v>
      </c>
      <c r="E409" s="7">
        <v>34.046214371257484</v>
      </c>
      <c r="F409" s="7">
        <v>32.456436826347307</v>
      </c>
    </row>
    <row r="410" spans="1:6" x14ac:dyDescent="0.3">
      <c r="A410" s="2">
        <f>+'CMG-PDO'!A410</f>
        <v>46057</v>
      </c>
      <c r="B410" s="8">
        <f>+'CMG-PDO'!B410</f>
        <v>7.520833333333294</v>
      </c>
      <c r="C410" s="7">
        <v>32.986392215568863</v>
      </c>
      <c r="D410" s="7">
        <v>34.635398502994015</v>
      </c>
      <c r="E410" s="7">
        <v>32.903905688622757</v>
      </c>
      <c r="F410" s="7">
        <v>31.302038023952097</v>
      </c>
    </row>
    <row r="411" spans="1:6" x14ac:dyDescent="0.3">
      <c r="A411" s="2">
        <f>+'CMG-PDO'!A411</f>
        <v>46057</v>
      </c>
      <c r="B411" s="8">
        <f>+'CMG-PDO'!B411</f>
        <v>7.541666666666627</v>
      </c>
      <c r="C411" s="7">
        <v>30.452162275449105</v>
      </c>
      <c r="D411" s="7">
        <v>31.948545508982036</v>
      </c>
      <c r="E411" s="7">
        <v>30.212671257485031</v>
      </c>
      <c r="F411" s="7">
        <v>28.708921257485034</v>
      </c>
    </row>
    <row r="412" spans="1:6" x14ac:dyDescent="0.3">
      <c r="A412" s="2">
        <f>+'CMG-PDO'!A412</f>
        <v>46057</v>
      </c>
      <c r="B412" s="8">
        <f>+'CMG-PDO'!B412</f>
        <v>7.56249999999996</v>
      </c>
      <c r="C412" s="7">
        <v>30.183223353293414</v>
      </c>
      <c r="D412" s="7">
        <v>31.589868562874251</v>
      </c>
      <c r="E412" s="7">
        <v>29.867478443113775</v>
      </c>
      <c r="F412" s="7">
        <v>28.419643712574853</v>
      </c>
    </row>
    <row r="413" spans="1:6" x14ac:dyDescent="0.3">
      <c r="A413" s="2">
        <f>+'CMG-PDO'!A413</f>
        <v>46057</v>
      </c>
      <c r="B413" s="8">
        <f>+'CMG-PDO'!B413</f>
        <v>7.5833333333332931</v>
      </c>
      <c r="C413" s="7">
        <v>33.149570958083835</v>
      </c>
      <c r="D413" s="7">
        <v>34.634861377245507</v>
      </c>
      <c r="E413" s="7">
        <v>33.072076047904197</v>
      </c>
      <c r="F413" s="7">
        <v>31.366819461077846</v>
      </c>
    </row>
    <row r="414" spans="1:6" x14ac:dyDescent="0.3">
      <c r="A414" s="2">
        <f>+'CMG-PDO'!A414</f>
        <v>46057</v>
      </c>
      <c r="B414" s="8">
        <f>+'CMG-PDO'!B414</f>
        <v>7.6041666666666261</v>
      </c>
      <c r="C414" s="7">
        <v>37.85292155688623</v>
      </c>
      <c r="D414" s="7">
        <v>39.790967664670667</v>
      </c>
      <c r="E414" s="7">
        <v>37.965025149700601</v>
      </c>
      <c r="F414" s="7">
        <v>35.834974850299403</v>
      </c>
    </row>
    <row r="415" spans="1:6" x14ac:dyDescent="0.3">
      <c r="A415" s="2">
        <f>+'CMG-PDO'!A415</f>
        <v>46057</v>
      </c>
      <c r="B415" s="8">
        <f>+'CMG-PDO'!B415</f>
        <v>7.6249999999999591</v>
      </c>
      <c r="C415" s="7">
        <v>39.175038922155686</v>
      </c>
      <c r="D415" s="7">
        <v>41.084574850299397</v>
      </c>
      <c r="E415" s="7">
        <v>39.11430928143713</v>
      </c>
      <c r="F415" s="7">
        <v>37.044977844311383</v>
      </c>
    </row>
    <row r="416" spans="1:6" x14ac:dyDescent="0.3">
      <c r="A416" s="2">
        <f>+'CMG-PDO'!A416</f>
        <v>46057</v>
      </c>
      <c r="B416" s="8">
        <f>+'CMG-PDO'!B416</f>
        <v>7.6458333333332922</v>
      </c>
      <c r="C416" s="7">
        <v>37.560439221556884</v>
      </c>
      <c r="D416" s="7">
        <v>39.490538922155693</v>
      </c>
      <c r="E416" s="7">
        <v>37.61062005988024</v>
      </c>
      <c r="F416" s="7">
        <v>35.408032934131739</v>
      </c>
    </row>
    <row r="417" spans="1:6" x14ac:dyDescent="0.3">
      <c r="A417" s="2">
        <f>+'CMG-PDO'!A417</f>
        <v>46057</v>
      </c>
      <c r="B417" s="8">
        <f>+'CMG-PDO'!B417</f>
        <v>7.6666666666666252</v>
      </c>
      <c r="C417" s="7">
        <v>45.713238922155689</v>
      </c>
      <c r="D417" s="7">
        <v>48.08261946107784</v>
      </c>
      <c r="E417" s="7">
        <v>46.960341317365277</v>
      </c>
      <c r="F417" s="7">
        <v>43.435185628742516</v>
      </c>
    </row>
    <row r="418" spans="1:6" x14ac:dyDescent="0.3">
      <c r="A418" s="2">
        <f>+'CMG-PDO'!A418</f>
        <v>46057</v>
      </c>
      <c r="B418" s="8">
        <f>+'CMG-PDO'!B418</f>
        <v>7.6874999999999583</v>
      </c>
      <c r="C418" s="7">
        <v>46.039604191616768</v>
      </c>
      <c r="D418" s="7">
        <v>48.278925149700598</v>
      </c>
      <c r="E418" s="7">
        <v>47.411816167664675</v>
      </c>
      <c r="F418" s="7">
        <v>43.750398203592816</v>
      </c>
    </row>
    <row r="419" spans="1:6" x14ac:dyDescent="0.3">
      <c r="A419" s="2">
        <f>+'CMG-PDO'!A419</f>
        <v>46057</v>
      </c>
      <c r="B419" s="8">
        <f>+'CMG-PDO'!B419</f>
        <v>7.7083333333332913</v>
      </c>
      <c r="C419" s="7">
        <v>45.827257185628746</v>
      </c>
      <c r="D419" s="7">
        <v>48.28737065868264</v>
      </c>
      <c r="E419" s="7">
        <v>47.637342814371259</v>
      </c>
      <c r="F419" s="7">
        <v>43.77306826347305</v>
      </c>
    </row>
    <row r="420" spans="1:6" x14ac:dyDescent="0.3">
      <c r="A420" s="2">
        <f>+'CMG-PDO'!A420</f>
        <v>46057</v>
      </c>
      <c r="B420" s="8">
        <f>+'CMG-PDO'!B420</f>
        <v>7.7291666666666243</v>
      </c>
      <c r="C420" s="7">
        <v>33.651172754491022</v>
      </c>
      <c r="D420" s="7">
        <v>35.187802994011975</v>
      </c>
      <c r="E420" s="7">
        <v>34.810361976047908</v>
      </c>
      <c r="F420" s="7">
        <v>32.005362574850302</v>
      </c>
    </row>
    <row r="421" spans="1:6" x14ac:dyDescent="0.3">
      <c r="A421" s="2">
        <f>+'CMG-PDO'!A421</f>
        <v>46057</v>
      </c>
      <c r="B421" s="8">
        <f>+'CMG-PDO'!B421</f>
        <v>7.7499999999999574</v>
      </c>
      <c r="C421" s="7">
        <v>29.975824550898203</v>
      </c>
      <c r="D421" s="7">
        <v>31.403621556886229</v>
      </c>
      <c r="E421" s="7">
        <v>31.371144610778444</v>
      </c>
      <c r="F421" s="7">
        <v>28.593561377245511</v>
      </c>
    </row>
    <row r="422" spans="1:6" x14ac:dyDescent="0.3">
      <c r="A422" s="2">
        <f>+'CMG-PDO'!A422</f>
        <v>46057</v>
      </c>
      <c r="B422" s="8">
        <f>+'CMG-PDO'!B422</f>
        <v>7.7708333333332904</v>
      </c>
      <c r="C422" s="7">
        <v>29.886670359281439</v>
      </c>
      <c r="D422" s="7">
        <v>31.293991616766469</v>
      </c>
      <c r="E422" s="7">
        <v>31.512780838323355</v>
      </c>
      <c r="F422" s="7">
        <v>28.591687125748503</v>
      </c>
    </row>
    <row r="423" spans="1:6" x14ac:dyDescent="0.3">
      <c r="A423" s="2">
        <f>+'CMG-PDO'!A423</f>
        <v>46057</v>
      </c>
      <c r="B423" s="8">
        <f>+'CMG-PDO'!B423</f>
        <v>7.7916666666666234</v>
      </c>
      <c r="C423" s="7">
        <v>44.679125449101797</v>
      </c>
      <c r="D423" s="7">
        <v>47.119741916167669</v>
      </c>
      <c r="E423" s="7">
        <v>47.111765269461081</v>
      </c>
      <c r="F423" s="7">
        <v>42.760237724550905</v>
      </c>
    </row>
    <row r="424" spans="1:6" x14ac:dyDescent="0.3">
      <c r="A424" s="2">
        <f>+'CMG-PDO'!A424</f>
        <v>46057</v>
      </c>
      <c r="B424" s="8">
        <f>+'CMG-PDO'!B424</f>
        <v>7.8124999999999565</v>
      </c>
      <c r="C424" s="7">
        <v>33.947241017964075</v>
      </c>
      <c r="D424" s="7">
        <v>35.890486227544912</v>
      </c>
      <c r="E424" s="7">
        <v>35.886393113772456</v>
      </c>
      <c r="F424" s="7">
        <v>32.555997005988026</v>
      </c>
    </row>
    <row r="425" spans="1:6" x14ac:dyDescent="0.3">
      <c r="A425" s="2">
        <f>+'CMG-PDO'!A425</f>
        <v>46057</v>
      </c>
      <c r="B425" s="8">
        <f>+'CMG-PDO'!B425</f>
        <v>7.8333333333332895</v>
      </c>
      <c r="C425" s="7">
        <v>33.84635119760479</v>
      </c>
      <c r="D425" s="7">
        <v>35.796805389221561</v>
      </c>
      <c r="E425" s="7">
        <v>35.858210778443116</v>
      </c>
      <c r="F425" s="7">
        <v>32.497676047904193</v>
      </c>
    </row>
    <row r="426" spans="1:6" x14ac:dyDescent="0.3">
      <c r="A426" s="2">
        <f>+'CMG-PDO'!A426</f>
        <v>46057</v>
      </c>
      <c r="B426" s="8">
        <f>+'CMG-PDO'!B426</f>
        <v>7.8541666666666226</v>
      </c>
      <c r="C426" s="7">
        <v>33.423906886227542</v>
      </c>
      <c r="D426" s="7">
        <v>35.380433233532933</v>
      </c>
      <c r="E426" s="7">
        <v>35.457435628742516</v>
      </c>
      <c r="F426" s="7">
        <v>32.085991916167664</v>
      </c>
    </row>
    <row r="427" spans="1:6" x14ac:dyDescent="0.3">
      <c r="A427" s="2">
        <f>+'CMG-PDO'!A427</f>
        <v>46057</v>
      </c>
      <c r="B427" s="8">
        <f>+'CMG-PDO'!B427</f>
        <v>7.8749999999999556</v>
      </c>
      <c r="C427" s="7">
        <v>33.481432035928144</v>
      </c>
      <c r="D427" s="7">
        <v>35.50774550898204</v>
      </c>
      <c r="E427" s="7">
        <v>35.529948802395211</v>
      </c>
      <c r="F427" s="7">
        <v>32.147889820359282</v>
      </c>
    </row>
    <row r="428" spans="1:6" x14ac:dyDescent="0.3">
      <c r="A428" s="2">
        <f>+'CMG-PDO'!A428</f>
        <v>46057</v>
      </c>
      <c r="B428" s="8">
        <f>+'CMG-PDO'!B428</f>
        <v>7.8958333333332886</v>
      </c>
      <c r="C428" s="7">
        <v>44.199654491017967</v>
      </c>
      <c r="D428" s="7">
        <v>46.773505988023956</v>
      </c>
      <c r="E428" s="7">
        <v>47.007874550898208</v>
      </c>
      <c r="F428" s="7">
        <v>42.491344910179642</v>
      </c>
    </row>
    <row r="429" spans="1:6" x14ac:dyDescent="0.3">
      <c r="A429" s="2">
        <f>+'CMG-PDO'!A429</f>
        <v>46057</v>
      </c>
      <c r="B429" s="8">
        <f>+'CMG-PDO'!B429</f>
        <v>7.9166666666666217</v>
      </c>
      <c r="C429" s="7">
        <v>44.853105389221561</v>
      </c>
      <c r="D429" s="7">
        <v>47.408541017964076</v>
      </c>
      <c r="E429" s="7">
        <v>47.692926047904194</v>
      </c>
      <c r="F429" s="7">
        <v>43.109791017964078</v>
      </c>
    </row>
    <row r="430" spans="1:6" x14ac:dyDescent="0.3">
      <c r="A430" s="2">
        <f>+'CMG-PDO'!A430</f>
        <v>46057</v>
      </c>
      <c r="B430" s="8">
        <f>+'CMG-PDO'!B430</f>
        <v>7.9374999999999547</v>
      </c>
      <c r="C430" s="7">
        <v>32.789444610778446</v>
      </c>
      <c r="D430" s="7">
        <v>34.33062784431138</v>
      </c>
      <c r="E430" s="7">
        <v>34.742840419161681</v>
      </c>
      <c r="F430" s="7">
        <v>31.452597005988029</v>
      </c>
    </row>
    <row r="431" spans="1:6" x14ac:dyDescent="0.3">
      <c r="A431" s="2">
        <f>+'CMG-PDO'!A431</f>
        <v>46057</v>
      </c>
      <c r="B431" s="8">
        <f>+'CMG-PDO'!B431</f>
        <v>7.9583333333332877</v>
      </c>
      <c r="C431" s="7">
        <v>32.949253293413172</v>
      </c>
      <c r="D431" s="7">
        <v>34.448667065868264</v>
      </c>
      <c r="E431" s="7">
        <v>34.892589221556889</v>
      </c>
      <c r="F431" s="7">
        <v>31.664994011976052</v>
      </c>
    </row>
    <row r="432" spans="1:6" x14ac:dyDescent="0.3">
      <c r="A432" s="2">
        <f>+'CMG-PDO'!A432</f>
        <v>46057</v>
      </c>
      <c r="B432" s="8">
        <f>+'CMG-PDO'!B432</f>
        <v>7.9791666666666208</v>
      </c>
      <c r="C432" s="7">
        <v>25.816802694610779</v>
      </c>
      <c r="D432" s="7">
        <v>26.892615269461082</v>
      </c>
      <c r="E432" s="7">
        <v>27.277635928143713</v>
      </c>
      <c r="F432" s="7">
        <v>24.734572754491019</v>
      </c>
    </row>
    <row r="433" spans="1:6" x14ac:dyDescent="0.3">
      <c r="A433" s="2">
        <f>+'CMG-PDO'!A433</f>
        <v>46057</v>
      </c>
      <c r="B433" s="8">
        <f>+'CMG-PDO'!B433</f>
        <v>7.9999999999999538</v>
      </c>
      <c r="C433" s="7">
        <v>25.703053293413173</v>
      </c>
      <c r="D433" s="7">
        <v>26.642484131736527</v>
      </c>
      <c r="E433" s="7">
        <v>27.011162574850299</v>
      </c>
      <c r="F433" s="7">
        <v>24.575644311377246</v>
      </c>
    </row>
    <row r="434" spans="1:6" x14ac:dyDescent="0.3">
      <c r="A434" s="2">
        <f>+'CMG-PDO'!A434</f>
        <v>46058</v>
      </c>
      <c r="B434" s="8">
        <f>+'CMG-PDO'!B434</f>
        <v>8.0208333333332877</v>
      </c>
    </row>
    <row r="435" spans="1:6" x14ac:dyDescent="0.3">
      <c r="A435" s="2">
        <f>+'CMG-PDO'!A435</f>
        <v>46058</v>
      </c>
      <c r="B435" s="8">
        <f>+'CMG-PDO'!B435</f>
        <v>8.0416666666666217</v>
      </c>
    </row>
    <row r="436" spans="1:6" x14ac:dyDescent="0.3">
      <c r="A436" s="2">
        <f>+'CMG-PDO'!A436</f>
        <v>46058</v>
      </c>
      <c r="B436" s="8">
        <f>+'CMG-PDO'!B436</f>
        <v>8.0624999999999556</v>
      </c>
    </row>
    <row r="437" spans="1:6" x14ac:dyDescent="0.3">
      <c r="A437" s="2">
        <f>+'CMG-PDO'!A437</f>
        <v>46058</v>
      </c>
      <c r="B437" s="8">
        <f>+'CMG-PDO'!B437</f>
        <v>8.0833333333332895</v>
      </c>
    </row>
    <row r="438" spans="1:6" x14ac:dyDescent="0.3">
      <c r="A438" s="2">
        <f>+'CMG-PDO'!A438</f>
        <v>46058</v>
      </c>
      <c r="B438" s="8">
        <f>+'CMG-PDO'!B438</f>
        <v>8.1041666666666234</v>
      </c>
    </row>
    <row r="439" spans="1:6" x14ac:dyDescent="0.3">
      <c r="A439" s="2">
        <f>+'CMG-PDO'!A439</f>
        <v>46058</v>
      </c>
      <c r="B439" s="8">
        <f>+'CMG-PDO'!B439</f>
        <v>8.1249999999999574</v>
      </c>
    </row>
    <row r="440" spans="1:6" x14ac:dyDescent="0.3">
      <c r="A440" s="2">
        <f>+'CMG-PDO'!A440</f>
        <v>46058</v>
      </c>
      <c r="B440" s="8">
        <f>+'CMG-PDO'!B440</f>
        <v>8.1458333333332913</v>
      </c>
    </row>
    <row r="441" spans="1:6" x14ac:dyDescent="0.3">
      <c r="A441" s="2">
        <f>+'CMG-PDO'!A441</f>
        <v>46058</v>
      </c>
      <c r="B441" s="8">
        <f>+'CMG-PDO'!B441</f>
        <v>8.1666666666666252</v>
      </c>
    </row>
    <row r="442" spans="1:6" x14ac:dyDescent="0.3">
      <c r="A442" s="2">
        <f>+'CMG-PDO'!A442</f>
        <v>46058</v>
      </c>
      <c r="B442" s="8">
        <f>+'CMG-PDO'!B442</f>
        <v>8.1874999999999591</v>
      </c>
    </row>
    <row r="443" spans="1:6" x14ac:dyDescent="0.3">
      <c r="A443" s="2">
        <f>+'CMG-PDO'!A443</f>
        <v>46058</v>
      </c>
      <c r="B443" s="8">
        <f>+'CMG-PDO'!B443</f>
        <v>8.2083333333332931</v>
      </c>
    </row>
    <row r="444" spans="1:6" x14ac:dyDescent="0.3">
      <c r="A444" s="2">
        <f>+'CMG-PDO'!A444</f>
        <v>46058</v>
      </c>
      <c r="B444" s="8">
        <f>+'CMG-PDO'!B444</f>
        <v>8.229166666666627</v>
      </c>
    </row>
    <row r="445" spans="1:6" x14ac:dyDescent="0.3">
      <c r="A445" s="2">
        <f>+'CMG-PDO'!A445</f>
        <v>46058</v>
      </c>
      <c r="B445" s="8">
        <f>+'CMG-PDO'!B445</f>
        <v>8.2499999999999609</v>
      </c>
    </row>
    <row r="446" spans="1:6" x14ac:dyDescent="0.3">
      <c r="A446" s="2">
        <f>+'CMG-PDO'!A446</f>
        <v>46058</v>
      </c>
      <c r="B446" s="8">
        <f>+'CMG-PDO'!B446</f>
        <v>8.2708333333332948</v>
      </c>
    </row>
    <row r="447" spans="1:6" x14ac:dyDescent="0.3">
      <c r="A447" s="2">
        <f>+'CMG-PDO'!A447</f>
        <v>46058</v>
      </c>
      <c r="B447" s="8">
        <f>+'CMG-PDO'!B447</f>
        <v>8.2916666666666288</v>
      </c>
    </row>
    <row r="448" spans="1:6" x14ac:dyDescent="0.3">
      <c r="A448" s="2">
        <f>+'CMG-PDO'!A448</f>
        <v>46058</v>
      </c>
      <c r="B448" s="8">
        <f>+'CMG-PDO'!B448</f>
        <v>8.3124999999999627</v>
      </c>
    </row>
    <row r="449" spans="1:2" x14ac:dyDescent="0.3">
      <c r="A449" s="2">
        <f>+'CMG-PDO'!A449</f>
        <v>46058</v>
      </c>
      <c r="B449" s="8">
        <f>+'CMG-PDO'!B449</f>
        <v>8.3333333333332966</v>
      </c>
    </row>
    <row r="450" spans="1:2" x14ac:dyDescent="0.3">
      <c r="A450" s="2">
        <f>+'CMG-PDO'!A450</f>
        <v>46058</v>
      </c>
      <c r="B450" s="8">
        <f>+'CMG-PDO'!B450</f>
        <v>8.3541666666666305</v>
      </c>
    </row>
    <row r="451" spans="1:2" x14ac:dyDescent="0.3">
      <c r="A451" s="2">
        <f>+'CMG-PDO'!A451</f>
        <v>46058</v>
      </c>
      <c r="B451" s="8">
        <f>+'CMG-PDO'!B451</f>
        <v>8.3749999999999645</v>
      </c>
    </row>
    <row r="452" spans="1:2" x14ac:dyDescent="0.3">
      <c r="A452" s="2">
        <f>+'CMG-PDO'!A452</f>
        <v>46058</v>
      </c>
      <c r="B452" s="8">
        <f>+'CMG-PDO'!B452</f>
        <v>8.3958333333332984</v>
      </c>
    </row>
    <row r="453" spans="1:2" x14ac:dyDescent="0.3">
      <c r="A453" s="2">
        <f>+'CMG-PDO'!A453</f>
        <v>46058</v>
      </c>
      <c r="B453" s="8">
        <f>+'CMG-PDO'!B453</f>
        <v>8.4166666666666323</v>
      </c>
    </row>
    <row r="454" spans="1:2" x14ac:dyDescent="0.3">
      <c r="A454" s="2">
        <f>+'CMG-PDO'!A454</f>
        <v>46058</v>
      </c>
      <c r="B454" s="8">
        <f>+'CMG-PDO'!B454</f>
        <v>8.4374999999999662</v>
      </c>
    </row>
    <row r="455" spans="1:2" x14ac:dyDescent="0.3">
      <c r="A455" s="2">
        <f>+'CMG-PDO'!A455</f>
        <v>46058</v>
      </c>
      <c r="B455" s="8">
        <f>+'CMG-PDO'!B455</f>
        <v>8.4583333333333002</v>
      </c>
    </row>
    <row r="456" spans="1:2" x14ac:dyDescent="0.3">
      <c r="A456" s="2">
        <f>+'CMG-PDO'!A456</f>
        <v>46058</v>
      </c>
      <c r="B456" s="8">
        <f>+'CMG-PDO'!B456</f>
        <v>8.4791666666666341</v>
      </c>
    </row>
    <row r="457" spans="1:2" x14ac:dyDescent="0.3">
      <c r="A457" s="2">
        <f>+'CMG-PDO'!A457</f>
        <v>46058</v>
      </c>
      <c r="B457" s="8">
        <f>+'CMG-PDO'!B457</f>
        <v>8.499999999999968</v>
      </c>
    </row>
    <row r="458" spans="1:2" x14ac:dyDescent="0.3">
      <c r="A458" s="2">
        <f>+'CMG-PDO'!A458</f>
        <v>46058</v>
      </c>
      <c r="B458" s="8">
        <f>+'CMG-PDO'!B458</f>
        <v>8.520833333333302</v>
      </c>
    </row>
    <row r="459" spans="1:2" x14ac:dyDescent="0.3">
      <c r="A459" s="2">
        <f>+'CMG-PDO'!A459</f>
        <v>46058</v>
      </c>
      <c r="B459" s="8">
        <f>+'CMG-PDO'!B459</f>
        <v>8.5416666666666359</v>
      </c>
    </row>
    <row r="460" spans="1:2" x14ac:dyDescent="0.3">
      <c r="A460" s="2">
        <f>+'CMG-PDO'!A460</f>
        <v>46058</v>
      </c>
      <c r="B460" s="8">
        <f>+'CMG-PDO'!B460</f>
        <v>8.5624999999999698</v>
      </c>
    </row>
    <row r="461" spans="1:2" x14ac:dyDescent="0.3">
      <c r="A461" s="2">
        <f>+'CMG-PDO'!A461</f>
        <v>46058</v>
      </c>
      <c r="B461" s="8">
        <f>+'CMG-PDO'!B461</f>
        <v>8.5833333333333037</v>
      </c>
    </row>
    <row r="462" spans="1:2" x14ac:dyDescent="0.3">
      <c r="A462" s="2">
        <f>+'CMG-PDO'!A462</f>
        <v>46058</v>
      </c>
      <c r="B462" s="8">
        <f>+'CMG-PDO'!B462</f>
        <v>8.6041666666666377</v>
      </c>
    </row>
    <row r="463" spans="1:2" x14ac:dyDescent="0.3">
      <c r="A463" s="2">
        <f>+'CMG-PDO'!A463</f>
        <v>46058</v>
      </c>
      <c r="B463" s="8">
        <f>+'CMG-PDO'!B463</f>
        <v>8.6249999999999716</v>
      </c>
    </row>
    <row r="464" spans="1:2" x14ac:dyDescent="0.3">
      <c r="A464" s="2">
        <f>+'CMG-PDO'!A464</f>
        <v>46058</v>
      </c>
      <c r="B464" s="8">
        <f>+'CMG-PDO'!B464</f>
        <v>8.6458333333333055</v>
      </c>
    </row>
    <row r="465" spans="1:2" x14ac:dyDescent="0.3">
      <c r="A465" s="2">
        <f>+'CMG-PDO'!A465</f>
        <v>46058</v>
      </c>
      <c r="B465" s="8">
        <f>+'CMG-PDO'!B465</f>
        <v>8.6666666666666394</v>
      </c>
    </row>
    <row r="466" spans="1:2" x14ac:dyDescent="0.3">
      <c r="A466" s="2">
        <f>+'CMG-PDO'!A466</f>
        <v>46058</v>
      </c>
      <c r="B466" s="8">
        <f>+'CMG-PDO'!B466</f>
        <v>8.6874999999999734</v>
      </c>
    </row>
    <row r="467" spans="1:2" x14ac:dyDescent="0.3">
      <c r="A467" s="2">
        <f>+'CMG-PDO'!A467</f>
        <v>46058</v>
      </c>
      <c r="B467" s="8">
        <f>+'CMG-PDO'!B467</f>
        <v>8.7083333333333073</v>
      </c>
    </row>
    <row r="468" spans="1:2" x14ac:dyDescent="0.3">
      <c r="A468" s="2">
        <f>+'CMG-PDO'!A468</f>
        <v>46058</v>
      </c>
      <c r="B468" s="8">
        <f>+'CMG-PDO'!B468</f>
        <v>8.7291666666666412</v>
      </c>
    </row>
    <row r="469" spans="1:2" x14ac:dyDescent="0.3">
      <c r="A469" s="2">
        <f>+'CMG-PDO'!A469</f>
        <v>46058</v>
      </c>
      <c r="B469" s="8">
        <f>+'CMG-PDO'!B469</f>
        <v>8.7499999999999751</v>
      </c>
    </row>
    <row r="470" spans="1:2" x14ac:dyDescent="0.3">
      <c r="A470" s="2">
        <f>+'CMG-PDO'!A470</f>
        <v>46058</v>
      </c>
      <c r="B470" s="8">
        <f>+'CMG-PDO'!B470</f>
        <v>8.7708333333333091</v>
      </c>
    </row>
    <row r="471" spans="1:2" x14ac:dyDescent="0.3">
      <c r="A471" s="2">
        <f>+'CMG-PDO'!A471</f>
        <v>46058</v>
      </c>
      <c r="B471" s="8">
        <f>+'CMG-PDO'!B471</f>
        <v>8.791666666666643</v>
      </c>
    </row>
    <row r="472" spans="1:2" x14ac:dyDescent="0.3">
      <c r="A472" s="2">
        <f>+'CMG-PDO'!A472</f>
        <v>46058</v>
      </c>
      <c r="B472" s="8">
        <f>+'CMG-PDO'!B472</f>
        <v>8.8124999999999769</v>
      </c>
    </row>
    <row r="473" spans="1:2" x14ac:dyDescent="0.3">
      <c r="A473" s="2">
        <f>+'CMG-PDO'!A473</f>
        <v>46058</v>
      </c>
      <c r="B473" s="8">
        <f>+'CMG-PDO'!B473</f>
        <v>8.8333333333333108</v>
      </c>
    </row>
    <row r="474" spans="1:2" x14ac:dyDescent="0.3">
      <c r="A474" s="2">
        <f>+'CMG-PDO'!A474</f>
        <v>46058</v>
      </c>
      <c r="B474" s="8">
        <f>+'CMG-PDO'!B474</f>
        <v>8.8541666666666448</v>
      </c>
    </row>
    <row r="475" spans="1:2" x14ac:dyDescent="0.3">
      <c r="A475" s="2">
        <f>+'CMG-PDO'!A475</f>
        <v>46058</v>
      </c>
      <c r="B475" s="8">
        <f>+'CMG-PDO'!B475</f>
        <v>8.8749999999999787</v>
      </c>
    </row>
    <row r="476" spans="1:2" x14ac:dyDescent="0.3">
      <c r="A476" s="2">
        <f>+'CMG-PDO'!A476</f>
        <v>46058</v>
      </c>
      <c r="B476" s="8">
        <f>+'CMG-PDO'!B476</f>
        <v>8.8958333333333126</v>
      </c>
    </row>
    <row r="477" spans="1:2" x14ac:dyDescent="0.3">
      <c r="A477" s="2">
        <f>+'CMG-PDO'!A477</f>
        <v>46058</v>
      </c>
      <c r="B477" s="8">
        <f>+'CMG-PDO'!B477</f>
        <v>8.9166666666666465</v>
      </c>
    </row>
    <row r="478" spans="1:2" x14ac:dyDescent="0.3">
      <c r="A478" s="2">
        <f>+'CMG-PDO'!A478</f>
        <v>46058</v>
      </c>
      <c r="B478" s="8">
        <f>+'CMG-PDO'!B478</f>
        <v>8.9374999999999805</v>
      </c>
    </row>
    <row r="479" spans="1:2" x14ac:dyDescent="0.3">
      <c r="A479" s="2">
        <f>+'CMG-PDO'!A479</f>
        <v>46058</v>
      </c>
      <c r="B479" s="8">
        <f>+'CMG-PDO'!B479</f>
        <v>8.9583333333333144</v>
      </c>
    </row>
    <row r="480" spans="1:2" x14ac:dyDescent="0.3">
      <c r="A480" s="2">
        <f>+'CMG-PDO'!A480</f>
        <v>46058</v>
      </c>
      <c r="B480" s="8">
        <f>+'CMG-PDO'!B480</f>
        <v>8.9791666666666483</v>
      </c>
    </row>
    <row r="481" spans="1:2" x14ac:dyDescent="0.3">
      <c r="A481" s="2">
        <f>+'CMG-PDO'!A481</f>
        <v>46058</v>
      </c>
      <c r="B481" s="8">
        <f>+'CMG-PDO'!B481</f>
        <v>8.9999999999999822</v>
      </c>
    </row>
    <row r="482" spans="1:2" x14ac:dyDescent="0.3">
      <c r="A482" s="2">
        <f>+'CMG-PDO'!A482</f>
        <v>46059</v>
      </c>
      <c r="B482" s="8">
        <f>+'CMG-PDO'!B482</f>
        <v>9.0208333333333162</v>
      </c>
    </row>
    <row r="483" spans="1:2" x14ac:dyDescent="0.3">
      <c r="A483" s="2">
        <f>+'CMG-PDO'!A483</f>
        <v>46059</v>
      </c>
      <c r="B483" s="8">
        <f>+'CMG-PDO'!B483</f>
        <v>9.0416666666666501</v>
      </c>
    </row>
    <row r="484" spans="1:2" x14ac:dyDescent="0.3">
      <c r="A484" s="2">
        <f>+'CMG-PDO'!A484</f>
        <v>46059</v>
      </c>
      <c r="B484" s="8">
        <f>+'CMG-PDO'!B484</f>
        <v>9.062499999999984</v>
      </c>
    </row>
    <row r="485" spans="1:2" x14ac:dyDescent="0.3">
      <c r="A485" s="2">
        <f>+'CMG-PDO'!A485</f>
        <v>46059</v>
      </c>
      <c r="B485" s="8">
        <f>+'CMG-PDO'!B485</f>
        <v>9.0833333333333179</v>
      </c>
    </row>
    <row r="486" spans="1:2" x14ac:dyDescent="0.3">
      <c r="A486" s="2">
        <f>+'CMG-PDO'!A486</f>
        <v>46059</v>
      </c>
      <c r="B486" s="8">
        <f>+'CMG-PDO'!B486</f>
        <v>9.1041666666666519</v>
      </c>
    </row>
    <row r="487" spans="1:2" x14ac:dyDescent="0.3">
      <c r="A487" s="2">
        <f>+'CMG-PDO'!A487</f>
        <v>46059</v>
      </c>
      <c r="B487" s="8">
        <f>+'CMG-PDO'!B487</f>
        <v>9.1249999999999858</v>
      </c>
    </row>
    <row r="488" spans="1:2" x14ac:dyDescent="0.3">
      <c r="A488" s="2">
        <f>+'CMG-PDO'!A488</f>
        <v>46059</v>
      </c>
      <c r="B488" s="8">
        <f>+'CMG-PDO'!B488</f>
        <v>9.1458333333333197</v>
      </c>
    </row>
    <row r="489" spans="1:2" x14ac:dyDescent="0.3">
      <c r="A489" s="2">
        <f>+'CMG-PDO'!A489</f>
        <v>46059</v>
      </c>
      <c r="B489" s="8">
        <f>+'CMG-PDO'!B489</f>
        <v>9.1666666666666536</v>
      </c>
    </row>
    <row r="490" spans="1:2" x14ac:dyDescent="0.3">
      <c r="A490" s="2">
        <f>+'CMG-PDO'!A490</f>
        <v>46059</v>
      </c>
      <c r="B490" s="8">
        <f>+'CMG-PDO'!B490</f>
        <v>9.1874999999999876</v>
      </c>
    </row>
    <row r="491" spans="1:2" x14ac:dyDescent="0.3">
      <c r="A491" s="2">
        <f>+'CMG-PDO'!A491</f>
        <v>46059</v>
      </c>
      <c r="B491" s="8">
        <f>+'CMG-PDO'!B491</f>
        <v>9.2083333333333215</v>
      </c>
    </row>
    <row r="492" spans="1:2" x14ac:dyDescent="0.3">
      <c r="A492" s="2">
        <f>+'CMG-PDO'!A492</f>
        <v>46059</v>
      </c>
      <c r="B492" s="8">
        <f>+'CMG-PDO'!B492</f>
        <v>9.2291666666666554</v>
      </c>
    </row>
    <row r="493" spans="1:2" x14ac:dyDescent="0.3">
      <c r="A493" s="2">
        <f>+'CMG-PDO'!A493</f>
        <v>46059</v>
      </c>
      <c r="B493" s="8">
        <f>+'CMG-PDO'!B493</f>
        <v>9.2499999999999893</v>
      </c>
    </row>
    <row r="494" spans="1:2" x14ac:dyDescent="0.3">
      <c r="A494" s="2">
        <f>+'CMG-PDO'!A494</f>
        <v>46059</v>
      </c>
      <c r="B494" s="8">
        <f>+'CMG-PDO'!B494</f>
        <v>9.2708333333333233</v>
      </c>
    </row>
    <row r="495" spans="1:2" x14ac:dyDescent="0.3">
      <c r="A495" s="2">
        <f>+'CMG-PDO'!A495</f>
        <v>46059</v>
      </c>
      <c r="B495" s="8">
        <f>+'CMG-PDO'!B495</f>
        <v>9.2916666666666572</v>
      </c>
    </row>
    <row r="496" spans="1:2" x14ac:dyDescent="0.3">
      <c r="A496" s="2">
        <f>+'CMG-PDO'!A496</f>
        <v>46059</v>
      </c>
      <c r="B496" s="8">
        <f>+'CMG-PDO'!B496</f>
        <v>9.3124999999999911</v>
      </c>
    </row>
    <row r="497" spans="1:2" x14ac:dyDescent="0.3">
      <c r="A497" s="2">
        <f>+'CMG-PDO'!A497</f>
        <v>46059</v>
      </c>
      <c r="B497" s="8">
        <f>+'CMG-PDO'!B497</f>
        <v>9.333333333333325</v>
      </c>
    </row>
    <row r="498" spans="1:2" x14ac:dyDescent="0.3">
      <c r="A498" s="2">
        <f>+'CMG-PDO'!A498</f>
        <v>46059</v>
      </c>
      <c r="B498" s="8">
        <f>+'CMG-PDO'!B498</f>
        <v>9.354166666666659</v>
      </c>
    </row>
    <row r="499" spans="1:2" x14ac:dyDescent="0.3">
      <c r="A499" s="2">
        <f>+'CMG-PDO'!A499</f>
        <v>46059</v>
      </c>
      <c r="B499" s="8">
        <f>+'CMG-PDO'!B499</f>
        <v>9.3749999999999929</v>
      </c>
    </row>
    <row r="500" spans="1:2" x14ac:dyDescent="0.3">
      <c r="A500" s="2">
        <f>+'CMG-PDO'!A500</f>
        <v>46059</v>
      </c>
      <c r="B500" s="8">
        <f>+'CMG-PDO'!B500</f>
        <v>9.3958333333333268</v>
      </c>
    </row>
    <row r="501" spans="1:2" x14ac:dyDescent="0.3">
      <c r="A501" s="2">
        <f>+'CMG-PDO'!A501</f>
        <v>46059</v>
      </c>
      <c r="B501" s="8">
        <f>+'CMG-PDO'!B501</f>
        <v>9.4166666666666607</v>
      </c>
    </row>
    <row r="502" spans="1:2" x14ac:dyDescent="0.3">
      <c r="A502" s="2">
        <f>+'CMG-PDO'!A502</f>
        <v>46059</v>
      </c>
      <c r="B502" s="8">
        <f>+'CMG-PDO'!B502</f>
        <v>9.4374999999999947</v>
      </c>
    </row>
    <row r="503" spans="1:2" x14ac:dyDescent="0.3">
      <c r="A503" s="2">
        <f>+'CMG-PDO'!A503</f>
        <v>46059</v>
      </c>
      <c r="B503" s="8">
        <f>+'CMG-PDO'!B503</f>
        <v>9.4583333333333286</v>
      </c>
    </row>
    <row r="504" spans="1:2" x14ac:dyDescent="0.3">
      <c r="A504" s="2">
        <f>+'CMG-PDO'!A504</f>
        <v>46059</v>
      </c>
      <c r="B504" s="8">
        <f>+'CMG-PDO'!B504</f>
        <v>9.4791666666666625</v>
      </c>
    </row>
    <row r="505" spans="1:2" x14ac:dyDescent="0.3">
      <c r="A505" s="2">
        <f>+'CMG-PDO'!A505</f>
        <v>46059</v>
      </c>
      <c r="B505" s="8">
        <f>+'CMG-PDO'!B505</f>
        <v>9.4999999999999964</v>
      </c>
    </row>
    <row r="506" spans="1:2" x14ac:dyDescent="0.3">
      <c r="A506" s="2">
        <f>+'CMG-PDO'!A506</f>
        <v>46059</v>
      </c>
      <c r="B506" s="8">
        <f>+'CMG-PDO'!B506</f>
        <v>9.5208333333333304</v>
      </c>
    </row>
    <row r="507" spans="1:2" x14ac:dyDescent="0.3">
      <c r="A507" s="2">
        <f>+'CMG-PDO'!A507</f>
        <v>46059</v>
      </c>
      <c r="B507" s="8">
        <f>+'CMG-PDO'!B507</f>
        <v>9.5416666666666643</v>
      </c>
    </row>
    <row r="508" spans="1:2" x14ac:dyDescent="0.3">
      <c r="A508" s="2">
        <f>+'CMG-PDO'!A508</f>
        <v>46059</v>
      </c>
      <c r="B508" s="8">
        <f>+'CMG-PDO'!B508</f>
        <v>9.5624999999999982</v>
      </c>
    </row>
    <row r="509" spans="1:2" x14ac:dyDescent="0.3">
      <c r="A509" s="2">
        <f>+'CMG-PDO'!A509</f>
        <v>46059</v>
      </c>
      <c r="B509" s="8">
        <f>+'CMG-PDO'!B509</f>
        <v>9.5833333333333321</v>
      </c>
    </row>
    <row r="510" spans="1:2" x14ac:dyDescent="0.3">
      <c r="A510" s="2">
        <f>+'CMG-PDO'!A510</f>
        <v>46059</v>
      </c>
      <c r="B510" s="8">
        <f>+'CMG-PDO'!B510</f>
        <v>9.6041666666666661</v>
      </c>
    </row>
    <row r="511" spans="1:2" x14ac:dyDescent="0.3">
      <c r="A511" s="2">
        <f>+'CMG-PDO'!A511</f>
        <v>46059</v>
      </c>
      <c r="B511" s="8">
        <f>+'CMG-PDO'!B511</f>
        <v>9.625</v>
      </c>
    </row>
    <row r="512" spans="1:2" x14ac:dyDescent="0.3">
      <c r="A512" s="2">
        <f>+'CMG-PDO'!A512</f>
        <v>46059</v>
      </c>
      <c r="B512" s="8">
        <f>+'CMG-PDO'!B512</f>
        <v>9.6458333333333339</v>
      </c>
    </row>
    <row r="513" spans="1:2" x14ac:dyDescent="0.3">
      <c r="A513" s="2">
        <f>+'CMG-PDO'!A513</f>
        <v>46059</v>
      </c>
      <c r="B513" s="8">
        <f>+'CMG-PDO'!B513</f>
        <v>9.6666666666666679</v>
      </c>
    </row>
    <row r="514" spans="1:2" x14ac:dyDescent="0.3">
      <c r="A514" s="2">
        <f>+'CMG-PDO'!A514</f>
        <v>46059</v>
      </c>
      <c r="B514" s="8">
        <f>+'CMG-PDO'!B514</f>
        <v>9.6875000000000018</v>
      </c>
    </row>
    <row r="515" spans="1:2" x14ac:dyDescent="0.3">
      <c r="A515" s="2">
        <f>+'CMG-PDO'!A515</f>
        <v>46059</v>
      </c>
      <c r="B515" s="8">
        <f>+'CMG-PDO'!B515</f>
        <v>9.7083333333333357</v>
      </c>
    </row>
    <row r="516" spans="1:2" x14ac:dyDescent="0.3">
      <c r="A516" s="2">
        <f>+'CMG-PDO'!A516</f>
        <v>46059</v>
      </c>
      <c r="B516" s="8">
        <f>+'CMG-PDO'!B516</f>
        <v>9.7291666666666696</v>
      </c>
    </row>
    <row r="517" spans="1:2" x14ac:dyDescent="0.3">
      <c r="A517" s="2">
        <f>+'CMG-PDO'!A517</f>
        <v>46059</v>
      </c>
      <c r="B517" s="8">
        <f>+'CMG-PDO'!B517</f>
        <v>9.7500000000000036</v>
      </c>
    </row>
    <row r="518" spans="1:2" x14ac:dyDescent="0.3">
      <c r="A518" s="2">
        <f>+'CMG-PDO'!A518</f>
        <v>46059</v>
      </c>
      <c r="B518" s="8">
        <f>+'CMG-PDO'!B518</f>
        <v>9.7708333333333375</v>
      </c>
    </row>
    <row r="519" spans="1:2" x14ac:dyDescent="0.3">
      <c r="A519" s="2">
        <f>+'CMG-PDO'!A519</f>
        <v>46059</v>
      </c>
      <c r="B519" s="8">
        <f>+'CMG-PDO'!B519</f>
        <v>9.7916666666666714</v>
      </c>
    </row>
    <row r="520" spans="1:2" x14ac:dyDescent="0.3">
      <c r="A520" s="2">
        <f>+'CMG-PDO'!A520</f>
        <v>46059</v>
      </c>
      <c r="B520" s="8">
        <f>+'CMG-PDO'!B520</f>
        <v>9.8125000000000053</v>
      </c>
    </row>
    <row r="521" spans="1:2" x14ac:dyDescent="0.3">
      <c r="A521" s="2">
        <f>+'CMG-PDO'!A521</f>
        <v>46059</v>
      </c>
      <c r="B521" s="8">
        <f>+'CMG-PDO'!B521</f>
        <v>9.8333333333333393</v>
      </c>
    </row>
    <row r="522" spans="1:2" x14ac:dyDescent="0.3">
      <c r="A522" s="2">
        <f>+'CMG-PDO'!A522</f>
        <v>46059</v>
      </c>
      <c r="B522" s="8">
        <f>+'CMG-PDO'!B522</f>
        <v>9.8541666666666732</v>
      </c>
    </row>
    <row r="523" spans="1:2" x14ac:dyDescent="0.3">
      <c r="A523" s="2">
        <f>+'CMG-PDO'!A523</f>
        <v>46059</v>
      </c>
      <c r="B523" s="8">
        <f>+'CMG-PDO'!B523</f>
        <v>9.8750000000000071</v>
      </c>
    </row>
    <row r="524" spans="1:2" x14ac:dyDescent="0.3">
      <c r="A524" s="2">
        <f>+'CMG-PDO'!A524</f>
        <v>46059</v>
      </c>
      <c r="B524" s="8">
        <f>+'CMG-PDO'!B524</f>
        <v>9.895833333333341</v>
      </c>
    </row>
    <row r="525" spans="1:2" x14ac:dyDescent="0.3">
      <c r="A525" s="2">
        <f>+'CMG-PDO'!A525</f>
        <v>46059</v>
      </c>
      <c r="B525" s="8">
        <f>+'CMG-PDO'!B525</f>
        <v>9.916666666666675</v>
      </c>
    </row>
    <row r="526" spans="1:2" x14ac:dyDescent="0.3">
      <c r="A526" s="2">
        <f>+'CMG-PDO'!A526</f>
        <v>46059</v>
      </c>
      <c r="B526" s="8">
        <f>+'CMG-PDO'!B526</f>
        <v>9.9375000000000089</v>
      </c>
    </row>
    <row r="527" spans="1:2" x14ac:dyDescent="0.3">
      <c r="A527" s="2">
        <f>+'CMG-PDO'!A527</f>
        <v>46059</v>
      </c>
      <c r="B527" s="8">
        <f>+'CMG-PDO'!B527</f>
        <v>9.9583333333333428</v>
      </c>
    </row>
    <row r="528" spans="1:2" x14ac:dyDescent="0.3">
      <c r="A528" s="2">
        <f>+'CMG-PDO'!A528</f>
        <v>46059</v>
      </c>
      <c r="B528" s="8">
        <f>+'CMG-PDO'!B528</f>
        <v>9.9791666666666767</v>
      </c>
    </row>
    <row r="529" spans="1:2" x14ac:dyDescent="0.3">
      <c r="A529" s="2">
        <f>+'CMG-PDO'!A529</f>
        <v>46059</v>
      </c>
      <c r="B529" s="8">
        <f>+'CMG-PDO'!B529</f>
        <v>10.000000000000011</v>
      </c>
    </row>
    <row r="530" spans="1:2" x14ac:dyDescent="0.3">
      <c r="A530" s="2">
        <f>+'CMG-PDO'!A530</f>
        <v>46060</v>
      </c>
      <c r="B530" s="8">
        <f>+'CMG-PDO'!B530</f>
        <v>10.020833333333345</v>
      </c>
    </row>
    <row r="531" spans="1:2" x14ac:dyDescent="0.3">
      <c r="A531" s="2">
        <f>+'CMG-PDO'!A531</f>
        <v>46060</v>
      </c>
      <c r="B531" s="8">
        <f>+'CMG-PDO'!B531</f>
        <v>10.041666666666679</v>
      </c>
    </row>
    <row r="532" spans="1:2" x14ac:dyDescent="0.3">
      <c r="A532" s="2">
        <f>+'CMG-PDO'!A532</f>
        <v>46060</v>
      </c>
      <c r="B532" s="8">
        <f>+'CMG-PDO'!B532</f>
        <v>10.062500000000012</v>
      </c>
    </row>
    <row r="533" spans="1:2" x14ac:dyDescent="0.3">
      <c r="A533" s="2">
        <f>+'CMG-PDO'!A533</f>
        <v>46060</v>
      </c>
      <c r="B533" s="8">
        <f>+'CMG-PDO'!B533</f>
        <v>10.083333333333346</v>
      </c>
    </row>
    <row r="534" spans="1:2" x14ac:dyDescent="0.3">
      <c r="A534" s="2">
        <f>+'CMG-PDO'!A534</f>
        <v>46060</v>
      </c>
      <c r="B534" s="8">
        <f>+'CMG-PDO'!B534</f>
        <v>10.10416666666668</v>
      </c>
    </row>
    <row r="535" spans="1:2" x14ac:dyDescent="0.3">
      <c r="A535" s="2">
        <f>+'CMG-PDO'!A535</f>
        <v>46060</v>
      </c>
      <c r="B535" s="8">
        <f>+'CMG-PDO'!B535</f>
        <v>10.125000000000014</v>
      </c>
    </row>
    <row r="536" spans="1:2" x14ac:dyDescent="0.3">
      <c r="A536" s="2">
        <f>+'CMG-PDO'!A536</f>
        <v>46060</v>
      </c>
      <c r="B536" s="8">
        <f>+'CMG-PDO'!B536</f>
        <v>10.145833333333348</v>
      </c>
    </row>
    <row r="537" spans="1:2" x14ac:dyDescent="0.3">
      <c r="A537" s="2">
        <f>+'CMG-PDO'!A537</f>
        <v>46060</v>
      </c>
      <c r="B537" s="8">
        <f>+'CMG-PDO'!B537</f>
        <v>10.166666666666682</v>
      </c>
    </row>
    <row r="538" spans="1:2" x14ac:dyDescent="0.3">
      <c r="A538" s="2">
        <f>+'CMG-PDO'!A538</f>
        <v>46060</v>
      </c>
      <c r="B538" s="8">
        <f>+'CMG-PDO'!B538</f>
        <v>10.187500000000016</v>
      </c>
    </row>
    <row r="539" spans="1:2" x14ac:dyDescent="0.3">
      <c r="A539" s="2">
        <f>+'CMG-PDO'!A539</f>
        <v>46060</v>
      </c>
      <c r="B539" s="8">
        <f>+'CMG-PDO'!B539</f>
        <v>10.20833333333335</v>
      </c>
    </row>
    <row r="540" spans="1:2" x14ac:dyDescent="0.3">
      <c r="A540" s="2">
        <f>+'CMG-PDO'!A540</f>
        <v>46060</v>
      </c>
      <c r="B540" s="8">
        <f>+'CMG-PDO'!B540</f>
        <v>10.229166666666684</v>
      </c>
    </row>
    <row r="541" spans="1:2" x14ac:dyDescent="0.3">
      <c r="A541" s="2">
        <f>+'CMG-PDO'!A541</f>
        <v>46060</v>
      </c>
      <c r="B541" s="8">
        <f>+'CMG-PDO'!B541</f>
        <v>10.250000000000018</v>
      </c>
    </row>
    <row r="542" spans="1:2" x14ac:dyDescent="0.3">
      <c r="A542" s="2">
        <f>+'CMG-PDO'!A542</f>
        <v>46060</v>
      </c>
      <c r="B542" s="8">
        <f>+'CMG-PDO'!B542</f>
        <v>10.270833333333352</v>
      </c>
    </row>
    <row r="543" spans="1:2" x14ac:dyDescent="0.3">
      <c r="A543" s="2">
        <f>+'CMG-PDO'!A543</f>
        <v>46060</v>
      </c>
      <c r="B543" s="8">
        <f>+'CMG-PDO'!B543</f>
        <v>10.291666666666686</v>
      </c>
    </row>
    <row r="544" spans="1:2" x14ac:dyDescent="0.3">
      <c r="A544" s="2">
        <f>+'CMG-PDO'!A544</f>
        <v>46060</v>
      </c>
      <c r="B544" s="8">
        <f>+'CMG-PDO'!B544</f>
        <v>10.31250000000002</v>
      </c>
    </row>
    <row r="545" spans="1:2" x14ac:dyDescent="0.3">
      <c r="A545" s="2">
        <f>+'CMG-PDO'!A545</f>
        <v>46060</v>
      </c>
      <c r="B545" s="8">
        <f>+'CMG-PDO'!B545</f>
        <v>10.333333333333353</v>
      </c>
    </row>
    <row r="546" spans="1:2" x14ac:dyDescent="0.3">
      <c r="A546" s="2">
        <f>+'CMG-PDO'!A546</f>
        <v>46060</v>
      </c>
      <c r="B546" s="8">
        <f>+'CMG-PDO'!B546</f>
        <v>10.354166666666687</v>
      </c>
    </row>
    <row r="547" spans="1:2" x14ac:dyDescent="0.3">
      <c r="A547" s="2">
        <f>+'CMG-PDO'!A547</f>
        <v>46060</v>
      </c>
      <c r="B547" s="8">
        <f>+'CMG-PDO'!B547</f>
        <v>10.375000000000021</v>
      </c>
    </row>
    <row r="548" spans="1:2" x14ac:dyDescent="0.3">
      <c r="A548" s="2">
        <f>+'CMG-PDO'!A548</f>
        <v>46060</v>
      </c>
      <c r="B548" s="8">
        <f>+'CMG-PDO'!B548</f>
        <v>10.395833333333355</v>
      </c>
    </row>
    <row r="549" spans="1:2" x14ac:dyDescent="0.3">
      <c r="A549" s="2">
        <f>+'CMG-PDO'!A549</f>
        <v>46060</v>
      </c>
      <c r="B549" s="8">
        <f>+'CMG-PDO'!B549</f>
        <v>10.416666666666689</v>
      </c>
    </row>
    <row r="550" spans="1:2" x14ac:dyDescent="0.3">
      <c r="A550" s="2">
        <f>+'CMG-PDO'!A550</f>
        <v>46060</v>
      </c>
      <c r="B550" s="8">
        <f>+'CMG-PDO'!B550</f>
        <v>10.437500000000023</v>
      </c>
    </row>
    <row r="551" spans="1:2" x14ac:dyDescent="0.3">
      <c r="A551" s="2">
        <f>+'CMG-PDO'!A551</f>
        <v>46060</v>
      </c>
      <c r="B551" s="8">
        <f>+'CMG-PDO'!B551</f>
        <v>10.458333333333357</v>
      </c>
    </row>
    <row r="552" spans="1:2" x14ac:dyDescent="0.3">
      <c r="A552" s="2">
        <f>+'CMG-PDO'!A552</f>
        <v>46060</v>
      </c>
      <c r="B552" s="8">
        <f>+'CMG-PDO'!B552</f>
        <v>10.479166666666691</v>
      </c>
    </row>
    <row r="553" spans="1:2" x14ac:dyDescent="0.3">
      <c r="A553" s="2">
        <f>+'CMG-PDO'!A553</f>
        <v>46060</v>
      </c>
      <c r="B553" s="8">
        <f>+'CMG-PDO'!B553</f>
        <v>10.500000000000025</v>
      </c>
    </row>
    <row r="554" spans="1:2" x14ac:dyDescent="0.3">
      <c r="A554" s="2">
        <f>+'CMG-PDO'!A554</f>
        <v>46060</v>
      </c>
      <c r="B554" s="8">
        <f>+'CMG-PDO'!B554</f>
        <v>10.520833333333359</v>
      </c>
    </row>
    <row r="555" spans="1:2" x14ac:dyDescent="0.3">
      <c r="A555" s="2">
        <f>+'CMG-PDO'!A555</f>
        <v>46060</v>
      </c>
      <c r="B555" s="8">
        <f>+'CMG-PDO'!B555</f>
        <v>10.541666666666693</v>
      </c>
    </row>
    <row r="556" spans="1:2" x14ac:dyDescent="0.3">
      <c r="A556" s="2">
        <f>+'CMG-PDO'!A556</f>
        <v>46060</v>
      </c>
      <c r="B556" s="8">
        <f>+'CMG-PDO'!B556</f>
        <v>10.562500000000027</v>
      </c>
    </row>
    <row r="557" spans="1:2" x14ac:dyDescent="0.3">
      <c r="A557" s="2">
        <f>+'CMG-PDO'!A557</f>
        <v>46060</v>
      </c>
      <c r="B557" s="8">
        <f>+'CMG-PDO'!B557</f>
        <v>10.583333333333361</v>
      </c>
    </row>
    <row r="558" spans="1:2" x14ac:dyDescent="0.3">
      <c r="A558" s="2">
        <f>+'CMG-PDO'!A558</f>
        <v>46060</v>
      </c>
      <c r="B558" s="8">
        <f>+'CMG-PDO'!B558</f>
        <v>10.604166666666694</v>
      </c>
    </row>
    <row r="559" spans="1:2" x14ac:dyDescent="0.3">
      <c r="A559" s="2">
        <f>+'CMG-PDO'!A559</f>
        <v>46060</v>
      </c>
      <c r="B559" s="8">
        <f>+'CMG-PDO'!B559</f>
        <v>10.625000000000028</v>
      </c>
    </row>
    <row r="560" spans="1:2" x14ac:dyDescent="0.3">
      <c r="A560" s="2">
        <f>+'CMG-PDO'!A560</f>
        <v>46060</v>
      </c>
      <c r="B560" s="8">
        <f>+'CMG-PDO'!B560</f>
        <v>10.645833333333362</v>
      </c>
    </row>
    <row r="561" spans="1:2" x14ac:dyDescent="0.3">
      <c r="A561" s="2">
        <f>+'CMG-PDO'!A561</f>
        <v>46060</v>
      </c>
      <c r="B561" s="8">
        <f>+'CMG-PDO'!B561</f>
        <v>10.666666666666696</v>
      </c>
    </row>
    <row r="562" spans="1:2" x14ac:dyDescent="0.3">
      <c r="A562" s="2">
        <f>+'CMG-PDO'!A562</f>
        <v>46060</v>
      </c>
      <c r="B562" s="8">
        <f>+'CMG-PDO'!B562</f>
        <v>10.68750000000003</v>
      </c>
    </row>
    <row r="563" spans="1:2" x14ac:dyDescent="0.3">
      <c r="A563" s="2">
        <f>+'CMG-PDO'!A563</f>
        <v>46060</v>
      </c>
      <c r="B563" s="8">
        <f>+'CMG-PDO'!B563</f>
        <v>10.708333333333364</v>
      </c>
    </row>
    <row r="564" spans="1:2" x14ac:dyDescent="0.3">
      <c r="A564" s="2">
        <f>+'CMG-PDO'!A564</f>
        <v>46060</v>
      </c>
      <c r="B564" s="8">
        <f>+'CMG-PDO'!B564</f>
        <v>10.729166666666698</v>
      </c>
    </row>
    <row r="565" spans="1:2" x14ac:dyDescent="0.3">
      <c r="A565" s="2">
        <f>+'CMG-PDO'!A565</f>
        <v>46060</v>
      </c>
      <c r="B565" s="8">
        <f>+'CMG-PDO'!B565</f>
        <v>10.750000000000032</v>
      </c>
    </row>
    <row r="566" spans="1:2" x14ac:dyDescent="0.3">
      <c r="A566" s="2">
        <f>+'CMG-PDO'!A566</f>
        <v>46060</v>
      </c>
      <c r="B566" s="8">
        <f>+'CMG-PDO'!B566</f>
        <v>10.770833333333366</v>
      </c>
    </row>
    <row r="567" spans="1:2" x14ac:dyDescent="0.3">
      <c r="A567" s="2">
        <f>+'CMG-PDO'!A567</f>
        <v>46060</v>
      </c>
      <c r="B567" s="8">
        <f>+'CMG-PDO'!B567</f>
        <v>10.7916666666667</v>
      </c>
    </row>
    <row r="568" spans="1:2" x14ac:dyDescent="0.3">
      <c r="A568" s="2">
        <f>+'CMG-PDO'!A568</f>
        <v>46060</v>
      </c>
      <c r="B568" s="8">
        <f>+'CMG-PDO'!B568</f>
        <v>10.812500000000034</v>
      </c>
    </row>
    <row r="569" spans="1:2" x14ac:dyDescent="0.3">
      <c r="A569" s="2">
        <f>+'CMG-PDO'!A569</f>
        <v>46060</v>
      </c>
      <c r="B569" s="8">
        <f>+'CMG-PDO'!B569</f>
        <v>10.833333333333368</v>
      </c>
    </row>
    <row r="570" spans="1:2" x14ac:dyDescent="0.3">
      <c r="A570" s="2">
        <f>+'CMG-PDO'!A570</f>
        <v>46060</v>
      </c>
      <c r="B570" s="8">
        <f>+'CMG-PDO'!B570</f>
        <v>10.854166666666702</v>
      </c>
    </row>
    <row r="571" spans="1:2" x14ac:dyDescent="0.3">
      <c r="A571" s="2">
        <f>+'CMG-PDO'!A571</f>
        <v>46060</v>
      </c>
      <c r="B571" s="8">
        <f>+'CMG-PDO'!B571</f>
        <v>10.875000000000036</v>
      </c>
    </row>
    <row r="572" spans="1:2" x14ac:dyDescent="0.3">
      <c r="A572" s="2">
        <f>+'CMG-PDO'!A572</f>
        <v>46060</v>
      </c>
      <c r="B572" s="8">
        <f>+'CMG-PDO'!B572</f>
        <v>10.895833333333369</v>
      </c>
    </row>
    <row r="573" spans="1:2" x14ac:dyDescent="0.3">
      <c r="A573" s="2">
        <f>+'CMG-PDO'!A573</f>
        <v>46060</v>
      </c>
      <c r="B573" s="8">
        <f>+'CMG-PDO'!B573</f>
        <v>10.916666666666703</v>
      </c>
    </row>
    <row r="574" spans="1:2" x14ac:dyDescent="0.3">
      <c r="A574" s="2">
        <f>+'CMG-PDO'!A574</f>
        <v>46060</v>
      </c>
      <c r="B574" s="8">
        <f>+'CMG-PDO'!B574</f>
        <v>10.937500000000037</v>
      </c>
    </row>
    <row r="575" spans="1:2" x14ac:dyDescent="0.3">
      <c r="A575" s="2">
        <f>+'CMG-PDO'!A575</f>
        <v>46060</v>
      </c>
      <c r="B575" s="8">
        <f>+'CMG-PDO'!B575</f>
        <v>10.958333333333371</v>
      </c>
    </row>
    <row r="576" spans="1:2" x14ac:dyDescent="0.3">
      <c r="A576" s="2">
        <f>+'CMG-PDO'!A576</f>
        <v>46060</v>
      </c>
      <c r="B576" s="8">
        <f>+'CMG-PDO'!B576</f>
        <v>10.979166666666705</v>
      </c>
    </row>
    <row r="577" spans="1:2" x14ac:dyDescent="0.3">
      <c r="A577" s="2">
        <f>+'CMG-PDO'!A577</f>
        <v>46060</v>
      </c>
      <c r="B577" s="8">
        <f>+'CMG-PDO'!B577</f>
        <v>11.000000000000039</v>
      </c>
    </row>
    <row r="578" spans="1:2" x14ac:dyDescent="0.3">
      <c r="A578" s="2"/>
      <c r="B578" s="8"/>
    </row>
    <row r="579" spans="1:2" x14ac:dyDescent="0.3">
      <c r="A579" s="2"/>
      <c r="B579" s="8"/>
    </row>
    <row r="580" spans="1:2" x14ac:dyDescent="0.3">
      <c r="A580" s="2"/>
      <c r="B580" s="8"/>
    </row>
    <row r="581" spans="1:2" x14ac:dyDescent="0.3">
      <c r="A581" s="2"/>
      <c r="B581" s="8"/>
    </row>
    <row r="582" spans="1:2" x14ac:dyDescent="0.3">
      <c r="A582" s="2"/>
      <c r="B582" s="8"/>
    </row>
    <row r="583" spans="1:2" x14ac:dyDescent="0.3">
      <c r="A583" s="2"/>
      <c r="B583" s="8"/>
    </row>
    <row r="584" spans="1:2" x14ac:dyDescent="0.3">
      <c r="A584" s="2"/>
      <c r="B584" s="8"/>
    </row>
    <row r="585" spans="1:2" x14ac:dyDescent="0.3">
      <c r="A585" s="2"/>
      <c r="B585" s="8"/>
    </row>
    <row r="586" spans="1:2" x14ac:dyDescent="0.3">
      <c r="A586" s="2"/>
      <c r="B586" s="8"/>
    </row>
    <row r="587" spans="1:2" x14ac:dyDescent="0.3">
      <c r="A587" s="2"/>
      <c r="B587" s="8"/>
    </row>
    <row r="588" spans="1:2" x14ac:dyDescent="0.3">
      <c r="A588" s="2"/>
      <c r="B588" s="8"/>
    </row>
    <row r="589" spans="1:2" x14ac:dyDescent="0.3">
      <c r="A589" s="2"/>
      <c r="B589" s="8"/>
    </row>
    <row r="590" spans="1:2" x14ac:dyDescent="0.3">
      <c r="A590" s="2"/>
      <c r="B590" s="8"/>
    </row>
    <row r="591" spans="1:2" x14ac:dyDescent="0.3">
      <c r="A591" s="2"/>
      <c r="B591" s="8"/>
    </row>
    <row r="592" spans="1:2" x14ac:dyDescent="0.3">
      <c r="A592" s="2"/>
      <c r="B592" s="8"/>
    </row>
    <row r="593" spans="1:2" x14ac:dyDescent="0.3">
      <c r="A593" s="2"/>
      <c r="B593" s="8"/>
    </row>
    <row r="594" spans="1:2" x14ac:dyDescent="0.3">
      <c r="A594" s="2"/>
      <c r="B594" s="8"/>
    </row>
    <row r="595" spans="1:2" x14ac:dyDescent="0.3">
      <c r="A595" s="2"/>
      <c r="B595" s="8"/>
    </row>
    <row r="596" spans="1:2" x14ac:dyDescent="0.3">
      <c r="A596" s="2"/>
      <c r="B596" s="8"/>
    </row>
    <row r="597" spans="1:2" x14ac:dyDescent="0.3">
      <c r="A597" s="2"/>
      <c r="B597" s="8"/>
    </row>
    <row r="598" spans="1:2" x14ac:dyDescent="0.3">
      <c r="A598" s="2"/>
      <c r="B598" s="8"/>
    </row>
    <row r="599" spans="1:2" x14ac:dyDescent="0.3">
      <c r="A599" s="2"/>
      <c r="B599" s="8"/>
    </row>
    <row r="600" spans="1:2" x14ac:dyDescent="0.3">
      <c r="A600" s="2"/>
      <c r="B600" s="8"/>
    </row>
    <row r="601" spans="1:2" x14ac:dyDescent="0.3">
      <c r="A601" s="2"/>
      <c r="B601" s="8"/>
    </row>
    <row r="602" spans="1:2" x14ac:dyDescent="0.3">
      <c r="A602" s="2"/>
      <c r="B602" s="8"/>
    </row>
    <row r="603" spans="1:2" x14ac:dyDescent="0.3">
      <c r="A603" s="2"/>
      <c r="B603" s="8"/>
    </row>
    <row r="604" spans="1:2" x14ac:dyDescent="0.3">
      <c r="A604" s="2"/>
      <c r="B604" s="8"/>
    </row>
    <row r="605" spans="1:2" x14ac:dyDescent="0.3">
      <c r="A605" s="2"/>
      <c r="B605" s="8"/>
    </row>
    <row r="606" spans="1:2" x14ac:dyDescent="0.3">
      <c r="A606" s="2"/>
      <c r="B606" s="8"/>
    </row>
    <row r="607" spans="1:2" x14ac:dyDescent="0.3">
      <c r="A607" s="2"/>
      <c r="B607" s="8"/>
    </row>
    <row r="608" spans="1:2" x14ac:dyDescent="0.3">
      <c r="A608" s="2"/>
      <c r="B608" s="8"/>
    </row>
    <row r="609" spans="1:2" x14ac:dyDescent="0.3">
      <c r="A609" s="2"/>
      <c r="B609" s="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79099-3DE5-42D9-92B1-5C1A2C42995E}">
  <dimension ref="A1:F267"/>
  <sheetViews>
    <sheetView topLeftCell="A237" workbookViewId="0">
      <selection activeCell="A241" sqref="A241"/>
    </sheetView>
  </sheetViews>
  <sheetFormatPr baseColWidth="10" defaultRowHeight="16.5" x14ac:dyDescent="0.3"/>
  <cols>
    <col min="1" max="1" width="9.85546875" style="1" bestFit="1" customWidth="1"/>
    <col min="2" max="2" width="5.42578125" style="1" bestFit="1" customWidth="1"/>
    <col min="3" max="3" width="18.85546875" style="1" bestFit="1" customWidth="1"/>
    <col min="4" max="4" width="22.28515625" style="7" bestFit="1" customWidth="1"/>
    <col min="5" max="5" width="9.42578125" style="1" bestFit="1" customWidth="1"/>
    <col min="6" max="6" width="14" style="1" bestFit="1" customWidth="1"/>
    <col min="7" max="16384" width="11.42578125" style="1"/>
  </cols>
  <sheetData>
    <row r="1" spans="1:6" s="6" customFormat="1" x14ac:dyDescent="0.3">
      <c r="A1" s="6" t="s">
        <v>0</v>
      </c>
      <c r="B1" s="6" t="s">
        <v>1</v>
      </c>
      <c r="C1" s="6" t="s">
        <v>245</v>
      </c>
      <c r="D1" s="14" t="s">
        <v>246</v>
      </c>
    </row>
    <row r="2" spans="1:6" x14ac:dyDescent="0.3">
      <c r="A2" s="2">
        <v>46049</v>
      </c>
      <c r="B2" s="3">
        <v>0</v>
      </c>
      <c r="C2" s="5">
        <v>249.97</v>
      </c>
      <c r="D2" s="7">
        <v>257.97030789938469</v>
      </c>
      <c r="E2" s="5"/>
      <c r="F2" s="5"/>
    </row>
    <row r="3" spans="1:6" x14ac:dyDescent="0.3">
      <c r="A3" s="2">
        <v>46049</v>
      </c>
      <c r="B3" s="3">
        <v>4.1666666666666664E-2</v>
      </c>
      <c r="C3" s="5">
        <v>248.41</v>
      </c>
      <c r="D3" s="7">
        <v>258.69262492025939</v>
      </c>
      <c r="E3" s="5"/>
      <c r="F3" s="5"/>
    </row>
    <row r="4" spans="1:6" x14ac:dyDescent="0.3">
      <c r="A4" s="2">
        <v>46049</v>
      </c>
      <c r="B4" s="3">
        <v>8.3333333333333301E-2</v>
      </c>
      <c r="C4" s="5">
        <v>246.86</v>
      </c>
      <c r="D4" s="7">
        <v>259.55140010891432</v>
      </c>
      <c r="E4" s="5"/>
      <c r="F4" s="5"/>
    </row>
    <row r="5" spans="1:6" x14ac:dyDescent="0.3">
      <c r="A5" s="2">
        <v>46049</v>
      </c>
      <c r="B5" s="3">
        <v>0.125</v>
      </c>
      <c r="C5" s="5">
        <v>246.86</v>
      </c>
      <c r="D5" s="7">
        <v>258.92456397238482</v>
      </c>
      <c r="E5" s="5"/>
      <c r="F5" s="5"/>
    </row>
    <row r="6" spans="1:6" x14ac:dyDescent="0.3">
      <c r="A6" s="2">
        <v>46049</v>
      </c>
      <c r="B6" s="3">
        <v>0.16666666666666699</v>
      </c>
      <c r="C6" s="5">
        <v>246.86</v>
      </c>
      <c r="D6" s="7">
        <v>257.46609957042853</v>
      </c>
      <c r="E6" s="5"/>
      <c r="F6" s="5"/>
    </row>
    <row r="7" spans="1:6" x14ac:dyDescent="0.3">
      <c r="A7" s="2">
        <v>46049</v>
      </c>
      <c r="B7" s="3">
        <v>0.20833333333333301</v>
      </c>
      <c r="C7" s="5">
        <v>245.31</v>
      </c>
      <c r="D7" s="7">
        <v>252.90153111487399</v>
      </c>
      <c r="E7" s="5"/>
      <c r="F7" s="5"/>
    </row>
    <row r="8" spans="1:6" x14ac:dyDescent="0.3">
      <c r="A8" s="2">
        <v>46049</v>
      </c>
      <c r="B8" s="3">
        <v>0.25</v>
      </c>
      <c r="C8" s="5">
        <v>246.86</v>
      </c>
      <c r="D8" s="7">
        <v>249.09063543483009</v>
      </c>
      <c r="E8" s="5"/>
      <c r="F8" s="5"/>
    </row>
    <row r="9" spans="1:6" x14ac:dyDescent="0.3">
      <c r="A9" s="2">
        <v>46049</v>
      </c>
      <c r="B9" s="3">
        <v>0.29166666666666702</v>
      </c>
      <c r="C9" s="5">
        <v>246.86</v>
      </c>
      <c r="D9" s="7">
        <v>247.3502696908827</v>
      </c>
      <c r="E9" s="5"/>
      <c r="F9" s="5"/>
    </row>
    <row r="10" spans="1:6" x14ac:dyDescent="0.3">
      <c r="A10" s="2">
        <v>46049</v>
      </c>
      <c r="B10" s="3">
        <v>0.33333333333333298</v>
      </c>
      <c r="C10" s="5">
        <v>243.77</v>
      </c>
      <c r="D10" s="7">
        <v>249.53044444574741</v>
      </c>
      <c r="E10" s="5"/>
      <c r="F10" s="5"/>
    </row>
    <row r="11" spans="1:6" x14ac:dyDescent="0.3">
      <c r="A11" s="2">
        <v>46049</v>
      </c>
      <c r="B11" s="3">
        <v>0.375</v>
      </c>
      <c r="C11" s="5">
        <v>245.31</v>
      </c>
      <c r="D11" s="7">
        <v>250.7964703156876</v>
      </c>
      <c r="E11" s="5"/>
      <c r="F11" s="5"/>
    </row>
    <row r="12" spans="1:6" x14ac:dyDescent="0.3">
      <c r="A12" s="2">
        <v>46049</v>
      </c>
      <c r="B12" s="3">
        <v>0.41666666666666702</v>
      </c>
      <c r="C12" s="5">
        <v>248.41</v>
      </c>
      <c r="D12" s="7">
        <v>250.4419353593336</v>
      </c>
      <c r="E12" s="5"/>
      <c r="F12" s="5"/>
    </row>
    <row r="13" spans="1:6" x14ac:dyDescent="0.3">
      <c r="A13" s="2">
        <v>46049</v>
      </c>
      <c r="B13" s="3">
        <v>0.45833333333333298</v>
      </c>
      <c r="C13" s="5">
        <v>245.31</v>
      </c>
      <c r="D13" s="7">
        <v>249.1801564110352</v>
      </c>
      <c r="E13" s="5"/>
      <c r="F13" s="5"/>
    </row>
    <row r="14" spans="1:6" x14ac:dyDescent="0.3">
      <c r="A14" s="2">
        <v>46049</v>
      </c>
      <c r="B14" s="3">
        <v>0.5</v>
      </c>
      <c r="C14" s="5">
        <v>242.23</v>
      </c>
      <c r="D14" s="7">
        <v>248.25757090055799</v>
      </c>
      <c r="E14" s="5"/>
      <c r="F14" s="5"/>
    </row>
    <row r="15" spans="1:6" x14ac:dyDescent="0.3">
      <c r="A15" s="2">
        <v>46049</v>
      </c>
      <c r="B15" s="3">
        <v>0.54166666666666696</v>
      </c>
      <c r="C15" s="5">
        <v>242.23</v>
      </c>
      <c r="D15" s="7">
        <v>246.16271149608181</v>
      </c>
      <c r="E15" s="5"/>
      <c r="F15" s="5"/>
    </row>
    <row r="16" spans="1:6" x14ac:dyDescent="0.3">
      <c r="A16" s="2">
        <v>46049</v>
      </c>
      <c r="B16" s="3">
        <v>0.58333333333333304</v>
      </c>
      <c r="C16" s="5">
        <v>240.7</v>
      </c>
      <c r="D16" s="7">
        <v>241.39831481563061</v>
      </c>
      <c r="E16" s="5"/>
      <c r="F16" s="5"/>
    </row>
    <row r="17" spans="1:6" x14ac:dyDescent="0.3">
      <c r="A17" s="2">
        <v>46049</v>
      </c>
      <c r="B17" s="3">
        <v>0.625</v>
      </c>
      <c r="C17" s="5">
        <v>239.18</v>
      </c>
      <c r="D17" s="7">
        <v>239.97593347587011</v>
      </c>
      <c r="E17" s="5"/>
      <c r="F17" s="5"/>
    </row>
    <row r="18" spans="1:6" x14ac:dyDescent="0.3">
      <c r="A18" s="2">
        <v>46049</v>
      </c>
      <c r="B18" s="3">
        <v>0.66666666666666696</v>
      </c>
      <c r="C18" s="5">
        <v>237.66</v>
      </c>
      <c r="D18" s="7">
        <v>243.37724225896781</v>
      </c>
      <c r="E18" s="5"/>
      <c r="F18" s="5"/>
    </row>
    <row r="19" spans="1:6" x14ac:dyDescent="0.3">
      <c r="A19" s="2">
        <v>46049</v>
      </c>
      <c r="B19" s="3">
        <v>0.70833333333333304</v>
      </c>
      <c r="C19" s="5">
        <v>240.7</v>
      </c>
      <c r="D19" s="7">
        <v>247.28706789851671</v>
      </c>
      <c r="E19" s="5"/>
      <c r="F19" s="5"/>
    </row>
    <row r="20" spans="1:6" x14ac:dyDescent="0.3">
      <c r="A20" s="2">
        <v>46049</v>
      </c>
      <c r="B20" s="3">
        <v>0.75</v>
      </c>
      <c r="C20" s="5">
        <v>246.86</v>
      </c>
      <c r="D20" s="7">
        <v>248.68655176620149</v>
      </c>
      <c r="E20" s="5"/>
      <c r="F20" s="5"/>
    </row>
    <row r="21" spans="1:6" x14ac:dyDescent="0.3">
      <c r="A21" s="2">
        <v>46049</v>
      </c>
      <c r="B21" s="3">
        <v>0.79166666666666696</v>
      </c>
      <c r="C21" s="5">
        <v>246.86</v>
      </c>
      <c r="D21" s="7">
        <v>247.67041866232071</v>
      </c>
      <c r="E21" s="5"/>
      <c r="F21" s="5"/>
    </row>
    <row r="22" spans="1:6" x14ac:dyDescent="0.3">
      <c r="A22" s="2">
        <v>46049</v>
      </c>
      <c r="B22" s="3">
        <v>0.83333333333333304</v>
      </c>
      <c r="C22" s="5">
        <v>242.23</v>
      </c>
      <c r="D22" s="7">
        <v>245.85253492883919</v>
      </c>
      <c r="E22" s="5"/>
      <c r="F22" s="5"/>
    </row>
    <row r="23" spans="1:6" x14ac:dyDescent="0.3">
      <c r="A23" s="2">
        <v>46049</v>
      </c>
      <c r="B23" s="3">
        <v>0.875</v>
      </c>
      <c r="C23" s="5">
        <v>236.15</v>
      </c>
      <c r="D23" s="7">
        <v>242.16532334316841</v>
      </c>
      <c r="E23" s="5"/>
      <c r="F23" s="5"/>
    </row>
    <row r="24" spans="1:6" x14ac:dyDescent="0.3">
      <c r="A24" s="2">
        <v>46049</v>
      </c>
      <c r="B24" s="3">
        <v>0.91666666666666696</v>
      </c>
      <c r="C24" s="5">
        <v>231.64</v>
      </c>
      <c r="D24" s="7">
        <v>238.42144521083321</v>
      </c>
      <c r="E24" s="5"/>
      <c r="F24" s="5"/>
    </row>
    <row r="25" spans="1:6" x14ac:dyDescent="0.3">
      <c r="A25" s="2">
        <v>46049</v>
      </c>
      <c r="B25" s="3">
        <v>0.95833333333333304</v>
      </c>
      <c r="C25" s="5">
        <v>230.15</v>
      </c>
      <c r="D25" s="7">
        <v>236.0898107435423</v>
      </c>
      <c r="E25" s="5"/>
      <c r="F25" s="5"/>
    </row>
    <row r="26" spans="1:6" x14ac:dyDescent="0.3">
      <c r="A26" s="2">
        <f>+A2+1</f>
        <v>46050</v>
      </c>
      <c r="B26" s="3">
        <f>+B2</f>
        <v>0</v>
      </c>
      <c r="C26" s="5">
        <v>230.15</v>
      </c>
      <c r="D26" s="7">
        <v>237.53646740261951</v>
      </c>
      <c r="E26" s="5"/>
      <c r="F26" s="5"/>
    </row>
    <row r="27" spans="1:6" x14ac:dyDescent="0.3">
      <c r="A27" s="2">
        <f t="shared" ref="A27:A90" si="0">+A3+1</f>
        <v>46050</v>
      </c>
      <c r="B27" s="3">
        <f t="shared" ref="B27:B90" si="1">+B3</f>
        <v>4.1666666666666664E-2</v>
      </c>
      <c r="C27" s="5">
        <v>230.15</v>
      </c>
      <c r="D27" s="7">
        <v>238.5073497298163</v>
      </c>
      <c r="E27" s="5"/>
      <c r="F27" s="5"/>
    </row>
    <row r="28" spans="1:6" x14ac:dyDescent="0.3">
      <c r="A28" s="2">
        <f t="shared" si="0"/>
        <v>46050</v>
      </c>
      <c r="B28" s="3">
        <f t="shared" si="1"/>
        <v>8.3333333333333301E-2</v>
      </c>
      <c r="C28" s="5">
        <v>228.67</v>
      </c>
      <c r="D28" s="7">
        <v>235.92386499923811</v>
      </c>
      <c r="E28" s="5"/>
      <c r="F28" s="5"/>
    </row>
    <row r="29" spans="1:6" x14ac:dyDescent="0.3">
      <c r="A29" s="2">
        <f t="shared" si="0"/>
        <v>46050</v>
      </c>
      <c r="B29" s="3">
        <f t="shared" si="1"/>
        <v>0.125</v>
      </c>
      <c r="C29" s="5">
        <v>225.71</v>
      </c>
      <c r="D29" s="7">
        <v>232.8804506096894</v>
      </c>
      <c r="E29" s="5"/>
      <c r="F29" s="5"/>
    </row>
    <row r="30" spans="1:6" x14ac:dyDescent="0.3">
      <c r="A30" s="2">
        <f t="shared" si="0"/>
        <v>46050</v>
      </c>
      <c r="B30" s="3">
        <f t="shared" si="1"/>
        <v>0.16666666666666699</v>
      </c>
      <c r="C30" s="5">
        <v>221.33</v>
      </c>
      <c r="D30" s="7">
        <v>228.24429616484841</v>
      </c>
      <c r="E30" s="5"/>
      <c r="F30" s="5"/>
    </row>
    <row r="31" spans="1:6" x14ac:dyDescent="0.3">
      <c r="A31" s="2">
        <f t="shared" si="0"/>
        <v>46050</v>
      </c>
      <c r="B31" s="3">
        <f t="shared" si="1"/>
        <v>0.20833333333333301</v>
      </c>
      <c r="C31" s="5">
        <v>219.88</v>
      </c>
      <c r="D31" s="7">
        <v>224.0950261014797</v>
      </c>
      <c r="E31" s="5"/>
      <c r="F31" s="5"/>
    </row>
    <row r="32" spans="1:6" x14ac:dyDescent="0.3">
      <c r="A32" s="2">
        <f t="shared" si="0"/>
        <v>46050</v>
      </c>
      <c r="B32" s="3">
        <f t="shared" si="1"/>
        <v>0.25</v>
      </c>
      <c r="C32" s="5">
        <v>216.99</v>
      </c>
      <c r="D32" s="7">
        <v>221.8252377470404</v>
      </c>
      <c r="E32" s="5"/>
      <c r="F32" s="5"/>
    </row>
    <row r="33" spans="1:6" x14ac:dyDescent="0.3">
      <c r="A33" s="2">
        <f t="shared" si="0"/>
        <v>46050</v>
      </c>
      <c r="B33" s="3">
        <f t="shared" si="1"/>
        <v>0.29166666666666702</v>
      </c>
      <c r="C33" s="5">
        <v>216.99</v>
      </c>
      <c r="D33" s="7">
        <v>222.03894285959609</v>
      </c>
      <c r="E33" s="5"/>
      <c r="F33" s="5"/>
    </row>
    <row r="34" spans="1:6" x14ac:dyDescent="0.3">
      <c r="A34" s="2">
        <f t="shared" si="0"/>
        <v>46050</v>
      </c>
      <c r="B34" s="3">
        <f t="shared" si="1"/>
        <v>0.33333333333333298</v>
      </c>
      <c r="C34" s="5">
        <v>216.99</v>
      </c>
      <c r="D34" s="7">
        <v>225.02160217707799</v>
      </c>
      <c r="E34" s="5"/>
      <c r="F34" s="5"/>
    </row>
    <row r="35" spans="1:6" x14ac:dyDescent="0.3">
      <c r="A35" s="2">
        <f t="shared" si="0"/>
        <v>46050</v>
      </c>
      <c r="B35" s="3">
        <f t="shared" si="1"/>
        <v>0.375</v>
      </c>
      <c r="C35" s="5">
        <v>218.43</v>
      </c>
      <c r="D35" s="7">
        <v>224.98908673084469</v>
      </c>
      <c r="E35" s="5"/>
      <c r="F35" s="5"/>
    </row>
    <row r="36" spans="1:6" x14ac:dyDescent="0.3">
      <c r="A36" s="2">
        <f t="shared" si="0"/>
        <v>46050</v>
      </c>
      <c r="B36" s="3">
        <f t="shared" si="1"/>
        <v>0.41666666666666702</v>
      </c>
      <c r="C36" s="5">
        <v>219.88</v>
      </c>
      <c r="D36" s="7">
        <v>221.53962555624199</v>
      </c>
      <c r="E36" s="5"/>
      <c r="F36" s="5"/>
    </row>
    <row r="37" spans="1:6" x14ac:dyDescent="0.3">
      <c r="A37" s="2">
        <f t="shared" si="0"/>
        <v>46050</v>
      </c>
      <c r="B37" s="3">
        <f t="shared" si="1"/>
        <v>0.45833333333333298</v>
      </c>
      <c r="C37" s="5">
        <v>216.99</v>
      </c>
      <c r="D37" s="7">
        <v>218.87108184207011</v>
      </c>
      <c r="E37" s="5"/>
      <c r="F37" s="5"/>
    </row>
    <row r="38" spans="1:6" x14ac:dyDescent="0.3">
      <c r="A38" s="2">
        <f t="shared" si="0"/>
        <v>46050</v>
      </c>
      <c r="B38" s="3">
        <f t="shared" si="1"/>
        <v>0.5</v>
      </c>
      <c r="C38" s="5">
        <v>211.29</v>
      </c>
      <c r="D38" s="7">
        <v>215.26753051631971</v>
      </c>
      <c r="E38" s="5"/>
      <c r="F38" s="5"/>
    </row>
    <row r="39" spans="1:6" x14ac:dyDescent="0.3">
      <c r="A39" s="2">
        <f t="shared" si="0"/>
        <v>46050</v>
      </c>
      <c r="B39" s="3">
        <f t="shared" si="1"/>
        <v>0.54166666666666696</v>
      </c>
      <c r="C39" s="5">
        <v>205.67</v>
      </c>
      <c r="D39" s="7">
        <v>213.88886231623999</v>
      </c>
      <c r="E39" s="5"/>
      <c r="F39" s="5"/>
    </row>
    <row r="40" spans="1:6" x14ac:dyDescent="0.3">
      <c r="A40" s="2">
        <f t="shared" si="0"/>
        <v>46050</v>
      </c>
      <c r="B40" s="3">
        <f t="shared" si="1"/>
        <v>0.58333333333333304</v>
      </c>
      <c r="C40" s="5">
        <v>202.9</v>
      </c>
      <c r="D40" s="7">
        <v>214.08745263222781</v>
      </c>
      <c r="E40" s="5"/>
      <c r="F40" s="5"/>
    </row>
    <row r="41" spans="1:6" x14ac:dyDescent="0.3">
      <c r="A41" s="2">
        <f t="shared" si="0"/>
        <v>46050</v>
      </c>
      <c r="B41" s="3">
        <f t="shared" si="1"/>
        <v>0.625</v>
      </c>
      <c r="C41" s="5">
        <v>204.28</v>
      </c>
      <c r="D41" s="7">
        <v>213.84291791086051</v>
      </c>
      <c r="E41" s="5"/>
      <c r="F41" s="5"/>
    </row>
    <row r="42" spans="1:6" x14ac:dyDescent="0.3">
      <c r="A42" s="2">
        <f t="shared" si="0"/>
        <v>46050</v>
      </c>
      <c r="B42" s="3">
        <f t="shared" si="1"/>
        <v>0.66666666666666696</v>
      </c>
      <c r="C42" s="5">
        <v>207.07</v>
      </c>
      <c r="D42" s="7">
        <v>213.83974423738411</v>
      </c>
      <c r="E42" s="5"/>
      <c r="F42" s="5"/>
    </row>
    <row r="43" spans="1:6" x14ac:dyDescent="0.3">
      <c r="A43" s="2">
        <f t="shared" si="0"/>
        <v>46050</v>
      </c>
      <c r="B43" s="3">
        <f t="shared" si="1"/>
        <v>0.70833333333333304</v>
      </c>
      <c r="C43" s="5">
        <v>205.67</v>
      </c>
      <c r="D43" s="7">
        <v>212.82207690937869</v>
      </c>
      <c r="E43" s="5"/>
      <c r="F43" s="5"/>
    </row>
    <row r="44" spans="1:6" x14ac:dyDescent="0.3">
      <c r="A44" s="2">
        <f t="shared" si="0"/>
        <v>46050</v>
      </c>
      <c r="B44" s="3">
        <f t="shared" si="1"/>
        <v>0.75</v>
      </c>
      <c r="C44" s="5">
        <v>202.9</v>
      </c>
      <c r="D44" s="7">
        <v>209.73271582259221</v>
      </c>
      <c r="E44" s="5"/>
      <c r="F44" s="5"/>
    </row>
    <row r="45" spans="1:6" x14ac:dyDescent="0.3">
      <c r="A45" s="2">
        <f t="shared" si="0"/>
        <v>46050</v>
      </c>
      <c r="B45" s="3">
        <f t="shared" si="1"/>
        <v>0.79166666666666696</v>
      </c>
      <c r="C45" s="5">
        <v>201.52</v>
      </c>
      <c r="D45" s="7">
        <v>207.87746839284509</v>
      </c>
      <c r="E45" s="5"/>
      <c r="F45" s="5"/>
    </row>
    <row r="46" spans="1:6" x14ac:dyDescent="0.3">
      <c r="A46" s="2">
        <f t="shared" si="0"/>
        <v>46050</v>
      </c>
      <c r="B46" s="3">
        <f t="shared" si="1"/>
        <v>0.83333333333333304</v>
      </c>
      <c r="C46" s="5">
        <v>201.52</v>
      </c>
      <c r="D46" s="7">
        <v>206.22497168412721</v>
      </c>
      <c r="E46" s="5"/>
      <c r="F46" s="5"/>
    </row>
    <row r="47" spans="1:6" x14ac:dyDescent="0.3">
      <c r="A47" s="2">
        <f t="shared" si="0"/>
        <v>46050</v>
      </c>
      <c r="B47" s="3">
        <f t="shared" si="1"/>
        <v>0.875</v>
      </c>
      <c r="C47" s="5">
        <v>202.9</v>
      </c>
      <c r="D47" s="7">
        <v>205.0441156637807</v>
      </c>
      <c r="E47" s="5"/>
      <c r="F47" s="5"/>
    </row>
    <row r="48" spans="1:6" x14ac:dyDescent="0.3">
      <c r="A48" s="2">
        <f t="shared" si="0"/>
        <v>46050</v>
      </c>
      <c r="B48" s="3">
        <f t="shared" si="1"/>
        <v>0.91666666666666696</v>
      </c>
      <c r="C48" s="5">
        <v>204.28</v>
      </c>
      <c r="D48" s="7">
        <v>206.2990015887417</v>
      </c>
      <c r="E48" s="5"/>
      <c r="F48" s="5"/>
    </row>
    <row r="49" spans="1:6" x14ac:dyDescent="0.3">
      <c r="A49" s="2">
        <f t="shared" si="0"/>
        <v>46050</v>
      </c>
      <c r="B49" s="3">
        <f t="shared" si="1"/>
        <v>0.95833333333333304</v>
      </c>
      <c r="C49" s="5">
        <v>202.9</v>
      </c>
      <c r="D49" s="7">
        <v>206.211660399001</v>
      </c>
      <c r="E49" s="5"/>
      <c r="F49" s="5"/>
    </row>
    <row r="50" spans="1:6" x14ac:dyDescent="0.3">
      <c r="A50" s="2">
        <f t="shared" si="0"/>
        <v>46051</v>
      </c>
      <c r="B50" s="3">
        <f t="shared" si="1"/>
        <v>0</v>
      </c>
      <c r="C50" s="5">
        <v>200.15</v>
      </c>
      <c r="D50" s="7">
        <v>204.91776715668641</v>
      </c>
    </row>
    <row r="51" spans="1:6" x14ac:dyDescent="0.3">
      <c r="A51" s="2">
        <f t="shared" si="0"/>
        <v>46051</v>
      </c>
      <c r="B51" s="3">
        <f t="shared" si="1"/>
        <v>4.1666666666666664E-2</v>
      </c>
      <c r="C51" s="5">
        <v>202.9</v>
      </c>
      <c r="D51" s="7">
        <v>205.00267807656019</v>
      </c>
    </row>
    <row r="52" spans="1:6" x14ac:dyDescent="0.3">
      <c r="A52" s="2">
        <f t="shared" si="0"/>
        <v>46051</v>
      </c>
      <c r="B52" s="3">
        <f t="shared" si="1"/>
        <v>8.3333333333333301E-2</v>
      </c>
      <c r="C52" s="5">
        <v>204.28</v>
      </c>
      <c r="D52" s="7">
        <v>202.42290291501681</v>
      </c>
    </row>
    <row r="53" spans="1:6" x14ac:dyDescent="0.3">
      <c r="A53" s="2">
        <f t="shared" si="0"/>
        <v>46051</v>
      </c>
      <c r="B53" s="3">
        <f t="shared" si="1"/>
        <v>0.125</v>
      </c>
      <c r="C53" s="5">
        <v>205.67</v>
      </c>
      <c r="D53" s="7">
        <v>204.39011830341701</v>
      </c>
    </row>
    <row r="54" spans="1:6" x14ac:dyDescent="0.3">
      <c r="A54" s="2">
        <f t="shared" si="0"/>
        <v>46051</v>
      </c>
      <c r="B54" s="3">
        <f t="shared" si="1"/>
        <v>0.16666666666666699</v>
      </c>
      <c r="C54" s="5">
        <v>207.07</v>
      </c>
      <c r="D54" s="7">
        <v>206.79679357400059</v>
      </c>
    </row>
    <row r="55" spans="1:6" x14ac:dyDescent="0.3">
      <c r="A55" s="2">
        <f t="shared" si="0"/>
        <v>46051</v>
      </c>
      <c r="B55" s="3">
        <f t="shared" si="1"/>
        <v>0.20833333333333301</v>
      </c>
      <c r="C55" s="5">
        <v>207.07</v>
      </c>
      <c r="D55" s="7">
        <v>207.76473110764189</v>
      </c>
    </row>
    <row r="56" spans="1:6" x14ac:dyDescent="0.3">
      <c r="A56" s="2">
        <f t="shared" si="0"/>
        <v>46051</v>
      </c>
      <c r="B56" s="3">
        <f t="shared" si="1"/>
        <v>0.25</v>
      </c>
      <c r="C56" s="5">
        <v>207.07</v>
      </c>
      <c r="D56" s="7">
        <v>209.30886479916549</v>
      </c>
    </row>
    <row r="57" spans="1:6" x14ac:dyDescent="0.3">
      <c r="A57" s="2">
        <f t="shared" si="0"/>
        <v>46051</v>
      </c>
      <c r="B57" s="3">
        <f t="shared" si="1"/>
        <v>0.29166666666666702</v>
      </c>
      <c r="C57" s="5">
        <v>208.47</v>
      </c>
      <c r="D57" s="7">
        <v>212.3899028642054</v>
      </c>
    </row>
    <row r="58" spans="1:6" x14ac:dyDescent="0.3">
      <c r="A58" s="2">
        <f t="shared" si="0"/>
        <v>46051</v>
      </c>
      <c r="B58" s="3">
        <f t="shared" si="1"/>
        <v>0.33333333333333298</v>
      </c>
      <c r="C58" s="5">
        <v>211.29</v>
      </c>
      <c r="D58" s="7">
        <v>215.8735712156564</v>
      </c>
    </row>
    <row r="59" spans="1:6" x14ac:dyDescent="0.3">
      <c r="A59" s="2">
        <f t="shared" si="0"/>
        <v>46051</v>
      </c>
      <c r="B59" s="3">
        <f t="shared" si="1"/>
        <v>0.375</v>
      </c>
      <c r="C59" s="5">
        <v>212.71</v>
      </c>
      <c r="D59" s="7">
        <v>219.39410050436581</v>
      </c>
    </row>
    <row r="60" spans="1:6" x14ac:dyDescent="0.3">
      <c r="A60" s="2">
        <f t="shared" si="0"/>
        <v>46051</v>
      </c>
      <c r="B60" s="3">
        <f t="shared" si="1"/>
        <v>0.41666666666666702</v>
      </c>
      <c r="C60" s="5">
        <v>219.88</v>
      </c>
      <c r="D60" s="7">
        <v>217.42369812655451</v>
      </c>
    </row>
    <row r="61" spans="1:6" x14ac:dyDescent="0.3">
      <c r="A61" s="2">
        <f t="shared" si="0"/>
        <v>46051</v>
      </c>
      <c r="B61" s="3">
        <f t="shared" si="1"/>
        <v>0.45833333333333298</v>
      </c>
      <c r="C61" s="5">
        <v>221.33</v>
      </c>
      <c r="D61" s="7">
        <v>216.2232946139417</v>
      </c>
    </row>
    <row r="62" spans="1:6" x14ac:dyDescent="0.3">
      <c r="A62" s="2">
        <f t="shared" si="0"/>
        <v>46051</v>
      </c>
      <c r="B62" s="3">
        <f t="shared" si="1"/>
        <v>0.5</v>
      </c>
      <c r="C62" s="5">
        <v>219.88</v>
      </c>
      <c r="D62" s="7">
        <v>213.2285426514288</v>
      </c>
    </row>
    <row r="63" spans="1:6" x14ac:dyDescent="0.3">
      <c r="A63" s="2">
        <f t="shared" si="0"/>
        <v>46051</v>
      </c>
      <c r="B63" s="3">
        <f t="shared" si="1"/>
        <v>0.54166666666666696</v>
      </c>
      <c r="C63" s="5">
        <v>218.43</v>
      </c>
      <c r="D63" s="7">
        <v>210.28976085732521</v>
      </c>
    </row>
    <row r="64" spans="1:6" x14ac:dyDescent="0.3">
      <c r="A64" s="2">
        <f t="shared" si="0"/>
        <v>46051</v>
      </c>
      <c r="B64" s="3">
        <f t="shared" si="1"/>
        <v>0.58333333333333304</v>
      </c>
      <c r="C64" s="5">
        <v>215.56</v>
      </c>
      <c r="D64" s="7">
        <v>207.36224051528771</v>
      </c>
    </row>
    <row r="65" spans="1:4" x14ac:dyDescent="0.3">
      <c r="A65" s="2">
        <f t="shared" si="0"/>
        <v>46051</v>
      </c>
      <c r="B65" s="3">
        <f t="shared" si="1"/>
        <v>0.625</v>
      </c>
      <c r="C65" s="5">
        <v>214.13</v>
      </c>
      <c r="D65" s="7">
        <v>206.7815232524444</v>
      </c>
    </row>
    <row r="66" spans="1:4" x14ac:dyDescent="0.3">
      <c r="A66" s="2">
        <f t="shared" si="0"/>
        <v>46051</v>
      </c>
      <c r="B66" s="3">
        <f t="shared" si="1"/>
        <v>0.66666666666666696</v>
      </c>
      <c r="C66" s="5">
        <v>211.29</v>
      </c>
      <c r="D66" s="7">
        <v>208.42676781741091</v>
      </c>
    </row>
    <row r="67" spans="1:4" x14ac:dyDescent="0.3">
      <c r="A67" s="2">
        <f t="shared" si="0"/>
        <v>46051</v>
      </c>
      <c r="B67" s="3">
        <f t="shared" si="1"/>
        <v>0.70833333333333304</v>
      </c>
      <c r="C67" s="5">
        <v>211.29</v>
      </c>
      <c r="D67" s="7">
        <v>214.63541814009679</v>
      </c>
    </row>
    <row r="68" spans="1:4" x14ac:dyDescent="0.3">
      <c r="A68" s="2">
        <f t="shared" si="0"/>
        <v>46051</v>
      </c>
      <c r="B68" s="3">
        <f t="shared" si="1"/>
        <v>0.75</v>
      </c>
      <c r="C68" s="5">
        <v>211.29</v>
      </c>
      <c r="D68" s="7">
        <v>217.22454020617539</v>
      </c>
    </row>
    <row r="69" spans="1:4" x14ac:dyDescent="0.3">
      <c r="A69" s="2">
        <f t="shared" si="0"/>
        <v>46051</v>
      </c>
      <c r="B69" s="3">
        <f t="shared" si="1"/>
        <v>0.79166666666666696</v>
      </c>
      <c r="C69" s="5">
        <v>215.56</v>
      </c>
      <c r="D69" s="7">
        <v>217.19943229554451</v>
      </c>
    </row>
    <row r="70" spans="1:4" x14ac:dyDescent="0.3">
      <c r="A70" s="2">
        <f t="shared" si="0"/>
        <v>46051</v>
      </c>
      <c r="B70" s="3">
        <f t="shared" si="1"/>
        <v>0.83333333333333304</v>
      </c>
      <c r="C70" s="5">
        <v>216.99</v>
      </c>
      <c r="D70" s="7">
        <v>217.43827870746281</v>
      </c>
    </row>
    <row r="71" spans="1:4" x14ac:dyDescent="0.3">
      <c r="A71" s="2">
        <f t="shared" si="0"/>
        <v>46051</v>
      </c>
      <c r="B71" s="3">
        <f t="shared" si="1"/>
        <v>0.875</v>
      </c>
      <c r="C71" s="5">
        <v>216.99</v>
      </c>
      <c r="D71" s="7">
        <v>218.03562807425621</v>
      </c>
    </row>
    <row r="72" spans="1:4" x14ac:dyDescent="0.3">
      <c r="A72" s="2">
        <f t="shared" si="0"/>
        <v>46051</v>
      </c>
      <c r="B72" s="3">
        <f t="shared" si="1"/>
        <v>0.91666666666666696</v>
      </c>
      <c r="C72" s="5">
        <v>225.71</v>
      </c>
      <c r="D72" s="7">
        <v>218.45405700356699</v>
      </c>
    </row>
    <row r="73" spans="1:4" x14ac:dyDescent="0.3">
      <c r="A73" s="2">
        <f t="shared" si="0"/>
        <v>46051</v>
      </c>
      <c r="B73" s="3">
        <f t="shared" si="1"/>
        <v>0.95833333333333304</v>
      </c>
      <c r="C73" s="5">
        <v>225.71</v>
      </c>
      <c r="D73" s="7">
        <v>220.09777661810091</v>
      </c>
    </row>
    <row r="74" spans="1:4" x14ac:dyDescent="0.3">
      <c r="A74" s="2">
        <f t="shared" si="0"/>
        <v>46052</v>
      </c>
      <c r="B74" s="3">
        <f t="shared" si="1"/>
        <v>0</v>
      </c>
      <c r="C74" s="5">
        <v>224.25</v>
      </c>
      <c r="D74" s="7">
        <v>222.60110775014661</v>
      </c>
    </row>
    <row r="75" spans="1:4" x14ac:dyDescent="0.3">
      <c r="A75" s="2">
        <f t="shared" si="0"/>
        <v>46052</v>
      </c>
      <c r="B75" s="3">
        <f t="shared" si="1"/>
        <v>4.1666666666666664E-2</v>
      </c>
      <c r="C75" s="5">
        <v>227.19</v>
      </c>
      <c r="D75" s="7">
        <v>225.181477739955</v>
      </c>
    </row>
    <row r="76" spans="1:4" x14ac:dyDescent="0.3">
      <c r="A76" s="2">
        <f t="shared" si="0"/>
        <v>46052</v>
      </c>
      <c r="B76" s="3">
        <f t="shared" si="1"/>
        <v>8.3333333333333301E-2</v>
      </c>
      <c r="C76" s="5">
        <v>228.67</v>
      </c>
      <c r="D76" s="7">
        <v>224.0334805451256</v>
      </c>
    </row>
    <row r="77" spans="1:4" x14ac:dyDescent="0.3">
      <c r="A77" s="2">
        <f t="shared" si="0"/>
        <v>46052</v>
      </c>
      <c r="B77" s="3">
        <f t="shared" si="1"/>
        <v>0.125</v>
      </c>
      <c r="C77" s="5">
        <v>227.19</v>
      </c>
      <c r="D77" s="7">
        <v>223.40466148791319</v>
      </c>
    </row>
    <row r="78" spans="1:4" x14ac:dyDescent="0.3">
      <c r="A78" s="2">
        <f t="shared" si="0"/>
        <v>46052</v>
      </c>
      <c r="B78" s="3">
        <f t="shared" si="1"/>
        <v>0.16666666666666699</v>
      </c>
      <c r="C78" s="5">
        <v>227.19</v>
      </c>
      <c r="D78" s="7">
        <v>225.44642731907709</v>
      </c>
    </row>
    <row r="79" spans="1:4" x14ac:dyDescent="0.3">
      <c r="A79" s="2">
        <f t="shared" si="0"/>
        <v>46052</v>
      </c>
      <c r="B79" s="3">
        <f t="shared" si="1"/>
        <v>0.20833333333333301</v>
      </c>
      <c r="C79" s="5">
        <v>231.64</v>
      </c>
      <c r="D79" s="7">
        <v>227.20673420782029</v>
      </c>
    </row>
    <row r="80" spans="1:4" x14ac:dyDescent="0.3">
      <c r="A80" s="2">
        <f t="shared" si="0"/>
        <v>46052</v>
      </c>
      <c r="B80" s="3">
        <f t="shared" si="1"/>
        <v>0.25</v>
      </c>
      <c r="C80" s="5">
        <v>237.66</v>
      </c>
      <c r="D80" s="7">
        <v>226.73463776643339</v>
      </c>
    </row>
    <row r="81" spans="1:4" x14ac:dyDescent="0.3">
      <c r="A81" s="2">
        <f t="shared" si="0"/>
        <v>46052</v>
      </c>
      <c r="B81" s="3">
        <f t="shared" si="1"/>
        <v>0.29166666666666702</v>
      </c>
      <c r="C81" s="5">
        <v>237.66</v>
      </c>
      <c r="D81" s="7">
        <v>228.6720559093358</v>
      </c>
    </row>
    <row r="82" spans="1:4" x14ac:dyDescent="0.3">
      <c r="A82" s="2">
        <f t="shared" si="0"/>
        <v>46052</v>
      </c>
      <c r="B82" s="3">
        <f t="shared" si="1"/>
        <v>0.33333333333333298</v>
      </c>
      <c r="C82" s="5">
        <v>236.15</v>
      </c>
      <c r="D82" s="7">
        <v>233.84274536228079</v>
      </c>
    </row>
    <row r="83" spans="1:4" x14ac:dyDescent="0.3">
      <c r="A83" s="2">
        <f t="shared" si="0"/>
        <v>46052</v>
      </c>
      <c r="B83" s="3">
        <f t="shared" si="1"/>
        <v>0.375</v>
      </c>
      <c r="C83" s="5">
        <v>236.15</v>
      </c>
      <c r="D83" s="7">
        <v>239.07187294786431</v>
      </c>
    </row>
    <row r="84" spans="1:4" x14ac:dyDescent="0.3">
      <c r="A84" s="2">
        <f t="shared" si="0"/>
        <v>46052</v>
      </c>
      <c r="B84" s="3">
        <f t="shared" si="1"/>
        <v>0.41666666666666702</v>
      </c>
      <c r="C84" s="5">
        <v>242.23</v>
      </c>
      <c r="D84" s="7">
        <v>242.3162182155867</v>
      </c>
    </row>
    <row r="85" spans="1:4" x14ac:dyDescent="0.3">
      <c r="A85" s="2">
        <f t="shared" si="0"/>
        <v>46052</v>
      </c>
      <c r="B85" s="3">
        <f t="shared" si="1"/>
        <v>0.45833333333333298</v>
      </c>
      <c r="C85" s="5">
        <v>253.1</v>
      </c>
      <c r="D85" s="7">
        <v>244.21029885352979</v>
      </c>
    </row>
    <row r="86" spans="1:4" x14ac:dyDescent="0.3">
      <c r="A86" s="2">
        <f t="shared" si="0"/>
        <v>46052</v>
      </c>
      <c r="B86" s="3">
        <f t="shared" si="1"/>
        <v>0.5</v>
      </c>
      <c r="C86" s="5">
        <v>261.04000000000002</v>
      </c>
      <c r="D86" s="7">
        <v>247.04072729421199</v>
      </c>
    </row>
    <row r="87" spans="1:4" x14ac:dyDescent="0.3">
      <c r="A87" s="2">
        <f t="shared" si="0"/>
        <v>46052</v>
      </c>
      <c r="B87" s="3">
        <f t="shared" si="1"/>
        <v>0.54166666666666696</v>
      </c>
      <c r="C87" s="5">
        <v>264.25</v>
      </c>
      <c r="D87" s="7">
        <v>248.09956013090351</v>
      </c>
    </row>
    <row r="88" spans="1:4" x14ac:dyDescent="0.3">
      <c r="A88" s="2">
        <f t="shared" si="0"/>
        <v>46052</v>
      </c>
      <c r="B88" s="3">
        <f t="shared" si="1"/>
        <v>0.58333333333333304</v>
      </c>
      <c r="C88" s="5">
        <v>270.75</v>
      </c>
      <c r="D88" s="7">
        <v>248.6088519752864</v>
      </c>
    </row>
    <row r="89" spans="1:4" x14ac:dyDescent="0.3">
      <c r="A89" s="2">
        <f t="shared" si="0"/>
        <v>46052</v>
      </c>
      <c r="B89" s="3">
        <f t="shared" si="1"/>
        <v>0.625</v>
      </c>
      <c r="C89" s="5">
        <v>280.67</v>
      </c>
      <c r="D89" s="7">
        <v>250.1589539228934</v>
      </c>
    </row>
    <row r="90" spans="1:4" x14ac:dyDescent="0.3">
      <c r="A90" s="2">
        <f t="shared" si="0"/>
        <v>46052</v>
      </c>
      <c r="B90" s="3">
        <f t="shared" si="1"/>
        <v>0.66666666666666696</v>
      </c>
      <c r="C90" s="5">
        <v>289.10000000000002</v>
      </c>
      <c r="D90" s="7">
        <v>255.96022930213601</v>
      </c>
    </row>
    <row r="91" spans="1:4" x14ac:dyDescent="0.3">
      <c r="A91" s="2">
        <f t="shared" ref="A91:A154" si="2">+A67+1</f>
        <v>46052</v>
      </c>
      <c r="B91" s="3">
        <f t="shared" ref="B91:B154" si="3">+B67</f>
        <v>0.70833333333333304</v>
      </c>
      <c r="C91" s="5">
        <v>297.68</v>
      </c>
      <c r="D91" s="7">
        <v>267.56405732694049</v>
      </c>
    </row>
    <row r="92" spans="1:4" x14ac:dyDescent="0.3">
      <c r="A92" s="2">
        <f t="shared" si="2"/>
        <v>46052</v>
      </c>
      <c r="B92" s="3">
        <f t="shared" si="3"/>
        <v>0.75</v>
      </c>
      <c r="C92" s="5">
        <v>306.39999999999998</v>
      </c>
      <c r="D92" s="7">
        <v>281.1972481748935</v>
      </c>
    </row>
    <row r="93" spans="1:4" x14ac:dyDescent="0.3">
      <c r="A93" s="2">
        <f t="shared" si="2"/>
        <v>46052</v>
      </c>
      <c r="B93" s="3">
        <f t="shared" si="3"/>
        <v>0.79166666666666696</v>
      </c>
      <c r="C93" s="5">
        <v>317.06</v>
      </c>
      <c r="D93" s="7">
        <v>290.93368211319893</v>
      </c>
    </row>
    <row r="94" spans="1:4" x14ac:dyDescent="0.3">
      <c r="A94" s="2">
        <f t="shared" si="2"/>
        <v>46052</v>
      </c>
      <c r="B94" s="3">
        <f t="shared" si="3"/>
        <v>0.83333333333333304</v>
      </c>
      <c r="C94" s="5">
        <v>322.48</v>
      </c>
      <c r="D94" s="7">
        <v>297.29725036762522</v>
      </c>
    </row>
    <row r="95" spans="1:4" x14ac:dyDescent="0.3">
      <c r="A95" s="2">
        <f t="shared" si="2"/>
        <v>46052</v>
      </c>
      <c r="B95" s="3">
        <f t="shared" si="3"/>
        <v>0.875</v>
      </c>
      <c r="C95" s="5">
        <v>318.86</v>
      </c>
      <c r="D95" s="7">
        <v>301.73914717236289</v>
      </c>
    </row>
    <row r="96" spans="1:4" x14ac:dyDescent="0.3">
      <c r="A96" s="2">
        <f t="shared" si="2"/>
        <v>46052</v>
      </c>
      <c r="B96" s="3">
        <f t="shared" si="3"/>
        <v>0.91666666666666696</v>
      </c>
      <c r="C96" s="5">
        <v>309.93</v>
      </c>
      <c r="D96" s="7">
        <v>305.0549816688748</v>
      </c>
    </row>
    <row r="97" spans="1:4" x14ac:dyDescent="0.3">
      <c r="A97" s="2">
        <f t="shared" si="2"/>
        <v>46052</v>
      </c>
      <c r="B97" s="3">
        <f t="shared" si="3"/>
        <v>0.95833333333333304</v>
      </c>
      <c r="C97" s="5">
        <v>302.89</v>
      </c>
      <c r="D97" s="7">
        <v>307.38002479670757</v>
      </c>
    </row>
    <row r="98" spans="1:4" x14ac:dyDescent="0.3">
      <c r="A98" s="2">
        <f t="shared" si="2"/>
        <v>46053</v>
      </c>
      <c r="B98" s="3">
        <f t="shared" si="3"/>
        <v>0</v>
      </c>
      <c r="C98" s="5">
        <v>301.14999999999998</v>
      </c>
      <c r="D98" s="7">
        <v>308.70098453473418</v>
      </c>
    </row>
    <row r="99" spans="1:4" x14ac:dyDescent="0.3">
      <c r="A99" s="2">
        <f t="shared" si="2"/>
        <v>46053</v>
      </c>
      <c r="B99" s="3">
        <f t="shared" si="3"/>
        <v>4.1666666666666664E-2</v>
      </c>
      <c r="C99" s="5">
        <v>299.41000000000003</v>
      </c>
      <c r="D99" s="7">
        <v>310.95752583920591</v>
      </c>
    </row>
    <row r="100" spans="1:4" x14ac:dyDescent="0.3">
      <c r="A100" s="2">
        <f t="shared" si="2"/>
        <v>46053</v>
      </c>
      <c r="B100" s="3">
        <f t="shared" si="3"/>
        <v>8.3333333333333301E-2</v>
      </c>
      <c r="C100" s="5">
        <v>297.67</v>
      </c>
      <c r="D100" s="7">
        <v>314.08836137583347</v>
      </c>
    </row>
    <row r="101" spans="1:4" x14ac:dyDescent="0.3">
      <c r="A101" s="2">
        <f t="shared" si="2"/>
        <v>46053</v>
      </c>
      <c r="B101" s="3">
        <f t="shared" si="3"/>
        <v>0.125</v>
      </c>
      <c r="C101" s="5">
        <v>301.14999999999998</v>
      </c>
      <c r="D101" s="7">
        <v>313.35646899912388</v>
      </c>
    </row>
    <row r="102" spans="1:4" x14ac:dyDescent="0.3">
      <c r="A102" s="2">
        <f t="shared" si="2"/>
        <v>46053</v>
      </c>
      <c r="B102" s="3">
        <f t="shared" si="3"/>
        <v>0.16666666666666699</v>
      </c>
      <c r="C102" s="5">
        <v>301.14999999999998</v>
      </c>
      <c r="D102" s="7">
        <v>308.41604508892021</v>
      </c>
    </row>
    <row r="103" spans="1:4" x14ac:dyDescent="0.3">
      <c r="A103" s="2">
        <f t="shared" si="2"/>
        <v>46053</v>
      </c>
      <c r="B103" s="3">
        <f t="shared" si="3"/>
        <v>0.20833333333333301</v>
      </c>
      <c r="C103" s="5">
        <v>301.14999999999998</v>
      </c>
      <c r="D103" s="7">
        <v>302.93072871894481</v>
      </c>
    </row>
    <row r="104" spans="1:4" x14ac:dyDescent="0.3">
      <c r="A104" s="2">
        <f t="shared" si="2"/>
        <v>46053</v>
      </c>
      <c r="B104" s="3">
        <f t="shared" si="3"/>
        <v>0.25</v>
      </c>
      <c r="C104" s="5">
        <v>301.14999999999998</v>
      </c>
      <c r="D104" s="7">
        <v>302.31197004855937</v>
      </c>
    </row>
    <row r="105" spans="1:4" x14ac:dyDescent="0.3">
      <c r="A105" s="2">
        <f t="shared" si="2"/>
        <v>46053</v>
      </c>
      <c r="B105" s="3">
        <f t="shared" si="3"/>
        <v>0.29166666666666702</v>
      </c>
      <c r="C105" s="5">
        <v>318.86</v>
      </c>
      <c r="D105" s="7">
        <v>306.26869334531341</v>
      </c>
    </row>
    <row r="106" spans="1:4" x14ac:dyDescent="0.3">
      <c r="A106" s="2">
        <f t="shared" si="2"/>
        <v>46053</v>
      </c>
      <c r="B106" s="3">
        <f t="shared" si="3"/>
        <v>0.33333333333333298</v>
      </c>
      <c r="C106" s="5">
        <v>333.46</v>
      </c>
      <c r="D106" s="7">
        <v>309.9718203987498</v>
      </c>
    </row>
    <row r="107" spans="1:4" x14ac:dyDescent="0.3">
      <c r="A107" s="2">
        <f t="shared" si="2"/>
        <v>46053</v>
      </c>
      <c r="B107" s="3">
        <f t="shared" si="3"/>
        <v>0.375</v>
      </c>
      <c r="C107" s="5">
        <v>342.78</v>
      </c>
      <c r="D107" s="7">
        <v>316.03113218708307</v>
      </c>
    </row>
    <row r="108" spans="1:4" x14ac:dyDescent="0.3">
      <c r="A108" s="2">
        <f t="shared" si="2"/>
        <v>46053</v>
      </c>
      <c r="B108" s="3">
        <f t="shared" si="3"/>
        <v>0.41666666666666702</v>
      </c>
      <c r="C108" s="5">
        <v>348.45</v>
      </c>
      <c r="D108" s="7">
        <v>321.43393285739899</v>
      </c>
    </row>
    <row r="109" spans="1:4" x14ac:dyDescent="0.3">
      <c r="A109" s="2">
        <f t="shared" si="2"/>
        <v>46053</v>
      </c>
      <c r="B109" s="3">
        <f t="shared" si="3"/>
        <v>0.45833333333333298</v>
      </c>
      <c r="C109" s="5">
        <v>342.78</v>
      </c>
      <c r="D109" s="7">
        <v>323.03343018568728</v>
      </c>
    </row>
    <row r="110" spans="1:4" x14ac:dyDescent="0.3">
      <c r="A110" s="2">
        <f t="shared" si="2"/>
        <v>46053</v>
      </c>
      <c r="B110" s="3">
        <f t="shared" si="3"/>
        <v>0.5</v>
      </c>
      <c r="C110" s="5">
        <v>329.78</v>
      </c>
      <c r="D110" s="7">
        <v>325.07305406779369</v>
      </c>
    </row>
    <row r="111" spans="1:4" x14ac:dyDescent="0.3">
      <c r="A111" s="2">
        <f t="shared" si="2"/>
        <v>46053</v>
      </c>
      <c r="B111" s="3">
        <f t="shared" si="3"/>
        <v>0.54166666666666696</v>
      </c>
      <c r="C111" s="5">
        <v>322.48</v>
      </c>
      <c r="D111" s="7">
        <v>327.21368806259483</v>
      </c>
    </row>
    <row r="112" spans="1:4" x14ac:dyDescent="0.3">
      <c r="A112" s="2">
        <f t="shared" si="2"/>
        <v>46053</v>
      </c>
      <c r="B112" s="3">
        <f t="shared" si="3"/>
        <v>0.58333333333333304</v>
      </c>
      <c r="C112" s="5">
        <v>322.48</v>
      </c>
      <c r="D112" s="7">
        <v>330.96881033591097</v>
      </c>
    </row>
    <row r="113" spans="1:4" x14ac:dyDescent="0.3">
      <c r="A113" s="2">
        <f t="shared" si="2"/>
        <v>46053</v>
      </c>
      <c r="B113" s="3">
        <f t="shared" si="3"/>
        <v>0.625</v>
      </c>
      <c r="C113" s="5">
        <v>322.48</v>
      </c>
      <c r="D113" s="7">
        <v>332.43230547303301</v>
      </c>
    </row>
    <row r="114" spans="1:4" x14ac:dyDescent="0.3">
      <c r="A114" s="2">
        <f t="shared" si="2"/>
        <v>46053</v>
      </c>
      <c r="B114" s="3">
        <f t="shared" si="3"/>
        <v>0.66666666666666696</v>
      </c>
      <c r="C114" s="5">
        <v>324.29000000000002</v>
      </c>
      <c r="D114" s="7">
        <v>332.88171220097439</v>
      </c>
    </row>
    <row r="115" spans="1:4" x14ac:dyDescent="0.3">
      <c r="A115" s="2">
        <f t="shared" si="2"/>
        <v>46053</v>
      </c>
      <c r="B115" s="3">
        <f t="shared" si="3"/>
        <v>0.70833333333333304</v>
      </c>
      <c r="C115" s="5">
        <v>329.78</v>
      </c>
      <c r="D115" s="7">
        <v>333.4929322970047</v>
      </c>
    </row>
    <row r="116" spans="1:4" x14ac:dyDescent="0.3">
      <c r="A116" s="2">
        <f t="shared" si="2"/>
        <v>46053</v>
      </c>
      <c r="B116" s="3">
        <f t="shared" si="3"/>
        <v>0.75</v>
      </c>
      <c r="C116" s="5">
        <v>379.04</v>
      </c>
      <c r="D116" s="7">
        <v>335.31572971031119</v>
      </c>
    </row>
    <row r="117" spans="1:4" x14ac:dyDescent="0.3">
      <c r="A117" s="2">
        <f t="shared" si="2"/>
        <v>46053</v>
      </c>
      <c r="B117" s="3">
        <f t="shared" si="3"/>
        <v>0.79166666666666696</v>
      </c>
      <c r="C117" s="5">
        <v>340.91</v>
      </c>
      <c r="D117" s="7">
        <v>334.48476825776078</v>
      </c>
    </row>
    <row r="118" spans="1:4" x14ac:dyDescent="0.3">
      <c r="A118" s="2">
        <f t="shared" si="2"/>
        <v>46053</v>
      </c>
      <c r="B118" s="3">
        <f t="shared" si="3"/>
        <v>0.83333333333333304</v>
      </c>
      <c r="C118" s="5">
        <v>342.78</v>
      </c>
      <c r="D118" s="7">
        <v>338.11782236462739</v>
      </c>
    </row>
    <row r="119" spans="1:4" x14ac:dyDescent="0.3">
      <c r="A119" s="2">
        <f t="shared" si="2"/>
        <v>46053</v>
      </c>
      <c r="B119" s="3">
        <f t="shared" si="3"/>
        <v>0.875</v>
      </c>
      <c r="C119" s="5">
        <v>344.67</v>
      </c>
      <c r="D119" s="7">
        <v>341.76993563403192</v>
      </c>
    </row>
    <row r="120" spans="1:4" x14ac:dyDescent="0.3">
      <c r="A120" s="2">
        <f t="shared" si="2"/>
        <v>46053</v>
      </c>
      <c r="B120" s="3">
        <f t="shared" si="3"/>
        <v>0.91666666666666696</v>
      </c>
      <c r="C120" s="5">
        <v>342.78</v>
      </c>
      <c r="D120" s="7">
        <v>341.75072276020092</v>
      </c>
    </row>
    <row r="121" spans="1:4" x14ac:dyDescent="0.3">
      <c r="A121" s="2">
        <f t="shared" si="2"/>
        <v>46053</v>
      </c>
      <c r="B121" s="3">
        <f t="shared" si="3"/>
        <v>0.95833333333333304</v>
      </c>
      <c r="C121" s="5">
        <v>337.17</v>
      </c>
      <c r="D121" s="7">
        <v>341.4561325716586</v>
      </c>
    </row>
    <row r="122" spans="1:4" x14ac:dyDescent="0.3">
      <c r="A122" s="2">
        <f t="shared" si="2"/>
        <v>46054</v>
      </c>
      <c r="B122" s="3">
        <f t="shared" si="3"/>
        <v>0</v>
      </c>
      <c r="C122" s="5">
        <v>340.91</v>
      </c>
      <c r="D122" s="7">
        <v>343.22770288236501</v>
      </c>
    </row>
    <row r="123" spans="1:4" x14ac:dyDescent="0.3">
      <c r="A123" s="2">
        <f t="shared" si="2"/>
        <v>46054</v>
      </c>
      <c r="B123" s="3">
        <f t="shared" si="3"/>
        <v>4.1666666666666664E-2</v>
      </c>
      <c r="C123" s="5">
        <v>363.75</v>
      </c>
      <c r="D123" s="7">
        <v>349.8161011274218</v>
      </c>
    </row>
    <row r="124" spans="1:4" x14ac:dyDescent="0.3">
      <c r="A124" s="2">
        <f t="shared" si="2"/>
        <v>46054</v>
      </c>
      <c r="B124" s="3">
        <f t="shared" si="3"/>
        <v>8.3333333333333301E-2</v>
      </c>
      <c r="C124" s="5">
        <v>395.75</v>
      </c>
      <c r="D124" s="7">
        <v>352.48212859313333</v>
      </c>
    </row>
    <row r="125" spans="1:4" x14ac:dyDescent="0.3">
      <c r="A125" s="2">
        <f t="shared" si="2"/>
        <v>46054</v>
      </c>
      <c r="B125" s="3">
        <f t="shared" si="3"/>
        <v>0.125</v>
      </c>
      <c r="C125" s="5">
        <v>433.56</v>
      </c>
      <c r="D125" s="7">
        <v>365.73749834023721</v>
      </c>
    </row>
    <row r="126" spans="1:4" x14ac:dyDescent="0.3">
      <c r="A126" s="2">
        <f t="shared" si="2"/>
        <v>46054</v>
      </c>
      <c r="B126" s="3">
        <f t="shared" si="3"/>
        <v>0.16666666666666699</v>
      </c>
      <c r="C126" s="5">
        <v>433.56</v>
      </c>
      <c r="D126" s="7">
        <v>378.23163232334161</v>
      </c>
    </row>
    <row r="127" spans="1:4" x14ac:dyDescent="0.3">
      <c r="A127" s="2">
        <f t="shared" si="2"/>
        <v>46054</v>
      </c>
      <c r="B127" s="3">
        <f t="shared" si="3"/>
        <v>0.20833333333333301</v>
      </c>
      <c r="C127" s="5">
        <v>431.41</v>
      </c>
      <c r="D127" s="7">
        <v>388.95514798772228</v>
      </c>
    </row>
    <row r="128" spans="1:4" x14ac:dyDescent="0.3">
      <c r="A128" s="2">
        <f t="shared" si="2"/>
        <v>46054</v>
      </c>
      <c r="B128" s="3">
        <f t="shared" si="3"/>
        <v>0.25</v>
      </c>
      <c r="C128" s="5">
        <v>448.81</v>
      </c>
      <c r="D128" s="7">
        <v>401.90378862644462</v>
      </c>
    </row>
    <row r="129" spans="1:4" x14ac:dyDescent="0.3">
      <c r="A129" s="2">
        <f t="shared" si="2"/>
        <v>46054</v>
      </c>
      <c r="B129" s="3">
        <f t="shared" si="3"/>
        <v>0.29166666666666702</v>
      </c>
      <c r="C129" s="5">
        <v>471.14</v>
      </c>
      <c r="D129" s="7">
        <v>420.00008289153288</v>
      </c>
    </row>
    <row r="130" spans="1:4" x14ac:dyDescent="0.3">
      <c r="A130" s="2">
        <f t="shared" si="2"/>
        <v>46054</v>
      </c>
      <c r="B130" s="3">
        <f t="shared" si="3"/>
        <v>0.33333333333333298</v>
      </c>
      <c r="C130" s="5">
        <v>496.45</v>
      </c>
      <c r="D130" s="7">
        <v>440.84115438812631</v>
      </c>
    </row>
    <row r="131" spans="1:4" x14ac:dyDescent="0.3">
      <c r="A131" s="2">
        <f t="shared" si="2"/>
        <v>46054</v>
      </c>
      <c r="B131" s="3">
        <f t="shared" si="3"/>
        <v>0.375</v>
      </c>
      <c r="C131" s="5">
        <v>505.84</v>
      </c>
      <c r="D131" s="7">
        <v>458.04884379581767</v>
      </c>
    </row>
    <row r="132" spans="1:4" x14ac:dyDescent="0.3">
      <c r="A132" s="2">
        <f t="shared" si="2"/>
        <v>46054</v>
      </c>
      <c r="B132" s="3">
        <f t="shared" si="3"/>
        <v>0.41666666666666702</v>
      </c>
      <c r="C132" s="5">
        <v>512.95000000000005</v>
      </c>
      <c r="D132" s="7">
        <v>469.82980894143219</v>
      </c>
    </row>
    <row r="133" spans="1:4" x14ac:dyDescent="0.3">
      <c r="A133" s="2">
        <f t="shared" si="2"/>
        <v>46054</v>
      </c>
      <c r="B133" s="3">
        <f t="shared" si="3"/>
        <v>0.45833333333333298</v>
      </c>
      <c r="C133" s="5">
        <v>524.94000000000005</v>
      </c>
      <c r="D133" s="7">
        <v>479.94390770011768</v>
      </c>
    </row>
    <row r="134" spans="1:4" x14ac:dyDescent="0.3">
      <c r="A134" s="2">
        <f t="shared" si="2"/>
        <v>46054</v>
      </c>
      <c r="B134" s="3">
        <f t="shared" si="3"/>
        <v>0.5</v>
      </c>
      <c r="C134" s="5">
        <v>539.54</v>
      </c>
      <c r="D134" s="7">
        <v>495.82564297848211</v>
      </c>
    </row>
    <row r="135" spans="1:4" x14ac:dyDescent="0.3">
      <c r="A135" s="2">
        <f t="shared" si="2"/>
        <v>46054</v>
      </c>
      <c r="B135" s="3">
        <f t="shared" si="3"/>
        <v>0.54166666666666696</v>
      </c>
      <c r="C135" s="5">
        <v>551.88</v>
      </c>
      <c r="D135" s="7">
        <v>510.25245490775262</v>
      </c>
    </row>
    <row r="136" spans="1:4" x14ac:dyDescent="0.3">
      <c r="A136" s="2">
        <f t="shared" si="2"/>
        <v>46054</v>
      </c>
      <c r="B136" s="3">
        <f t="shared" si="3"/>
        <v>0.58333333333333304</v>
      </c>
      <c r="C136" s="5">
        <v>569.44000000000005</v>
      </c>
      <c r="D136" s="7">
        <v>526.64266522580772</v>
      </c>
    </row>
    <row r="137" spans="1:4" x14ac:dyDescent="0.3">
      <c r="A137" s="2">
        <f t="shared" si="2"/>
        <v>46054</v>
      </c>
      <c r="B137" s="3">
        <f t="shared" si="3"/>
        <v>0.625</v>
      </c>
      <c r="C137" s="5">
        <v>587.32000000000005</v>
      </c>
      <c r="D137" s="7">
        <v>542.19731937592735</v>
      </c>
    </row>
    <row r="138" spans="1:4" x14ac:dyDescent="0.3">
      <c r="A138" s="2">
        <f t="shared" si="2"/>
        <v>46054</v>
      </c>
      <c r="B138" s="3">
        <f t="shared" si="3"/>
        <v>0.66666666666666696</v>
      </c>
      <c r="C138" s="5">
        <v>600.29999999999995</v>
      </c>
      <c r="D138" s="7">
        <v>558.00633326016725</v>
      </c>
    </row>
    <row r="139" spans="1:4" x14ac:dyDescent="0.3">
      <c r="A139" s="2">
        <f t="shared" si="2"/>
        <v>46054</v>
      </c>
      <c r="B139" s="3">
        <f t="shared" si="3"/>
        <v>0.70833333333333304</v>
      </c>
      <c r="C139" s="5">
        <v>602.91</v>
      </c>
      <c r="D139" s="7">
        <v>571.79381105024163</v>
      </c>
    </row>
    <row r="140" spans="1:4" x14ac:dyDescent="0.3">
      <c r="A140" s="2">
        <f t="shared" si="2"/>
        <v>46054</v>
      </c>
      <c r="B140" s="3">
        <f t="shared" si="3"/>
        <v>0.75</v>
      </c>
      <c r="C140" s="5">
        <v>597.69000000000005</v>
      </c>
      <c r="D140" s="7">
        <v>580.71456533995649</v>
      </c>
    </row>
    <row r="141" spans="1:4" x14ac:dyDescent="0.3">
      <c r="A141" s="2">
        <f t="shared" si="2"/>
        <v>46054</v>
      </c>
      <c r="B141" s="3">
        <f t="shared" si="3"/>
        <v>0.79166666666666696</v>
      </c>
      <c r="C141" s="5">
        <v>589.9</v>
      </c>
      <c r="D141" s="7">
        <v>587.29746487700834</v>
      </c>
    </row>
    <row r="142" spans="1:4" x14ac:dyDescent="0.3">
      <c r="A142" s="2">
        <f t="shared" si="2"/>
        <v>46054</v>
      </c>
      <c r="B142" s="3">
        <f t="shared" si="3"/>
        <v>0.83333333333333304</v>
      </c>
      <c r="C142" s="5">
        <v>577.07000000000005</v>
      </c>
      <c r="D142" s="7">
        <v>590.63045161251785</v>
      </c>
    </row>
    <row r="143" spans="1:4" x14ac:dyDescent="0.3">
      <c r="A143" s="2">
        <f t="shared" si="2"/>
        <v>46054</v>
      </c>
      <c r="B143" s="3">
        <f t="shared" si="3"/>
        <v>0.875</v>
      </c>
      <c r="C143" s="5">
        <v>564.39</v>
      </c>
      <c r="D143" s="7">
        <v>589.20688905861925</v>
      </c>
    </row>
    <row r="144" spans="1:4" x14ac:dyDescent="0.3">
      <c r="A144" s="2">
        <f t="shared" si="2"/>
        <v>46054</v>
      </c>
      <c r="B144" s="3">
        <f t="shared" si="3"/>
        <v>0.91666666666666696</v>
      </c>
      <c r="C144" s="5">
        <v>559.37</v>
      </c>
      <c r="D144" s="7">
        <v>585.70824505354744</v>
      </c>
    </row>
    <row r="145" spans="1:4" x14ac:dyDescent="0.3">
      <c r="A145" s="2">
        <f t="shared" si="2"/>
        <v>46054</v>
      </c>
      <c r="B145" s="3">
        <f t="shared" si="3"/>
        <v>0.95833333333333304</v>
      </c>
      <c r="C145" s="5">
        <v>569.44000000000005</v>
      </c>
      <c r="D145" s="7">
        <v>579.45678249358116</v>
      </c>
    </row>
    <row r="146" spans="1:4" x14ac:dyDescent="0.3">
      <c r="A146" s="2">
        <f t="shared" si="2"/>
        <v>46055</v>
      </c>
      <c r="B146" s="3">
        <f t="shared" si="3"/>
        <v>0</v>
      </c>
      <c r="C146" s="5">
        <v>595.09</v>
      </c>
      <c r="D146" s="7">
        <v>577.11668161756199</v>
      </c>
    </row>
    <row r="147" spans="1:4" x14ac:dyDescent="0.3">
      <c r="A147" s="2">
        <f t="shared" si="2"/>
        <v>46055</v>
      </c>
      <c r="B147" s="3">
        <f t="shared" si="3"/>
        <v>4.1666666666666664E-2</v>
      </c>
      <c r="C147" s="5">
        <v>626.74</v>
      </c>
      <c r="D147" s="7">
        <v>581.71628407688877</v>
      </c>
    </row>
    <row r="148" spans="1:4" x14ac:dyDescent="0.3">
      <c r="A148" s="2">
        <f t="shared" si="2"/>
        <v>46055</v>
      </c>
      <c r="B148" s="3">
        <f t="shared" si="3"/>
        <v>8.3333333333333301E-2</v>
      </c>
      <c r="C148" s="5">
        <v>664.89</v>
      </c>
      <c r="D148" s="7">
        <v>591.67996143525943</v>
      </c>
    </row>
    <row r="149" spans="1:4" x14ac:dyDescent="0.3">
      <c r="A149" s="2">
        <f t="shared" si="2"/>
        <v>46055</v>
      </c>
      <c r="B149" s="3">
        <f t="shared" si="3"/>
        <v>0.125</v>
      </c>
      <c r="C149" s="5">
        <v>673.24</v>
      </c>
      <c r="D149" s="7">
        <v>605.49647372275876</v>
      </c>
    </row>
    <row r="150" spans="1:4" x14ac:dyDescent="0.3">
      <c r="A150" s="2">
        <f t="shared" si="2"/>
        <v>46055</v>
      </c>
      <c r="B150" s="3">
        <f t="shared" si="3"/>
        <v>0.16666666666666699</v>
      </c>
      <c r="C150" s="5">
        <v>670.45</v>
      </c>
      <c r="D150" s="7">
        <v>619.61057413814331</v>
      </c>
    </row>
    <row r="151" spans="1:4" x14ac:dyDescent="0.3">
      <c r="A151" s="2">
        <f t="shared" si="2"/>
        <v>46055</v>
      </c>
      <c r="B151" s="3">
        <f t="shared" si="3"/>
        <v>0.20833333333333301</v>
      </c>
      <c r="C151" s="5">
        <v>659.36</v>
      </c>
      <c r="D151" s="7">
        <v>633.54632016097855</v>
      </c>
    </row>
    <row r="152" spans="1:4" x14ac:dyDescent="0.3">
      <c r="A152" s="2">
        <f t="shared" si="2"/>
        <v>46055</v>
      </c>
      <c r="B152" s="3">
        <f t="shared" si="3"/>
        <v>0.25</v>
      </c>
      <c r="C152" s="5">
        <v>651.11</v>
      </c>
      <c r="D152" s="7">
        <v>640.97088308748198</v>
      </c>
    </row>
    <row r="153" spans="1:4" x14ac:dyDescent="0.3">
      <c r="A153" s="2">
        <f t="shared" si="2"/>
        <v>46055</v>
      </c>
      <c r="B153" s="3">
        <f t="shared" si="3"/>
        <v>0.29166666666666702</v>
      </c>
      <c r="C153" s="5">
        <v>659.36</v>
      </c>
      <c r="D153" s="7">
        <v>647.42322476447714</v>
      </c>
    </row>
    <row r="154" spans="1:4" x14ac:dyDescent="0.3">
      <c r="A154" s="2">
        <f t="shared" si="2"/>
        <v>46055</v>
      </c>
      <c r="B154" s="3">
        <f t="shared" si="3"/>
        <v>0.33333333333333298</v>
      </c>
      <c r="C154" s="5">
        <v>676.04</v>
      </c>
      <c r="D154" s="7">
        <v>654.05258452855753</v>
      </c>
    </row>
    <row r="155" spans="1:4" x14ac:dyDescent="0.3">
      <c r="A155" s="2">
        <f t="shared" ref="A155:A218" si="4">+A131+1</f>
        <v>46055</v>
      </c>
      <c r="B155" s="3">
        <f t="shared" ref="B155:B218" si="5">+B131</f>
        <v>0.375</v>
      </c>
      <c r="C155" s="5">
        <v>687.29</v>
      </c>
      <c r="D155" s="7">
        <v>661.43737099905218</v>
      </c>
    </row>
    <row r="156" spans="1:4" x14ac:dyDescent="0.3">
      <c r="A156" s="2">
        <f t="shared" si="4"/>
        <v>46055</v>
      </c>
      <c r="B156" s="3">
        <f t="shared" si="5"/>
        <v>0.41666666666666702</v>
      </c>
      <c r="C156" s="5">
        <v>687.29</v>
      </c>
      <c r="D156" s="7">
        <v>665.06696887976</v>
      </c>
    </row>
    <row r="157" spans="1:4" x14ac:dyDescent="0.3">
      <c r="A157" s="2">
        <f t="shared" si="4"/>
        <v>46055</v>
      </c>
      <c r="B157" s="3">
        <f t="shared" si="5"/>
        <v>0.45833333333333298</v>
      </c>
      <c r="C157" s="5">
        <v>673.24</v>
      </c>
      <c r="D157" s="7">
        <v>667.96001799787041</v>
      </c>
    </row>
    <row r="158" spans="1:4" x14ac:dyDescent="0.3">
      <c r="A158" s="2">
        <f t="shared" si="4"/>
        <v>46055</v>
      </c>
      <c r="B158" s="3">
        <f t="shared" si="5"/>
        <v>0.5</v>
      </c>
      <c r="C158" s="5">
        <v>662.12</v>
      </c>
      <c r="D158" s="7">
        <v>668.60739222864731</v>
      </c>
    </row>
    <row r="159" spans="1:4" x14ac:dyDescent="0.3">
      <c r="A159" s="2">
        <f t="shared" si="4"/>
        <v>46055</v>
      </c>
      <c r="B159" s="3">
        <f t="shared" si="5"/>
        <v>0.54166666666666696</v>
      </c>
      <c r="C159" s="5">
        <v>664.89</v>
      </c>
      <c r="D159" s="7">
        <v>669.5472481209174</v>
      </c>
    </row>
    <row r="160" spans="1:4" x14ac:dyDescent="0.3">
      <c r="A160" s="2">
        <f t="shared" si="4"/>
        <v>46055</v>
      </c>
      <c r="B160" s="3">
        <f t="shared" si="5"/>
        <v>0.58333333333333304</v>
      </c>
      <c r="C160" s="5">
        <v>667.67</v>
      </c>
      <c r="D160" s="7">
        <v>667.92077293231773</v>
      </c>
    </row>
    <row r="161" spans="1:4" x14ac:dyDescent="0.3">
      <c r="A161" s="2">
        <f t="shared" si="4"/>
        <v>46055</v>
      </c>
      <c r="B161" s="3">
        <f t="shared" si="5"/>
        <v>0.625</v>
      </c>
      <c r="C161" s="5">
        <v>676.04</v>
      </c>
      <c r="D161" s="7">
        <v>668.16497567904321</v>
      </c>
    </row>
    <row r="162" spans="1:4" x14ac:dyDescent="0.3">
      <c r="A162" s="2">
        <f t="shared" si="4"/>
        <v>46055</v>
      </c>
      <c r="B162" s="3">
        <f t="shared" si="5"/>
        <v>0.66666666666666696</v>
      </c>
      <c r="C162" s="5">
        <v>676.04</v>
      </c>
      <c r="D162" s="7">
        <v>668.46400209385513</v>
      </c>
    </row>
    <row r="163" spans="1:4" x14ac:dyDescent="0.3">
      <c r="A163" s="2">
        <f t="shared" si="4"/>
        <v>46055</v>
      </c>
      <c r="B163" s="3">
        <f t="shared" si="5"/>
        <v>0.70833333333333304</v>
      </c>
      <c r="C163" s="5">
        <v>676.04</v>
      </c>
      <c r="D163" s="7">
        <v>669.05238943843301</v>
      </c>
    </row>
    <row r="164" spans="1:4" x14ac:dyDescent="0.3">
      <c r="A164" s="2">
        <f t="shared" si="4"/>
        <v>46055</v>
      </c>
      <c r="B164" s="3">
        <f t="shared" si="5"/>
        <v>0.75</v>
      </c>
      <c r="C164" s="5">
        <v>667.67</v>
      </c>
      <c r="D164" s="7">
        <v>665.46168832466174</v>
      </c>
    </row>
    <row r="165" spans="1:4" x14ac:dyDescent="0.3">
      <c r="A165" s="2">
        <f t="shared" si="4"/>
        <v>46055</v>
      </c>
      <c r="B165" s="3">
        <f t="shared" si="5"/>
        <v>0.79166666666666696</v>
      </c>
      <c r="C165" s="5">
        <v>664.89</v>
      </c>
      <c r="D165" s="7">
        <v>662.52055199504559</v>
      </c>
    </row>
    <row r="166" spans="1:4" x14ac:dyDescent="0.3">
      <c r="A166" s="2">
        <f t="shared" si="4"/>
        <v>46055</v>
      </c>
      <c r="B166" s="3">
        <f t="shared" si="5"/>
        <v>0.83333333333333304</v>
      </c>
      <c r="C166" s="5">
        <v>664.89</v>
      </c>
      <c r="D166" s="7">
        <v>664.16003053767997</v>
      </c>
    </row>
    <row r="167" spans="1:4" x14ac:dyDescent="0.3">
      <c r="A167" s="2">
        <f t="shared" si="4"/>
        <v>46055</v>
      </c>
      <c r="B167" s="3">
        <f t="shared" si="5"/>
        <v>0.875</v>
      </c>
      <c r="C167" s="5">
        <v>667.37</v>
      </c>
      <c r="D167" s="7">
        <v>668.13619474763129</v>
      </c>
    </row>
    <row r="168" spans="1:4" x14ac:dyDescent="0.3">
      <c r="A168" s="2">
        <f t="shared" si="4"/>
        <v>46055</v>
      </c>
      <c r="B168" s="3">
        <f t="shared" si="5"/>
        <v>0.91666666666666696</v>
      </c>
      <c r="C168" s="5">
        <v>673.24</v>
      </c>
      <c r="D168" s="7">
        <v>671.80706196484084</v>
      </c>
    </row>
    <row r="169" spans="1:4" x14ac:dyDescent="0.3">
      <c r="A169" s="2">
        <f t="shared" si="4"/>
        <v>46055</v>
      </c>
      <c r="B169" s="3">
        <f t="shared" si="5"/>
        <v>0.95833333333333304</v>
      </c>
      <c r="C169" s="5">
        <v>678.84</v>
      </c>
      <c r="D169" s="7">
        <v>678.41557597398287</v>
      </c>
    </row>
    <row r="170" spans="1:4" x14ac:dyDescent="0.3">
      <c r="A170" s="2">
        <f t="shared" si="4"/>
        <v>46056</v>
      </c>
      <c r="B170" s="3">
        <f t="shared" si="5"/>
        <v>0</v>
      </c>
      <c r="C170" s="5">
        <v>690.12</v>
      </c>
      <c r="D170" s="7">
        <v>686.9147284739779</v>
      </c>
    </row>
    <row r="171" spans="1:4" x14ac:dyDescent="0.3">
      <c r="A171" s="2">
        <f t="shared" si="4"/>
        <v>46056</v>
      </c>
      <c r="B171" s="3">
        <f t="shared" si="5"/>
        <v>4.1666666666666664E-2</v>
      </c>
      <c r="C171" s="5">
        <v>704.37</v>
      </c>
      <c r="D171" s="7">
        <v>693.5570871279217</v>
      </c>
    </row>
    <row r="172" spans="1:4" x14ac:dyDescent="0.3">
      <c r="A172" s="2">
        <f t="shared" si="4"/>
        <v>46056</v>
      </c>
      <c r="B172" s="3">
        <f t="shared" si="5"/>
        <v>8.3333333333333301E-2</v>
      </c>
      <c r="C172" s="5">
        <v>710.43</v>
      </c>
      <c r="D172" s="7">
        <v>696.78365485527854</v>
      </c>
    </row>
    <row r="173" spans="1:4" x14ac:dyDescent="0.3">
      <c r="A173" s="2">
        <f t="shared" si="4"/>
        <v>46056</v>
      </c>
      <c r="B173" s="3">
        <f t="shared" si="5"/>
        <v>0.125</v>
      </c>
      <c r="C173" s="5">
        <v>713.01</v>
      </c>
      <c r="D173" s="7">
        <v>701.67934489612981</v>
      </c>
    </row>
    <row r="174" spans="1:4" x14ac:dyDescent="0.3">
      <c r="A174" s="2">
        <f t="shared" si="4"/>
        <v>46056</v>
      </c>
      <c r="B174" s="3">
        <f t="shared" si="5"/>
        <v>0.16666666666666699</v>
      </c>
      <c r="C174" s="5">
        <v>713.01</v>
      </c>
      <c r="D174" s="7">
        <v>709.25242519130506</v>
      </c>
    </row>
    <row r="175" spans="1:4" x14ac:dyDescent="0.3">
      <c r="A175" s="2">
        <f t="shared" si="4"/>
        <v>46056</v>
      </c>
      <c r="B175" s="3">
        <f t="shared" si="5"/>
        <v>0.20833333333333301</v>
      </c>
      <c r="C175" s="5">
        <v>715.9</v>
      </c>
      <c r="D175" s="7">
        <v>718.09543558089638</v>
      </c>
    </row>
    <row r="176" spans="1:4" x14ac:dyDescent="0.3">
      <c r="A176" s="2">
        <f t="shared" si="4"/>
        <v>46056</v>
      </c>
      <c r="B176" s="3">
        <f t="shared" si="5"/>
        <v>0.25</v>
      </c>
      <c r="C176" s="5">
        <v>727.54</v>
      </c>
      <c r="D176" s="7">
        <v>727.4417471375325</v>
      </c>
    </row>
    <row r="177" spans="1:4" x14ac:dyDescent="0.3">
      <c r="A177" s="2">
        <f t="shared" si="4"/>
        <v>46056</v>
      </c>
      <c r="B177" s="3">
        <f t="shared" si="5"/>
        <v>0.29166666666666702</v>
      </c>
      <c r="C177" s="5">
        <v>724.62</v>
      </c>
      <c r="D177" s="7">
        <v>735.78551155383275</v>
      </c>
    </row>
    <row r="178" spans="1:4" x14ac:dyDescent="0.3">
      <c r="A178" s="2">
        <f t="shared" si="4"/>
        <v>46056</v>
      </c>
      <c r="B178" s="3">
        <f t="shared" si="5"/>
        <v>0.33333333333333298</v>
      </c>
      <c r="C178" s="5">
        <v>718.8</v>
      </c>
      <c r="D178" s="7">
        <v>739.15716169371217</v>
      </c>
    </row>
    <row r="179" spans="1:4" x14ac:dyDescent="0.3">
      <c r="A179" s="2">
        <f t="shared" si="4"/>
        <v>46056</v>
      </c>
      <c r="B179" s="3">
        <f t="shared" si="5"/>
        <v>0.375</v>
      </c>
      <c r="C179" s="5">
        <v>715.9</v>
      </c>
      <c r="D179" s="7">
        <v>736.29092750789516</v>
      </c>
    </row>
    <row r="180" spans="1:4" x14ac:dyDescent="0.3">
      <c r="A180" s="2">
        <f t="shared" si="4"/>
        <v>46056</v>
      </c>
      <c r="B180" s="3">
        <f t="shared" si="5"/>
        <v>0.41666666666666702</v>
      </c>
      <c r="C180" s="5">
        <v>710.12</v>
      </c>
      <c r="D180" s="7">
        <v>729.12485389224832</v>
      </c>
    </row>
    <row r="181" spans="1:4" x14ac:dyDescent="0.3">
      <c r="A181" s="2">
        <f t="shared" si="4"/>
        <v>46056</v>
      </c>
      <c r="B181" s="3">
        <f t="shared" si="5"/>
        <v>0.45833333333333298</v>
      </c>
      <c r="C181" s="5">
        <v>698.65</v>
      </c>
      <c r="D181" s="7">
        <v>722.16329299808922</v>
      </c>
    </row>
    <row r="182" spans="1:4" x14ac:dyDescent="0.3">
      <c r="A182" s="2">
        <f t="shared" si="4"/>
        <v>46056</v>
      </c>
      <c r="B182" s="3">
        <f t="shared" si="5"/>
        <v>0.5</v>
      </c>
      <c r="C182" s="5">
        <v>681.65</v>
      </c>
      <c r="D182" s="7">
        <v>713.93426437390428</v>
      </c>
    </row>
    <row r="183" spans="1:4" x14ac:dyDescent="0.3">
      <c r="A183" s="2">
        <f t="shared" si="4"/>
        <v>46056</v>
      </c>
      <c r="B183" s="3">
        <f t="shared" si="5"/>
        <v>0.54166666666666696</v>
      </c>
      <c r="C183" s="5">
        <v>664.89</v>
      </c>
      <c r="D183" s="7">
        <v>705.78544698298606</v>
      </c>
    </row>
    <row r="184" spans="1:4" x14ac:dyDescent="0.3">
      <c r="A184" s="2">
        <f t="shared" si="4"/>
        <v>46056</v>
      </c>
      <c r="B184" s="3">
        <f t="shared" si="5"/>
        <v>0.58333333333333304</v>
      </c>
      <c r="C184" s="5">
        <v>648.38</v>
      </c>
      <c r="D184" s="7">
        <v>695.42917067339249</v>
      </c>
    </row>
    <row r="185" spans="1:4" x14ac:dyDescent="0.3">
      <c r="A185" s="2">
        <f t="shared" si="4"/>
        <v>46056</v>
      </c>
      <c r="B185" s="3">
        <f t="shared" si="5"/>
        <v>0.625</v>
      </c>
      <c r="C185" s="5">
        <v>629.41999999999996</v>
      </c>
      <c r="D185" s="7">
        <v>683.24528935240073</v>
      </c>
    </row>
    <row r="186" spans="1:4" x14ac:dyDescent="0.3">
      <c r="A186" s="2">
        <f t="shared" si="4"/>
        <v>46056</v>
      </c>
      <c r="B186" s="3">
        <f t="shared" si="5"/>
        <v>0.66666666666666696</v>
      </c>
      <c r="C186" s="5">
        <v>608.16</v>
      </c>
      <c r="D186" s="7">
        <v>669.06510804837853</v>
      </c>
    </row>
    <row r="187" spans="1:4" x14ac:dyDescent="0.3">
      <c r="A187" s="2">
        <f t="shared" si="4"/>
        <v>46056</v>
      </c>
      <c r="B187" s="3">
        <f t="shared" si="5"/>
        <v>0.70833333333333304</v>
      </c>
      <c r="C187" s="5">
        <v>595.09</v>
      </c>
      <c r="D187" s="7">
        <v>652.24332943846628</v>
      </c>
    </row>
    <row r="188" spans="1:4" x14ac:dyDescent="0.3">
      <c r="A188" s="2">
        <f t="shared" si="4"/>
        <v>46056</v>
      </c>
      <c r="B188" s="3">
        <f t="shared" si="5"/>
        <v>0.75</v>
      </c>
      <c r="C188" s="5">
        <v>577.07000000000005</v>
      </c>
      <c r="D188" s="7">
        <v>630.8792459875167</v>
      </c>
    </row>
    <row r="189" spans="1:4" x14ac:dyDescent="0.3">
      <c r="A189" s="2">
        <f t="shared" si="4"/>
        <v>46056</v>
      </c>
      <c r="B189" s="3">
        <f t="shared" si="5"/>
        <v>0.79166666666666696</v>
      </c>
      <c r="C189" s="5">
        <v>566.91</v>
      </c>
      <c r="D189" s="7">
        <v>608.23326635121362</v>
      </c>
    </row>
    <row r="190" spans="1:4" x14ac:dyDescent="0.3">
      <c r="A190" s="2">
        <f t="shared" si="4"/>
        <v>46056</v>
      </c>
      <c r="B190" s="3">
        <f t="shared" si="5"/>
        <v>0.83333333333333304</v>
      </c>
      <c r="C190" s="5">
        <v>561.88</v>
      </c>
      <c r="D190" s="7">
        <v>590.51904859831416</v>
      </c>
    </row>
    <row r="191" spans="1:4" x14ac:dyDescent="0.3">
      <c r="A191" s="2">
        <f t="shared" si="4"/>
        <v>46056</v>
      </c>
      <c r="B191" s="3">
        <f t="shared" si="5"/>
        <v>0.875</v>
      </c>
      <c r="C191" s="5">
        <v>556.87</v>
      </c>
      <c r="D191" s="7">
        <v>577.22891553755358</v>
      </c>
    </row>
    <row r="192" spans="1:4" x14ac:dyDescent="0.3">
      <c r="A192" s="2">
        <f t="shared" si="4"/>
        <v>46056</v>
      </c>
      <c r="B192" s="3">
        <f t="shared" si="5"/>
        <v>0.91666666666666696</v>
      </c>
      <c r="C192" s="5">
        <v>546.92999999999995</v>
      </c>
      <c r="D192" s="7">
        <v>566.90929353534193</v>
      </c>
    </row>
    <row r="193" spans="1:4" x14ac:dyDescent="0.3">
      <c r="A193" s="2">
        <f t="shared" si="4"/>
        <v>46056</v>
      </c>
      <c r="B193" s="3">
        <f t="shared" si="5"/>
        <v>0.95833333333333304</v>
      </c>
      <c r="C193" s="5">
        <v>529.78</v>
      </c>
      <c r="D193" s="7">
        <v>558.58747356908816</v>
      </c>
    </row>
    <row r="194" spans="1:4" x14ac:dyDescent="0.3">
      <c r="A194" s="2">
        <f t="shared" si="4"/>
        <v>46057</v>
      </c>
      <c r="B194" s="3">
        <f t="shared" si="5"/>
        <v>0</v>
      </c>
      <c r="C194" s="5">
        <v>520.13</v>
      </c>
      <c r="D194" s="7">
        <v>551.21705572337817</v>
      </c>
    </row>
    <row r="195" spans="1:4" x14ac:dyDescent="0.3">
      <c r="A195" s="2">
        <f t="shared" si="4"/>
        <v>46057</v>
      </c>
      <c r="B195" s="3">
        <f t="shared" si="5"/>
        <v>4.1666666666666664E-2</v>
      </c>
      <c r="C195" s="5">
        <v>527.36</v>
      </c>
      <c r="D195" s="7">
        <v>543.18984940327471</v>
      </c>
    </row>
    <row r="196" spans="1:4" x14ac:dyDescent="0.3">
      <c r="A196" s="2">
        <f t="shared" si="4"/>
        <v>46057</v>
      </c>
      <c r="B196" s="3">
        <f t="shared" si="5"/>
        <v>8.3333333333333301E-2</v>
      </c>
      <c r="C196" s="5">
        <v>537.09</v>
      </c>
      <c r="D196" s="7">
        <v>531.76333057534771</v>
      </c>
    </row>
    <row r="197" spans="1:4" x14ac:dyDescent="0.3">
      <c r="A197" s="2">
        <f t="shared" si="4"/>
        <v>46057</v>
      </c>
      <c r="B197" s="3">
        <f t="shared" si="5"/>
        <v>0.125</v>
      </c>
      <c r="C197" s="5">
        <v>539.54</v>
      </c>
      <c r="D197" s="7">
        <v>520.82964527864601</v>
      </c>
    </row>
    <row r="198" spans="1:4" x14ac:dyDescent="0.3">
      <c r="A198" s="2">
        <f t="shared" si="4"/>
        <v>46057</v>
      </c>
      <c r="B198" s="3">
        <f t="shared" si="5"/>
        <v>0.16666666666666699</v>
      </c>
      <c r="C198" s="5">
        <v>546.92999999999995</v>
      </c>
      <c r="D198" s="7">
        <v>515.2710680067928</v>
      </c>
    </row>
    <row r="199" spans="1:4" x14ac:dyDescent="0.3">
      <c r="A199" s="2">
        <f t="shared" si="4"/>
        <v>46057</v>
      </c>
      <c r="B199" s="3">
        <f t="shared" si="5"/>
        <v>0.20833333333333301</v>
      </c>
      <c r="C199" s="5">
        <v>551.88</v>
      </c>
      <c r="D199" s="7">
        <v>515.22495765682174</v>
      </c>
    </row>
    <row r="200" spans="1:4" x14ac:dyDescent="0.3">
      <c r="A200" s="2">
        <f t="shared" si="4"/>
        <v>46057</v>
      </c>
      <c r="B200" s="3">
        <f t="shared" si="5"/>
        <v>0.25</v>
      </c>
      <c r="C200" s="5">
        <v>549.4</v>
      </c>
      <c r="D200" s="7">
        <v>519.64040685880229</v>
      </c>
    </row>
    <row r="201" spans="1:4" x14ac:dyDescent="0.3">
      <c r="A201" s="2">
        <f t="shared" si="4"/>
        <v>46057</v>
      </c>
      <c r="B201" s="3">
        <f t="shared" si="5"/>
        <v>0.29166666666666702</v>
      </c>
      <c r="C201" s="5">
        <v>544.46</v>
      </c>
      <c r="D201" s="7">
        <v>527.91479095513102</v>
      </c>
    </row>
    <row r="202" spans="1:4" x14ac:dyDescent="0.3">
      <c r="A202" s="2">
        <f t="shared" si="4"/>
        <v>46057</v>
      </c>
      <c r="B202" s="3">
        <f t="shared" si="5"/>
        <v>0.33333333333333298</v>
      </c>
      <c r="C202" s="5">
        <v>534.65</v>
      </c>
      <c r="D202" s="7">
        <v>538.22186825373535</v>
      </c>
    </row>
    <row r="203" spans="1:4" x14ac:dyDescent="0.3">
      <c r="A203" s="2">
        <f t="shared" si="4"/>
        <v>46057</v>
      </c>
      <c r="B203" s="3">
        <f t="shared" si="5"/>
        <v>0.375</v>
      </c>
      <c r="C203" s="5">
        <v>529.78</v>
      </c>
      <c r="D203" s="7">
        <v>545.55975076200878</v>
      </c>
    </row>
    <row r="204" spans="1:4" x14ac:dyDescent="0.3">
      <c r="A204" s="2">
        <f t="shared" si="4"/>
        <v>46057</v>
      </c>
      <c r="B204" s="3">
        <f t="shared" si="5"/>
        <v>0.41666666666666702</v>
      </c>
      <c r="C204" s="5">
        <v>524.94000000000005</v>
      </c>
      <c r="D204" s="7">
        <v>545.89949966472182</v>
      </c>
    </row>
    <row r="205" spans="1:4" x14ac:dyDescent="0.3">
      <c r="A205" s="2">
        <f t="shared" si="4"/>
        <v>46057</v>
      </c>
      <c r="B205" s="3">
        <f t="shared" si="5"/>
        <v>0.45833333333333298</v>
      </c>
      <c r="C205" s="5">
        <v>522.53</v>
      </c>
      <c r="D205" s="7">
        <v>544.05016798060547</v>
      </c>
    </row>
    <row r="206" spans="1:4" x14ac:dyDescent="0.3">
      <c r="A206" s="2">
        <f t="shared" si="4"/>
        <v>46057</v>
      </c>
      <c r="B206" s="3">
        <f t="shared" si="5"/>
        <v>0.5</v>
      </c>
      <c r="C206" s="5">
        <v>524.94000000000005</v>
      </c>
      <c r="D206" s="7">
        <v>540.61310755672048</v>
      </c>
    </row>
    <row r="207" spans="1:4" x14ac:dyDescent="0.3">
      <c r="A207" s="2">
        <f t="shared" si="4"/>
        <v>46057</v>
      </c>
      <c r="B207" s="3">
        <f t="shared" si="5"/>
        <v>0.54166666666666696</v>
      </c>
      <c r="C207" s="5">
        <v>517.73</v>
      </c>
      <c r="D207" s="7">
        <v>534.83203151872738</v>
      </c>
    </row>
    <row r="208" spans="1:4" x14ac:dyDescent="0.3">
      <c r="A208" s="2">
        <f t="shared" si="4"/>
        <v>46057</v>
      </c>
      <c r="B208" s="3">
        <f t="shared" si="5"/>
        <v>0.58333333333333304</v>
      </c>
      <c r="C208" s="5">
        <v>508.21</v>
      </c>
      <c r="D208" s="7">
        <v>528.02766286333576</v>
      </c>
    </row>
    <row r="209" spans="1:4" x14ac:dyDescent="0.3">
      <c r="A209" s="2">
        <f t="shared" si="4"/>
        <v>46057</v>
      </c>
      <c r="B209" s="3">
        <f t="shared" si="5"/>
        <v>0.625</v>
      </c>
      <c r="C209" s="5">
        <v>496.45</v>
      </c>
      <c r="D209" s="7">
        <v>520.24346293291774</v>
      </c>
    </row>
    <row r="210" spans="1:4" x14ac:dyDescent="0.3">
      <c r="A210" s="2">
        <f t="shared" si="4"/>
        <v>46057</v>
      </c>
      <c r="B210" s="3">
        <f t="shared" si="5"/>
        <v>0.66666666666666696</v>
      </c>
      <c r="C210" s="5">
        <v>491.79</v>
      </c>
      <c r="D210" s="7">
        <v>514.26555922646764</v>
      </c>
    </row>
    <row r="211" spans="1:4" x14ac:dyDescent="0.3">
      <c r="A211" s="2">
        <f t="shared" si="4"/>
        <v>46057</v>
      </c>
      <c r="B211" s="3">
        <f t="shared" si="5"/>
        <v>0.70833333333333304</v>
      </c>
      <c r="C211" s="5">
        <v>491.79</v>
      </c>
      <c r="D211" s="7">
        <v>507.78430718152072</v>
      </c>
    </row>
    <row r="212" spans="1:4" x14ac:dyDescent="0.3">
      <c r="A212" s="2">
        <f t="shared" si="4"/>
        <v>46057</v>
      </c>
      <c r="B212" s="3">
        <f t="shared" si="5"/>
        <v>0.75</v>
      </c>
      <c r="C212" s="5">
        <v>487.16</v>
      </c>
      <c r="D212" s="7">
        <v>504.34658481014878</v>
      </c>
    </row>
    <row r="213" spans="1:4" x14ac:dyDescent="0.3">
      <c r="A213" s="2">
        <f t="shared" si="4"/>
        <v>46057</v>
      </c>
      <c r="B213" s="3">
        <f t="shared" si="5"/>
        <v>0.79166666666666696</v>
      </c>
      <c r="C213" s="5">
        <v>487.16</v>
      </c>
      <c r="D213" s="7">
        <v>502.65512052823209</v>
      </c>
    </row>
    <row r="214" spans="1:4" x14ac:dyDescent="0.3">
      <c r="A214" s="2">
        <f t="shared" si="4"/>
        <v>46057</v>
      </c>
      <c r="B214" s="3">
        <f t="shared" si="5"/>
        <v>0.83333333333333304</v>
      </c>
      <c r="C214" s="5">
        <v>487.16</v>
      </c>
      <c r="D214" s="7">
        <v>500.63630978239178</v>
      </c>
    </row>
    <row r="215" spans="1:4" x14ac:dyDescent="0.3">
      <c r="A215" s="2">
        <f t="shared" si="4"/>
        <v>46057</v>
      </c>
      <c r="B215" s="3">
        <f t="shared" si="5"/>
        <v>0.875</v>
      </c>
      <c r="C215" s="5">
        <v>498.79</v>
      </c>
      <c r="D215" s="7">
        <v>500.14385099830042</v>
      </c>
    </row>
    <row r="216" spans="1:4" x14ac:dyDescent="0.3">
      <c r="A216" s="2">
        <f t="shared" si="4"/>
        <v>46057</v>
      </c>
      <c r="B216" s="3">
        <f t="shared" si="5"/>
        <v>0.91666666666666696</v>
      </c>
      <c r="C216" s="5">
        <v>510.58</v>
      </c>
      <c r="D216" s="7">
        <v>502.22126339461653</v>
      </c>
    </row>
    <row r="217" spans="1:4" x14ac:dyDescent="0.3">
      <c r="A217" s="2">
        <f t="shared" si="4"/>
        <v>46057</v>
      </c>
      <c r="B217" s="3">
        <f t="shared" si="5"/>
        <v>0.95833333333333304</v>
      </c>
      <c r="C217" s="5">
        <v>512.95000000000005</v>
      </c>
      <c r="D217" s="7">
        <v>504.95193157939508</v>
      </c>
    </row>
    <row r="218" spans="1:4" x14ac:dyDescent="0.3">
      <c r="A218" s="2">
        <f t="shared" si="4"/>
        <v>46058</v>
      </c>
      <c r="B218" s="3">
        <f t="shared" si="5"/>
        <v>0</v>
      </c>
      <c r="C218" s="5">
        <v>512.95000000000005</v>
      </c>
      <c r="D218" s="7">
        <v>505.98939113754358</v>
      </c>
    </row>
    <row r="219" spans="1:4" x14ac:dyDescent="0.3">
      <c r="A219" s="2">
        <f t="shared" ref="A219:A267" si="6">+A195+1</f>
        <v>46058</v>
      </c>
      <c r="B219" s="3">
        <f t="shared" ref="B219:B267" si="7">+B195</f>
        <v>4.1666666666666664E-2</v>
      </c>
      <c r="C219" s="5">
        <v>512.95000000000005</v>
      </c>
      <c r="D219" s="7">
        <v>503.23219904154001</v>
      </c>
    </row>
    <row r="220" spans="1:4" x14ac:dyDescent="0.3">
      <c r="A220" s="2">
        <f t="shared" si="6"/>
        <v>46058</v>
      </c>
      <c r="B220" s="3">
        <f t="shared" si="7"/>
        <v>8.3333333333333301E-2</v>
      </c>
      <c r="C220" s="5">
        <v>510.58</v>
      </c>
      <c r="D220" s="7">
        <v>502.91758002817392</v>
      </c>
    </row>
    <row r="221" spans="1:4" x14ac:dyDescent="0.3">
      <c r="A221" s="2">
        <f t="shared" si="6"/>
        <v>46058</v>
      </c>
      <c r="B221" s="3">
        <f t="shared" si="7"/>
        <v>0.125</v>
      </c>
      <c r="C221" s="5">
        <v>508.21</v>
      </c>
      <c r="D221" s="7">
        <v>503.11291435617647</v>
      </c>
    </row>
    <row r="222" spans="1:4" x14ac:dyDescent="0.3">
      <c r="A222" s="2">
        <f t="shared" si="6"/>
        <v>46058</v>
      </c>
      <c r="B222" s="3">
        <f t="shared" si="7"/>
        <v>0.16666666666666699</v>
      </c>
      <c r="C222" s="5">
        <v>503.48</v>
      </c>
      <c r="D222" s="7">
        <v>502.3023593657943</v>
      </c>
    </row>
    <row r="223" spans="1:4" x14ac:dyDescent="0.3">
      <c r="A223" s="2">
        <f t="shared" si="6"/>
        <v>46058</v>
      </c>
      <c r="B223" s="3">
        <f t="shared" si="7"/>
        <v>0.20833333333333301</v>
      </c>
      <c r="C223" s="5">
        <v>501.13</v>
      </c>
      <c r="D223" s="7">
        <v>501.17496239635102</v>
      </c>
    </row>
    <row r="224" spans="1:4" x14ac:dyDescent="0.3">
      <c r="A224" s="2">
        <f t="shared" si="6"/>
        <v>46058</v>
      </c>
      <c r="B224" s="3">
        <f t="shared" si="7"/>
        <v>0.25</v>
      </c>
      <c r="C224" s="5">
        <v>491.79</v>
      </c>
      <c r="D224" s="7">
        <v>500.82644659211172</v>
      </c>
    </row>
    <row r="225" spans="1:4" x14ac:dyDescent="0.3">
      <c r="A225" s="2">
        <f t="shared" si="6"/>
        <v>46058</v>
      </c>
      <c r="B225" s="3">
        <f t="shared" si="7"/>
        <v>0.29166666666666702</v>
      </c>
      <c r="C225" s="5">
        <v>491.79</v>
      </c>
      <c r="D225" s="7">
        <v>500.04408098973238</v>
      </c>
    </row>
    <row r="226" spans="1:4" x14ac:dyDescent="0.3">
      <c r="A226" s="2">
        <f t="shared" si="6"/>
        <v>46058</v>
      </c>
      <c r="B226" s="3">
        <f t="shared" si="7"/>
        <v>0.33333333333333298</v>
      </c>
      <c r="C226" s="5">
        <v>501.13</v>
      </c>
      <c r="D226" s="7">
        <v>499.76611171480693</v>
      </c>
    </row>
    <row r="227" spans="1:4" x14ac:dyDescent="0.3">
      <c r="A227" s="2">
        <f t="shared" si="6"/>
        <v>46058</v>
      </c>
      <c r="B227" s="3">
        <f t="shared" si="7"/>
        <v>0.375</v>
      </c>
      <c r="C227" s="5">
        <v>508.21</v>
      </c>
      <c r="D227" s="7">
        <v>499.16021704892358</v>
      </c>
    </row>
    <row r="228" spans="1:4" x14ac:dyDescent="0.3">
      <c r="A228" s="2">
        <f t="shared" si="6"/>
        <v>46058</v>
      </c>
      <c r="B228" s="3">
        <f t="shared" si="7"/>
        <v>0.41666666666666702</v>
      </c>
      <c r="C228" s="5">
        <v>512.95000000000005</v>
      </c>
      <c r="D228" s="7">
        <v>499.71973354816481</v>
      </c>
    </row>
    <row r="229" spans="1:4" x14ac:dyDescent="0.3">
      <c r="A229" s="2">
        <f t="shared" si="6"/>
        <v>46058</v>
      </c>
      <c r="B229" s="3">
        <f t="shared" si="7"/>
        <v>0.45833333333333298</v>
      </c>
      <c r="C229" s="5">
        <v>517.73</v>
      </c>
      <c r="D229" s="7">
        <v>501.51288498044647</v>
      </c>
    </row>
    <row r="230" spans="1:4" x14ac:dyDescent="0.3">
      <c r="A230" s="2">
        <f t="shared" si="6"/>
        <v>46058</v>
      </c>
      <c r="B230" s="3">
        <f t="shared" si="7"/>
        <v>0.5</v>
      </c>
      <c r="C230" s="5">
        <v>517.73</v>
      </c>
      <c r="D230" s="7">
        <v>502.69847713309849</v>
      </c>
    </row>
    <row r="231" spans="1:4" x14ac:dyDescent="0.3">
      <c r="A231" s="2">
        <f t="shared" si="6"/>
        <v>46058</v>
      </c>
      <c r="B231" s="3">
        <f t="shared" si="7"/>
        <v>0.54166666666666696</v>
      </c>
      <c r="C231" s="5">
        <v>508.21</v>
      </c>
      <c r="D231" s="7">
        <v>503.73969584057937</v>
      </c>
    </row>
    <row r="232" spans="1:4" x14ac:dyDescent="0.3">
      <c r="A232" s="2">
        <f t="shared" si="6"/>
        <v>46058</v>
      </c>
      <c r="B232" s="3">
        <f t="shared" si="7"/>
        <v>0.58333333333333304</v>
      </c>
      <c r="C232" s="5">
        <v>494.12</v>
      </c>
      <c r="D232" s="7">
        <v>505.74510653049202</v>
      </c>
    </row>
    <row r="233" spans="1:4" x14ac:dyDescent="0.3">
      <c r="A233" s="2">
        <f t="shared" si="6"/>
        <v>46058</v>
      </c>
      <c r="B233" s="3">
        <f t="shared" si="7"/>
        <v>0.625</v>
      </c>
      <c r="C233" s="5">
        <v>477.97</v>
      </c>
      <c r="D233" s="7">
        <v>504.74410654477168</v>
      </c>
    </row>
    <row r="234" spans="1:4" x14ac:dyDescent="0.3">
      <c r="A234" s="2">
        <f t="shared" si="6"/>
        <v>46058</v>
      </c>
      <c r="B234" s="3">
        <f t="shared" si="7"/>
        <v>0.66666666666666696</v>
      </c>
      <c r="C234" s="5">
        <v>457.67</v>
      </c>
      <c r="D234" s="7">
        <v>499.73648335742939</v>
      </c>
    </row>
    <row r="235" spans="1:4" x14ac:dyDescent="0.3">
      <c r="A235" s="2">
        <f t="shared" si="6"/>
        <v>46058</v>
      </c>
      <c r="B235" s="3">
        <f t="shared" si="7"/>
        <v>0.70833333333333304</v>
      </c>
      <c r="C235" s="5">
        <v>444.42</v>
      </c>
      <c r="D235" s="7">
        <v>490.47169703436219</v>
      </c>
    </row>
    <row r="236" spans="1:4" x14ac:dyDescent="0.3">
      <c r="A236" s="2">
        <f t="shared" si="6"/>
        <v>46058</v>
      </c>
      <c r="B236" s="3">
        <f t="shared" si="7"/>
        <v>0.75</v>
      </c>
      <c r="C236" s="5">
        <v>437.89</v>
      </c>
      <c r="D236" s="7">
        <v>478.38530496088828</v>
      </c>
    </row>
    <row r="237" spans="1:4" x14ac:dyDescent="0.3">
      <c r="A237" s="2">
        <f t="shared" si="6"/>
        <v>46058</v>
      </c>
      <c r="B237" s="3">
        <f t="shared" si="7"/>
        <v>0.79166666666666696</v>
      </c>
      <c r="C237" s="5">
        <v>431.41</v>
      </c>
      <c r="D237" s="7">
        <v>467.83799308672269</v>
      </c>
    </row>
    <row r="238" spans="1:4" x14ac:dyDescent="0.3">
      <c r="A238" s="2">
        <f t="shared" si="6"/>
        <v>46058</v>
      </c>
      <c r="B238" s="3">
        <f t="shared" si="7"/>
        <v>0.83333333333333304</v>
      </c>
      <c r="C238" s="5">
        <v>427.12</v>
      </c>
      <c r="D238" s="7">
        <v>458.6436341697833</v>
      </c>
    </row>
    <row r="239" spans="1:4" x14ac:dyDescent="0.3">
      <c r="A239" s="2">
        <f t="shared" si="6"/>
        <v>46058</v>
      </c>
      <c r="B239" s="3">
        <f t="shared" si="7"/>
        <v>0.875</v>
      </c>
      <c r="C239" s="5">
        <v>427.12</v>
      </c>
      <c r="D239" s="7">
        <v>450.55329538310161</v>
      </c>
    </row>
    <row r="240" spans="1:4" x14ac:dyDescent="0.3">
      <c r="A240" s="2">
        <f t="shared" si="6"/>
        <v>46058</v>
      </c>
      <c r="B240" s="3">
        <f t="shared" si="7"/>
        <v>0.91666666666666696</v>
      </c>
      <c r="C240" s="5">
        <v>420.73</v>
      </c>
      <c r="D240" s="7">
        <v>442.9980347784126</v>
      </c>
    </row>
    <row r="241" spans="1:4" x14ac:dyDescent="0.3">
      <c r="A241" s="2">
        <f t="shared" si="6"/>
        <v>46058</v>
      </c>
      <c r="B241" s="3">
        <f t="shared" si="7"/>
        <v>0.95833333333333304</v>
      </c>
      <c r="C241" s="5">
        <v>420.73</v>
      </c>
      <c r="D241" s="7">
        <v>436.95293058116027</v>
      </c>
    </row>
    <row r="242" spans="1:4" x14ac:dyDescent="0.3">
      <c r="A242" s="2">
        <f t="shared" si="6"/>
        <v>46059</v>
      </c>
      <c r="B242" s="3">
        <f t="shared" si="7"/>
        <v>0</v>
      </c>
      <c r="C242" s="5">
        <v>422.85</v>
      </c>
      <c r="D242" s="7">
        <v>433.33455140085567</v>
      </c>
    </row>
    <row r="243" spans="1:4" x14ac:dyDescent="0.3">
      <c r="A243" s="2">
        <f t="shared" si="6"/>
        <v>46059</v>
      </c>
      <c r="B243" s="3">
        <f t="shared" si="7"/>
        <v>4.1666666666666664E-2</v>
      </c>
      <c r="C243" s="5">
        <v>433.56</v>
      </c>
      <c r="D243" s="7">
        <v>430.86014066654428</v>
      </c>
    </row>
    <row r="244" spans="1:4" x14ac:dyDescent="0.3">
      <c r="A244" s="2">
        <f t="shared" si="6"/>
        <v>46059</v>
      </c>
      <c r="B244" s="3">
        <f t="shared" si="7"/>
        <v>8.3333333333333301E-2</v>
      </c>
      <c r="C244" s="5">
        <v>451.02</v>
      </c>
      <c r="D244" s="7">
        <v>429.94520346040599</v>
      </c>
    </row>
    <row r="245" spans="1:4" x14ac:dyDescent="0.3">
      <c r="A245" s="2">
        <f t="shared" si="6"/>
        <v>46059</v>
      </c>
      <c r="B245" s="3">
        <f t="shared" si="7"/>
        <v>0.125</v>
      </c>
      <c r="C245" s="5">
        <v>457.67</v>
      </c>
      <c r="D245" s="7">
        <v>432.06622318978879</v>
      </c>
    </row>
    <row r="246" spans="1:4" x14ac:dyDescent="0.3">
      <c r="A246" s="2">
        <f t="shared" si="6"/>
        <v>46059</v>
      </c>
      <c r="B246" s="3">
        <f t="shared" si="7"/>
        <v>0.16666666666666699</v>
      </c>
      <c r="C246" s="5">
        <v>451.02</v>
      </c>
      <c r="D246" s="7">
        <v>434.16682318665062</v>
      </c>
    </row>
    <row r="247" spans="1:4" x14ac:dyDescent="0.3">
      <c r="A247" s="2">
        <f t="shared" si="6"/>
        <v>46059</v>
      </c>
      <c r="B247" s="3">
        <f t="shared" si="7"/>
        <v>0.20833333333333301</v>
      </c>
      <c r="C247" s="5">
        <v>442.24</v>
      </c>
      <c r="D247" s="7">
        <v>435.58004255076969</v>
      </c>
    </row>
    <row r="248" spans="1:4" x14ac:dyDescent="0.3">
      <c r="A248" s="2">
        <f t="shared" si="6"/>
        <v>46059</v>
      </c>
      <c r="B248" s="3">
        <f t="shared" si="7"/>
        <v>0.25</v>
      </c>
      <c r="C248" s="5">
        <v>437.89</v>
      </c>
      <c r="D248" s="7">
        <v>437.77419808889942</v>
      </c>
    </row>
    <row r="249" spans="1:4" x14ac:dyDescent="0.3">
      <c r="A249" s="2">
        <f t="shared" si="6"/>
        <v>46059</v>
      </c>
      <c r="B249" s="3">
        <f t="shared" si="7"/>
        <v>0.29166666666666702</v>
      </c>
      <c r="D249" s="7">
        <v>437.18688101562901</v>
      </c>
    </row>
    <row r="250" spans="1:4" x14ac:dyDescent="0.3">
      <c r="A250" s="2">
        <f t="shared" si="6"/>
        <v>46059</v>
      </c>
      <c r="B250" s="3">
        <f t="shared" si="7"/>
        <v>0.33333333333333298</v>
      </c>
      <c r="D250" s="7">
        <v>436.83226044036297</v>
      </c>
    </row>
    <row r="251" spans="1:4" x14ac:dyDescent="0.3">
      <c r="A251" s="2">
        <f t="shared" si="6"/>
        <v>46059</v>
      </c>
      <c r="B251" s="3">
        <f t="shared" si="7"/>
        <v>0.375</v>
      </c>
      <c r="D251" s="7">
        <v>436.61920390775708</v>
      </c>
    </row>
    <row r="252" spans="1:4" x14ac:dyDescent="0.3">
      <c r="A252" s="2">
        <f t="shared" si="6"/>
        <v>46059</v>
      </c>
      <c r="B252" s="3">
        <f t="shared" si="7"/>
        <v>0.41666666666666702</v>
      </c>
      <c r="D252" s="7">
        <v>436.24703917573697</v>
      </c>
    </row>
    <row r="253" spans="1:4" x14ac:dyDescent="0.3">
      <c r="A253" s="2">
        <f t="shared" si="6"/>
        <v>46059</v>
      </c>
      <c r="B253" s="3">
        <f t="shared" si="7"/>
        <v>0.45833333333333298</v>
      </c>
      <c r="D253" s="7">
        <v>435.9228771156794</v>
      </c>
    </row>
    <row r="254" spans="1:4" x14ac:dyDescent="0.3">
      <c r="A254" s="2">
        <f t="shared" si="6"/>
        <v>46059</v>
      </c>
      <c r="B254" s="3">
        <f t="shared" si="7"/>
        <v>0.5</v>
      </c>
      <c r="D254" s="7">
        <v>434.25649665909418</v>
      </c>
    </row>
    <row r="255" spans="1:4" x14ac:dyDescent="0.3">
      <c r="A255" s="2">
        <f t="shared" si="6"/>
        <v>46059</v>
      </c>
      <c r="B255" s="3">
        <f t="shared" si="7"/>
        <v>0.54166666666666696</v>
      </c>
      <c r="D255" s="7">
        <v>427.85839901926113</v>
      </c>
    </row>
    <row r="256" spans="1:4" x14ac:dyDescent="0.3">
      <c r="A256" s="2">
        <f t="shared" si="6"/>
        <v>46059</v>
      </c>
      <c r="B256" s="3">
        <f t="shared" si="7"/>
        <v>0.58333333333333304</v>
      </c>
      <c r="D256" s="7">
        <v>419.52414067619748</v>
      </c>
    </row>
    <row r="257" spans="1:4" x14ac:dyDescent="0.3">
      <c r="A257" s="2">
        <f t="shared" si="6"/>
        <v>46059</v>
      </c>
      <c r="B257" s="3">
        <f t="shared" si="7"/>
        <v>0.625</v>
      </c>
      <c r="D257" s="7">
        <v>415.1316528062153</v>
      </c>
    </row>
    <row r="258" spans="1:4" x14ac:dyDescent="0.3">
      <c r="A258" s="2">
        <f t="shared" si="6"/>
        <v>46059</v>
      </c>
      <c r="B258" s="3">
        <f t="shared" si="7"/>
        <v>0.66666666666666696</v>
      </c>
      <c r="D258" s="7">
        <v>418.81247746523718</v>
      </c>
    </row>
    <row r="259" spans="1:4" x14ac:dyDescent="0.3">
      <c r="A259" s="2">
        <f t="shared" si="6"/>
        <v>46059</v>
      </c>
      <c r="B259" s="3">
        <f t="shared" si="7"/>
        <v>0.70833333333333304</v>
      </c>
      <c r="D259" s="7">
        <v>423.82867391472217</v>
      </c>
    </row>
    <row r="260" spans="1:4" x14ac:dyDescent="0.3">
      <c r="A260" s="2">
        <f t="shared" si="6"/>
        <v>46059</v>
      </c>
      <c r="B260" s="3">
        <f t="shared" si="7"/>
        <v>0.75</v>
      </c>
      <c r="D260" s="7">
        <v>427.91941590176441</v>
      </c>
    </row>
    <row r="261" spans="1:4" x14ac:dyDescent="0.3">
      <c r="A261" s="2">
        <f t="shared" si="6"/>
        <v>46059</v>
      </c>
      <c r="B261" s="3">
        <f t="shared" si="7"/>
        <v>0.79166666666666696</v>
      </c>
      <c r="D261" s="7">
        <v>430.75086235770721</v>
      </c>
    </row>
    <row r="262" spans="1:4" x14ac:dyDescent="0.3">
      <c r="A262" s="2">
        <f t="shared" si="6"/>
        <v>46059</v>
      </c>
      <c r="B262" s="3">
        <f t="shared" si="7"/>
        <v>0.83333333333333304</v>
      </c>
      <c r="D262" s="7">
        <v>432.5543787767366</v>
      </c>
    </row>
    <row r="263" spans="1:4" x14ac:dyDescent="0.3">
      <c r="A263" s="2">
        <f t="shared" si="6"/>
        <v>46059</v>
      </c>
      <c r="B263" s="3">
        <f t="shared" si="7"/>
        <v>0.875</v>
      </c>
      <c r="D263" s="7">
        <v>433.6447909198173</v>
      </c>
    </row>
    <row r="264" spans="1:4" x14ac:dyDescent="0.3">
      <c r="A264" s="2">
        <f t="shared" si="6"/>
        <v>46059</v>
      </c>
      <c r="B264" s="3">
        <f t="shared" si="7"/>
        <v>0.91666666666666696</v>
      </c>
      <c r="D264" s="7">
        <v>434.03658317398288</v>
      </c>
    </row>
    <row r="265" spans="1:4" x14ac:dyDescent="0.3">
      <c r="A265" s="2">
        <f t="shared" si="6"/>
        <v>46059</v>
      </c>
      <c r="B265" s="3">
        <f t="shared" si="7"/>
        <v>0.95833333333333304</v>
      </c>
      <c r="D265" s="7">
        <v>434.15053348564129</v>
      </c>
    </row>
    <row r="266" spans="1:4" x14ac:dyDescent="0.3">
      <c r="A266" s="2">
        <f t="shared" si="6"/>
        <v>46060</v>
      </c>
      <c r="B266" s="3">
        <f t="shared" si="7"/>
        <v>0</v>
      </c>
      <c r="D266" s="7">
        <v>434.16129870405717</v>
      </c>
    </row>
    <row r="267" spans="1:4" x14ac:dyDescent="0.3">
      <c r="A267" s="2">
        <f t="shared" si="6"/>
        <v>46060</v>
      </c>
      <c r="B267" s="3">
        <f t="shared" si="7"/>
        <v>4.1666666666666664E-2</v>
      </c>
      <c r="D267" s="7">
        <v>434.38084119150932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B4D60-2985-4AA1-BFC4-21A9D1CECB78}">
  <dimension ref="A1:ID49"/>
  <sheetViews>
    <sheetView workbookViewId="0">
      <selection activeCell="B2" sqref="B2:ID49"/>
    </sheetView>
  </sheetViews>
  <sheetFormatPr baseColWidth="10" defaultRowHeight="15" x14ac:dyDescent="0.25"/>
  <sheetData>
    <row r="1" spans="1:238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  <c r="J1" t="s">
        <v>15</v>
      </c>
      <c r="K1" t="s">
        <v>16</v>
      </c>
      <c r="L1" t="s">
        <v>17</v>
      </c>
      <c r="M1" t="s">
        <v>18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27</v>
      </c>
      <c r="W1" t="s">
        <v>28</v>
      </c>
      <c r="X1" t="s">
        <v>29</v>
      </c>
      <c r="Y1" t="s">
        <v>30</v>
      </c>
      <c r="Z1" t="s">
        <v>31</v>
      </c>
      <c r="AA1" t="s">
        <v>32</v>
      </c>
      <c r="AB1" t="s">
        <v>33</v>
      </c>
      <c r="AC1" t="s">
        <v>34</v>
      </c>
      <c r="AD1" t="s">
        <v>35</v>
      </c>
      <c r="AE1" t="s">
        <v>36</v>
      </c>
      <c r="AF1" t="s">
        <v>37</v>
      </c>
      <c r="AG1" t="s">
        <v>38</v>
      </c>
      <c r="AH1" t="s">
        <v>39</v>
      </c>
      <c r="AI1" t="s">
        <v>40</v>
      </c>
      <c r="AJ1" t="s">
        <v>41</v>
      </c>
      <c r="AK1" t="s">
        <v>42</v>
      </c>
      <c r="AL1" t="s">
        <v>43</v>
      </c>
      <c r="AM1" t="s">
        <v>44</v>
      </c>
      <c r="AN1" t="s">
        <v>45</v>
      </c>
      <c r="AO1" t="s">
        <v>46</v>
      </c>
      <c r="AP1" t="s">
        <v>47</v>
      </c>
      <c r="AQ1" t="s">
        <v>48</v>
      </c>
      <c r="AR1" t="s">
        <v>49</v>
      </c>
      <c r="AS1" t="s">
        <v>50</v>
      </c>
      <c r="AT1" t="s">
        <v>51</v>
      </c>
      <c r="AU1" t="s">
        <v>52</v>
      </c>
      <c r="AV1" t="s">
        <v>53</v>
      </c>
      <c r="AW1" t="s">
        <v>54</v>
      </c>
      <c r="AX1" t="s">
        <v>55</v>
      </c>
      <c r="AY1" t="s">
        <v>56</v>
      </c>
      <c r="AZ1" t="s">
        <v>57</v>
      </c>
      <c r="BA1" t="s">
        <v>58</v>
      </c>
      <c r="BB1" t="s">
        <v>59</v>
      </c>
      <c r="BC1" t="s">
        <v>60</v>
      </c>
      <c r="BD1" t="s">
        <v>61</v>
      </c>
      <c r="BE1" t="s">
        <v>62</v>
      </c>
      <c r="BF1" t="s">
        <v>63</v>
      </c>
      <c r="BG1" t="s">
        <v>64</v>
      </c>
      <c r="BH1" t="s">
        <v>65</v>
      </c>
      <c r="BI1" t="s">
        <v>66</v>
      </c>
      <c r="BJ1" t="s">
        <v>67</v>
      </c>
      <c r="BK1" t="s">
        <v>68</v>
      </c>
      <c r="BL1" t="s">
        <v>69</v>
      </c>
      <c r="BM1" t="s">
        <v>70</v>
      </c>
      <c r="BN1" t="s">
        <v>71</v>
      </c>
      <c r="BO1" t="s">
        <v>72</v>
      </c>
      <c r="BP1" t="s">
        <v>73</v>
      </c>
      <c r="BQ1" t="s">
        <v>74</v>
      </c>
      <c r="BR1" t="s">
        <v>75</v>
      </c>
      <c r="BS1" t="s">
        <v>76</v>
      </c>
      <c r="BT1" t="s">
        <v>77</v>
      </c>
      <c r="BU1" t="s">
        <v>78</v>
      </c>
      <c r="BV1" t="s">
        <v>79</v>
      </c>
      <c r="BW1" t="s">
        <v>80</v>
      </c>
      <c r="BX1" t="s">
        <v>81</v>
      </c>
      <c r="BY1" t="s">
        <v>82</v>
      </c>
      <c r="BZ1" t="s">
        <v>83</v>
      </c>
      <c r="CA1" t="s">
        <v>84</v>
      </c>
      <c r="CB1" t="s">
        <v>85</v>
      </c>
      <c r="CC1" t="s">
        <v>86</v>
      </c>
      <c r="CD1" t="s">
        <v>87</v>
      </c>
      <c r="CE1" t="s">
        <v>88</v>
      </c>
      <c r="CF1" t="s">
        <v>89</v>
      </c>
      <c r="CG1" t="s">
        <v>90</v>
      </c>
      <c r="CH1" t="s">
        <v>91</v>
      </c>
      <c r="CI1" t="s">
        <v>92</v>
      </c>
      <c r="CJ1" t="s">
        <v>93</v>
      </c>
      <c r="CK1" t="s">
        <v>94</v>
      </c>
      <c r="CL1" t="s">
        <v>95</v>
      </c>
      <c r="CM1" t="s">
        <v>96</v>
      </c>
      <c r="CN1" t="s">
        <v>97</v>
      </c>
      <c r="CO1" t="s">
        <v>98</v>
      </c>
      <c r="CP1" t="s">
        <v>99</v>
      </c>
      <c r="CQ1" t="s">
        <v>100</v>
      </c>
      <c r="CR1" t="s">
        <v>101</v>
      </c>
      <c r="CS1" t="s">
        <v>102</v>
      </c>
      <c r="CT1" t="s">
        <v>103</v>
      </c>
      <c r="CU1" t="s">
        <v>104</v>
      </c>
      <c r="CV1" t="s">
        <v>105</v>
      </c>
      <c r="CW1" t="s">
        <v>106</v>
      </c>
      <c r="CX1" t="s">
        <v>107</v>
      </c>
      <c r="CY1" t="s">
        <v>108</v>
      </c>
      <c r="CZ1" t="s">
        <v>109</v>
      </c>
      <c r="DA1" t="s">
        <v>110</v>
      </c>
      <c r="DB1" t="s">
        <v>111</v>
      </c>
      <c r="DC1" t="s">
        <v>112</v>
      </c>
      <c r="DD1" t="s">
        <v>113</v>
      </c>
      <c r="DE1" t="s">
        <v>114</v>
      </c>
      <c r="DF1" t="s">
        <v>115</v>
      </c>
      <c r="DG1" t="s">
        <v>116</v>
      </c>
      <c r="DH1" t="s">
        <v>117</v>
      </c>
      <c r="DI1" t="s">
        <v>118</v>
      </c>
      <c r="DJ1" t="s">
        <v>119</v>
      </c>
      <c r="DK1" t="s">
        <v>120</v>
      </c>
      <c r="DL1" t="s">
        <v>121</v>
      </c>
      <c r="DM1" t="s">
        <v>122</v>
      </c>
      <c r="DN1" t="s">
        <v>123</v>
      </c>
      <c r="DO1" t="s">
        <v>124</v>
      </c>
      <c r="DP1" t="s">
        <v>125</v>
      </c>
      <c r="DQ1" t="s">
        <v>126</v>
      </c>
      <c r="DR1" t="s">
        <v>127</v>
      </c>
      <c r="DS1" t="s">
        <v>128</v>
      </c>
      <c r="DT1" t="s">
        <v>129</v>
      </c>
      <c r="DU1" t="s">
        <v>130</v>
      </c>
      <c r="DV1" t="s">
        <v>131</v>
      </c>
      <c r="DW1" t="s">
        <v>132</v>
      </c>
      <c r="DX1" t="s">
        <v>133</v>
      </c>
      <c r="DY1" t="s">
        <v>134</v>
      </c>
      <c r="DZ1" t="s">
        <v>135</v>
      </c>
      <c r="EA1" t="s">
        <v>136</v>
      </c>
      <c r="EB1" t="s">
        <v>137</v>
      </c>
      <c r="EC1" t="s">
        <v>138</v>
      </c>
      <c r="ED1" t="s">
        <v>139</v>
      </c>
      <c r="EE1" t="s">
        <v>140</v>
      </c>
      <c r="EF1" t="s">
        <v>141</v>
      </c>
      <c r="EG1" t="s">
        <v>142</v>
      </c>
      <c r="EH1" t="s">
        <v>143</v>
      </c>
      <c r="EI1" t="s">
        <v>144</v>
      </c>
      <c r="EJ1" t="s">
        <v>145</v>
      </c>
      <c r="EK1" t="s">
        <v>146</v>
      </c>
      <c r="EL1" t="s">
        <v>147</v>
      </c>
      <c r="EM1" t="s">
        <v>148</v>
      </c>
      <c r="EN1" t="s">
        <v>149</v>
      </c>
      <c r="EO1" t="s">
        <v>150</v>
      </c>
      <c r="EP1" t="s">
        <v>151</v>
      </c>
      <c r="EQ1" t="s">
        <v>152</v>
      </c>
      <c r="ER1" t="s">
        <v>153</v>
      </c>
      <c r="ES1" t="s">
        <v>154</v>
      </c>
      <c r="ET1" t="s">
        <v>155</v>
      </c>
      <c r="EU1" t="s">
        <v>156</v>
      </c>
      <c r="EV1" t="s">
        <v>157</v>
      </c>
      <c r="EW1" t="s">
        <v>158</v>
      </c>
      <c r="EX1" t="s">
        <v>159</v>
      </c>
      <c r="EY1" t="s">
        <v>160</v>
      </c>
      <c r="EZ1" t="s">
        <v>161</v>
      </c>
      <c r="FA1" t="s">
        <v>162</v>
      </c>
      <c r="FB1" t="s">
        <v>163</v>
      </c>
      <c r="FC1" t="s">
        <v>164</v>
      </c>
      <c r="FD1" t="s">
        <v>165</v>
      </c>
      <c r="FE1" t="s">
        <v>166</v>
      </c>
      <c r="FF1" t="s">
        <v>167</v>
      </c>
      <c r="FG1" t="s">
        <v>168</v>
      </c>
      <c r="FH1" t="s">
        <v>169</v>
      </c>
      <c r="FI1" t="s">
        <v>170</v>
      </c>
      <c r="FJ1" t="s">
        <v>171</v>
      </c>
      <c r="FK1" t="s">
        <v>172</v>
      </c>
      <c r="FL1" t="s">
        <v>173</v>
      </c>
      <c r="FM1" t="s">
        <v>174</v>
      </c>
      <c r="FN1" t="s">
        <v>175</v>
      </c>
      <c r="FO1" t="s">
        <v>176</v>
      </c>
      <c r="FP1" t="s">
        <v>177</v>
      </c>
      <c r="FQ1" t="s">
        <v>178</v>
      </c>
      <c r="FR1" t="s">
        <v>179</v>
      </c>
      <c r="FS1" t="s">
        <v>180</v>
      </c>
      <c r="FT1" t="s">
        <v>181</v>
      </c>
      <c r="FU1" t="s">
        <v>182</v>
      </c>
      <c r="FV1" t="s">
        <v>183</v>
      </c>
      <c r="FW1" t="s">
        <v>184</v>
      </c>
      <c r="FX1" t="s">
        <v>185</v>
      </c>
      <c r="FY1" t="s">
        <v>186</v>
      </c>
      <c r="FZ1" t="s">
        <v>187</v>
      </c>
      <c r="GA1" t="s">
        <v>188</v>
      </c>
      <c r="GB1" t="s">
        <v>189</v>
      </c>
      <c r="GC1" t="s">
        <v>190</v>
      </c>
      <c r="GD1" t="s">
        <v>191</v>
      </c>
      <c r="GE1" t="s">
        <v>192</v>
      </c>
      <c r="GF1" t="s">
        <v>193</v>
      </c>
      <c r="GG1" t="s">
        <v>194</v>
      </c>
      <c r="GH1" t="s">
        <v>195</v>
      </c>
      <c r="GI1" t="s">
        <v>196</v>
      </c>
      <c r="GJ1" t="s">
        <v>197</v>
      </c>
      <c r="GK1" t="s">
        <v>198</v>
      </c>
      <c r="GL1" t="s">
        <v>199</v>
      </c>
      <c r="GM1" t="s">
        <v>200</v>
      </c>
      <c r="GN1" t="s">
        <v>201</v>
      </c>
      <c r="GO1" t="s">
        <v>202</v>
      </c>
      <c r="GP1" t="s">
        <v>203</v>
      </c>
      <c r="GQ1" t="s">
        <v>204</v>
      </c>
      <c r="GR1" t="s">
        <v>205</v>
      </c>
      <c r="GS1" t="s">
        <v>206</v>
      </c>
      <c r="GT1" t="s">
        <v>207</v>
      </c>
      <c r="GU1" t="s">
        <v>208</v>
      </c>
      <c r="GV1" t="s">
        <v>209</v>
      </c>
      <c r="GW1" t="s">
        <v>210</v>
      </c>
      <c r="GX1" t="s">
        <v>211</v>
      </c>
      <c r="GY1" t="s">
        <v>212</v>
      </c>
      <c r="GZ1" t="s">
        <v>213</v>
      </c>
      <c r="HA1" t="s">
        <v>214</v>
      </c>
      <c r="HB1" t="s">
        <v>215</v>
      </c>
      <c r="HC1" t="s">
        <v>216</v>
      </c>
      <c r="HD1" t="s">
        <v>217</v>
      </c>
      <c r="HE1" t="s">
        <v>218</v>
      </c>
      <c r="HF1" t="s">
        <v>219</v>
      </c>
      <c r="HG1" t="s">
        <v>220</v>
      </c>
      <c r="HH1" t="s">
        <v>221</v>
      </c>
      <c r="HI1" t="s">
        <v>222</v>
      </c>
      <c r="HJ1" t="s">
        <v>223</v>
      </c>
      <c r="HK1" t="s">
        <v>224</v>
      </c>
      <c r="HL1" t="s">
        <v>225</v>
      </c>
      <c r="HM1" t="s">
        <v>226</v>
      </c>
      <c r="HN1" t="s">
        <v>227</v>
      </c>
      <c r="HO1" t="s">
        <v>228</v>
      </c>
      <c r="HP1" t="s">
        <v>229</v>
      </c>
      <c r="HQ1" t="s">
        <v>230</v>
      </c>
      <c r="HR1" t="s">
        <v>231</v>
      </c>
      <c r="HS1" t="s">
        <v>232</v>
      </c>
      <c r="HT1" t="s">
        <v>233</v>
      </c>
      <c r="HU1" t="s">
        <v>234</v>
      </c>
      <c r="HV1" t="s">
        <v>235</v>
      </c>
      <c r="HW1" t="s">
        <v>236</v>
      </c>
      <c r="HX1" t="s">
        <v>237</v>
      </c>
      <c r="HY1" t="s">
        <v>238</v>
      </c>
      <c r="HZ1" t="s">
        <v>239</v>
      </c>
      <c r="IA1" t="s">
        <v>240</v>
      </c>
      <c r="IB1" t="s">
        <v>241</v>
      </c>
      <c r="IC1" t="s">
        <v>242</v>
      </c>
      <c r="ID1" t="s">
        <v>243</v>
      </c>
    </row>
    <row r="2" spans="1:238" x14ac:dyDescent="0.25">
      <c r="A2">
        <v>1</v>
      </c>
      <c r="B2">
        <v>24.715299999999999</v>
      </c>
      <c r="C2">
        <v>24.6326</v>
      </c>
      <c r="D2">
        <v>24.677399999999999</v>
      </c>
      <c r="E2">
        <v>24.168299999999999</v>
      </c>
      <c r="F2">
        <v>23.339700000000001</v>
      </c>
      <c r="G2">
        <v>23.222999999999999</v>
      </c>
      <c r="H2">
        <v>23.1157</v>
      </c>
      <c r="I2">
        <v>25.2639</v>
      </c>
      <c r="J2">
        <v>24.769100000000002</v>
      </c>
      <c r="K2">
        <v>26.0337</v>
      </c>
      <c r="L2">
        <v>25.3767</v>
      </c>
      <c r="M2">
        <v>25.952400000000001</v>
      </c>
      <c r="N2">
        <v>25.105499999999999</v>
      </c>
      <c r="O2">
        <v>24.1812</v>
      </c>
      <c r="P2">
        <v>24.084399999999999</v>
      </c>
      <c r="Q2">
        <v>23.8827</v>
      </c>
      <c r="R2">
        <v>25.099399999999999</v>
      </c>
      <c r="S2">
        <v>25.053000000000001</v>
      </c>
      <c r="T2">
        <v>25.273199999999999</v>
      </c>
      <c r="U2">
        <v>24.901499999999999</v>
      </c>
      <c r="V2">
        <v>23.7654</v>
      </c>
      <c r="W2">
        <v>23.280899999999999</v>
      </c>
      <c r="X2">
        <v>23.49</v>
      </c>
      <c r="Y2">
        <v>23.9941</v>
      </c>
      <c r="Z2">
        <v>23.182300000000001</v>
      </c>
      <c r="AA2">
        <v>23.445900000000002</v>
      </c>
      <c r="AB2">
        <v>23.500399999999999</v>
      </c>
      <c r="AC2">
        <v>24.252600000000001</v>
      </c>
      <c r="AD2">
        <v>26.232199999999999</v>
      </c>
      <c r="AE2">
        <v>24.6082</v>
      </c>
      <c r="AF2">
        <v>24.6965</v>
      </c>
      <c r="AG2">
        <v>24.7941</v>
      </c>
      <c r="AH2">
        <v>26.416899999999998</v>
      </c>
      <c r="AI2">
        <v>24.5608</v>
      </c>
      <c r="AJ2">
        <v>24.544799999999999</v>
      </c>
      <c r="AK2">
        <v>25.679200000000002</v>
      </c>
      <c r="AL2">
        <v>24.6996</v>
      </c>
      <c r="AM2">
        <v>24.167200000000001</v>
      </c>
      <c r="AN2">
        <v>24.7012</v>
      </c>
      <c r="AO2">
        <v>24.759899999999998</v>
      </c>
      <c r="AP2">
        <v>25.638200000000001</v>
      </c>
      <c r="AQ2">
        <v>24.017499999999998</v>
      </c>
      <c r="AR2">
        <v>25.443100000000001</v>
      </c>
      <c r="AS2">
        <v>25.717300000000002</v>
      </c>
      <c r="AT2">
        <v>26.622900000000001</v>
      </c>
      <c r="AU2">
        <v>24.543700000000001</v>
      </c>
      <c r="AV2">
        <v>26.932500000000001</v>
      </c>
      <c r="AW2">
        <v>26.871700000000001</v>
      </c>
      <c r="AX2">
        <v>23.649000000000001</v>
      </c>
      <c r="AY2">
        <v>25.642600000000002</v>
      </c>
      <c r="AZ2">
        <v>25.1</v>
      </c>
      <c r="BA2">
        <v>25.311900000000001</v>
      </c>
      <c r="BB2">
        <v>26.5364</v>
      </c>
      <c r="BC2">
        <v>26.4664</v>
      </c>
      <c r="BD2">
        <v>26.015799999999999</v>
      </c>
      <c r="BE2">
        <v>25.424099999999999</v>
      </c>
      <c r="BF2">
        <v>24.996300000000002</v>
      </c>
      <c r="BG2">
        <v>25.775099999999998</v>
      </c>
      <c r="BH2">
        <v>24.185199999999998</v>
      </c>
      <c r="BI2">
        <v>27.3431</v>
      </c>
      <c r="BJ2">
        <v>26.4194</v>
      </c>
      <c r="BK2">
        <v>26.460599999999999</v>
      </c>
      <c r="BL2">
        <v>25.837599999999998</v>
      </c>
      <c r="BM2">
        <v>25.8658</v>
      </c>
      <c r="BN2">
        <v>25.942900000000002</v>
      </c>
      <c r="BO2">
        <v>26.2743</v>
      </c>
      <c r="BP2">
        <v>26.321400000000001</v>
      </c>
      <c r="BQ2">
        <v>27.035499999999999</v>
      </c>
      <c r="BR2">
        <v>26.590599999999998</v>
      </c>
      <c r="BS2">
        <v>26.6706</v>
      </c>
      <c r="BT2">
        <v>26.660399999999999</v>
      </c>
      <c r="BU2">
        <v>26.905200000000001</v>
      </c>
      <c r="BV2">
        <v>26.826599999999999</v>
      </c>
      <c r="BW2">
        <v>26.4236</v>
      </c>
      <c r="BX2">
        <v>24.835799999999999</v>
      </c>
      <c r="BY2">
        <v>24.3809</v>
      </c>
      <c r="BZ2">
        <v>24.847999999999999</v>
      </c>
      <c r="CA2">
        <v>26.254899999999999</v>
      </c>
      <c r="CB2">
        <v>26.011199999999999</v>
      </c>
      <c r="CC2">
        <v>24.140999999999998</v>
      </c>
      <c r="CD2">
        <v>24.276</v>
      </c>
      <c r="CE2">
        <v>25.1874</v>
      </c>
      <c r="CF2">
        <v>24.706800000000001</v>
      </c>
      <c r="CG2">
        <v>24.7334</v>
      </c>
      <c r="CH2">
        <v>24.802900000000001</v>
      </c>
      <c r="CI2">
        <v>24.846599999999999</v>
      </c>
      <c r="CJ2">
        <v>24.909800000000001</v>
      </c>
      <c r="CK2">
        <v>24.8842</v>
      </c>
      <c r="CL2">
        <v>24.7941</v>
      </c>
      <c r="CM2">
        <v>25.351299999999998</v>
      </c>
      <c r="CN2">
        <v>24.7773</v>
      </c>
      <c r="CO2">
        <v>24.704000000000001</v>
      </c>
      <c r="CP2">
        <v>24.660799999999998</v>
      </c>
      <c r="CQ2">
        <v>24.527899999999999</v>
      </c>
      <c r="CR2">
        <v>24.3809</v>
      </c>
      <c r="CS2">
        <v>24.282599999999999</v>
      </c>
      <c r="CT2">
        <v>24.563199999999998</v>
      </c>
      <c r="CU2">
        <v>24.209</v>
      </c>
      <c r="CV2">
        <v>0</v>
      </c>
      <c r="CW2">
        <v>25.364000000000001</v>
      </c>
      <c r="CX2">
        <v>25.625299999999999</v>
      </c>
      <c r="CY2">
        <v>24.775600000000001</v>
      </c>
      <c r="CZ2">
        <v>24.101800000000001</v>
      </c>
      <c r="DA2">
        <v>24.391999999999999</v>
      </c>
      <c r="DB2">
        <v>25.234000000000002</v>
      </c>
      <c r="DC2">
        <v>25.209599999999998</v>
      </c>
      <c r="DD2">
        <v>25.882100000000001</v>
      </c>
      <c r="DE2">
        <v>26.3033</v>
      </c>
      <c r="DF2">
        <v>26.360700000000001</v>
      </c>
      <c r="DG2">
        <v>24.308499999999999</v>
      </c>
      <c r="DH2">
        <v>24.853300000000001</v>
      </c>
      <c r="DI2">
        <v>26.522500000000001</v>
      </c>
      <c r="DJ2">
        <v>25.999600000000001</v>
      </c>
      <c r="DK2">
        <v>24.900400000000001</v>
      </c>
      <c r="DL2">
        <v>23.106100000000001</v>
      </c>
      <c r="DM2">
        <v>23.046800000000001</v>
      </c>
      <c r="DN2">
        <v>26.210899999999999</v>
      </c>
      <c r="DO2">
        <v>24.2179</v>
      </c>
      <c r="DP2">
        <v>24.6568</v>
      </c>
      <c r="DQ2">
        <v>25.421500000000002</v>
      </c>
      <c r="DR2">
        <v>26.707000000000001</v>
      </c>
      <c r="DS2">
        <v>24.795300000000001</v>
      </c>
      <c r="DT2">
        <v>24.87</v>
      </c>
      <c r="DU2">
        <v>24.567699999999999</v>
      </c>
      <c r="DV2">
        <v>24.390499999999999</v>
      </c>
      <c r="DW2">
        <v>24.4346</v>
      </c>
      <c r="DX2">
        <v>26.021000000000001</v>
      </c>
      <c r="DY2">
        <v>26.1784</v>
      </c>
      <c r="DZ2">
        <v>24.209499999999998</v>
      </c>
      <c r="EA2">
        <v>24.215800000000002</v>
      </c>
      <c r="EB2">
        <v>24.5931</v>
      </c>
      <c r="EC2">
        <v>23.723400000000002</v>
      </c>
      <c r="ED2">
        <v>21.828700000000001</v>
      </c>
      <c r="EE2">
        <v>24.936599999999999</v>
      </c>
      <c r="EF2">
        <v>24.7407</v>
      </c>
      <c r="EG2">
        <v>24.517399999999999</v>
      </c>
      <c r="EH2">
        <v>24.774799999999999</v>
      </c>
      <c r="EI2">
        <v>24.855599999999999</v>
      </c>
      <c r="EJ2">
        <v>24.8904</v>
      </c>
      <c r="EK2">
        <v>24.648700000000002</v>
      </c>
      <c r="EL2">
        <v>22.702100000000002</v>
      </c>
      <c r="EM2">
        <v>22.8963</v>
      </c>
      <c r="EN2">
        <v>24.1418</v>
      </c>
      <c r="EO2">
        <v>23.918299999999999</v>
      </c>
      <c r="EP2">
        <v>26.704699999999999</v>
      </c>
      <c r="EQ2">
        <v>23.944600000000001</v>
      </c>
      <c r="ER2">
        <v>24.1919</v>
      </c>
      <c r="ES2">
        <v>23.943000000000001</v>
      </c>
      <c r="ET2">
        <v>26.198499999999999</v>
      </c>
      <c r="EU2">
        <v>26.2591</v>
      </c>
      <c r="EV2">
        <v>26.025300000000001</v>
      </c>
      <c r="EW2">
        <v>26.174800000000001</v>
      </c>
      <c r="EX2">
        <v>25.713200000000001</v>
      </c>
      <c r="EY2">
        <v>24.675000000000001</v>
      </c>
      <c r="EZ2">
        <v>25.338899999999999</v>
      </c>
      <c r="FA2">
        <v>23.592099999999999</v>
      </c>
      <c r="FB2">
        <v>24.3917</v>
      </c>
      <c r="FC2">
        <v>24.214500000000001</v>
      </c>
      <c r="FD2">
        <v>24.575600000000001</v>
      </c>
      <c r="FE2">
        <v>24.587800000000001</v>
      </c>
      <c r="FF2">
        <v>26.215</v>
      </c>
      <c r="FG2">
        <v>0</v>
      </c>
      <c r="FH2">
        <v>25.748200000000001</v>
      </c>
      <c r="FI2">
        <v>24.172499999999999</v>
      </c>
      <c r="FJ2">
        <v>25.128399999999999</v>
      </c>
      <c r="FK2">
        <v>25.3611</v>
      </c>
      <c r="FL2">
        <v>24.613199999999999</v>
      </c>
      <c r="FM2">
        <v>24.602</v>
      </c>
      <c r="FN2">
        <v>26.063300000000002</v>
      </c>
      <c r="FO2">
        <v>25.0687</v>
      </c>
      <c r="FP2">
        <v>24.784400000000002</v>
      </c>
      <c r="FQ2">
        <v>23.7883</v>
      </c>
      <c r="FR2">
        <v>21.977399999999999</v>
      </c>
      <c r="FS2">
        <v>25.349799999999998</v>
      </c>
      <c r="FT2">
        <v>22.007899999999999</v>
      </c>
      <c r="FU2">
        <v>23.651299999999999</v>
      </c>
      <c r="FV2">
        <v>24.2319</v>
      </c>
      <c r="FW2">
        <v>24.994800000000001</v>
      </c>
      <c r="FX2">
        <v>26.886900000000001</v>
      </c>
      <c r="FY2">
        <v>27.053799999999999</v>
      </c>
      <c r="FZ2">
        <v>26.410799999999998</v>
      </c>
      <c r="GA2">
        <v>25.059000000000001</v>
      </c>
      <c r="GB2">
        <v>23.945599999999999</v>
      </c>
      <c r="GC2">
        <v>25.7697</v>
      </c>
      <c r="GD2">
        <v>25.715</v>
      </c>
      <c r="GE2">
        <v>26.150400000000001</v>
      </c>
      <c r="GF2">
        <v>22.510300000000001</v>
      </c>
      <c r="GG2">
        <v>26.244800000000001</v>
      </c>
      <c r="GH2">
        <v>23.151800000000001</v>
      </c>
      <c r="GI2">
        <v>23.562799999999999</v>
      </c>
      <c r="GJ2">
        <v>23.451699999999999</v>
      </c>
      <c r="GK2">
        <v>25.894500000000001</v>
      </c>
      <c r="GL2">
        <v>26.743300000000001</v>
      </c>
      <c r="GM2">
        <v>23.243500000000001</v>
      </c>
      <c r="GN2">
        <v>26.895</v>
      </c>
      <c r="GO2">
        <v>27.063600000000001</v>
      </c>
      <c r="GP2">
        <v>27.0715</v>
      </c>
      <c r="GQ2">
        <v>26.9514</v>
      </c>
      <c r="GR2">
        <v>26.704699999999999</v>
      </c>
      <c r="GS2">
        <v>27.058800000000002</v>
      </c>
      <c r="GT2">
        <v>26.9574</v>
      </c>
      <c r="GU2">
        <v>27.079499999999999</v>
      </c>
      <c r="GV2">
        <v>27.073399999999999</v>
      </c>
      <c r="GW2">
        <v>27.052700000000002</v>
      </c>
      <c r="GX2">
        <v>26.627500000000001</v>
      </c>
      <c r="GY2">
        <v>24.7773</v>
      </c>
      <c r="GZ2">
        <v>24.380600000000001</v>
      </c>
      <c r="HA2">
        <v>24.588000000000001</v>
      </c>
      <c r="HB2">
        <v>0</v>
      </c>
      <c r="HC2">
        <v>24.9421</v>
      </c>
      <c r="HD2">
        <v>24.7727</v>
      </c>
      <c r="HE2">
        <v>24.9421</v>
      </c>
      <c r="HF2">
        <v>24.232099999999999</v>
      </c>
      <c r="HG2">
        <v>24.275200000000002</v>
      </c>
      <c r="HH2">
        <v>24.648800000000001</v>
      </c>
      <c r="HI2">
        <v>25.063800000000001</v>
      </c>
      <c r="HJ2">
        <v>25.231100000000001</v>
      </c>
      <c r="HK2">
        <v>26.410399999999999</v>
      </c>
      <c r="HL2">
        <v>24.696300000000001</v>
      </c>
      <c r="HM2">
        <v>25.105899999999998</v>
      </c>
      <c r="HN2">
        <v>25.2317</v>
      </c>
      <c r="HO2">
        <v>25.169</v>
      </c>
      <c r="HP2">
        <v>24.7789</v>
      </c>
      <c r="HQ2">
        <v>24.51</v>
      </c>
      <c r="HR2">
        <v>26.984400000000001</v>
      </c>
      <c r="HS2">
        <v>24.466899999999999</v>
      </c>
      <c r="HT2">
        <v>24.778700000000001</v>
      </c>
      <c r="HU2">
        <v>23.476700000000001</v>
      </c>
      <c r="HV2">
        <v>24.0411</v>
      </c>
      <c r="HW2">
        <v>26.059699999999999</v>
      </c>
      <c r="HX2">
        <v>26.114000000000001</v>
      </c>
      <c r="HY2">
        <v>26.588999999999999</v>
      </c>
      <c r="HZ2">
        <v>26.215</v>
      </c>
      <c r="IA2">
        <v>26.825299999999999</v>
      </c>
      <c r="IB2">
        <v>26.215</v>
      </c>
      <c r="IC2">
        <v>26.432700000000001</v>
      </c>
      <c r="ID2">
        <v>26.3611</v>
      </c>
    </row>
    <row r="3" spans="1:238" x14ac:dyDescent="0.25">
      <c r="A3">
        <v>2</v>
      </c>
      <c r="B3">
        <v>24.514800000000001</v>
      </c>
      <c r="C3">
        <v>24.523800000000001</v>
      </c>
      <c r="D3">
        <v>24.565799999999999</v>
      </c>
      <c r="E3">
        <v>24.0825</v>
      </c>
      <c r="F3">
        <v>23.272099999999998</v>
      </c>
      <c r="G3">
        <v>23.1144</v>
      </c>
      <c r="H3">
        <v>23.013100000000001</v>
      </c>
      <c r="I3">
        <v>25.090399999999999</v>
      </c>
      <c r="J3">
        <v>24.689399999999999</v>
      </c>
      <c r="K3">
        <v>25.849399999999999</v>
      </c>
      <c r="L3">
        <v>25.2287</v>
      </c>
      <c r="M3">
        <v>25.7744</v>
      </c>
      <c r="N3">
        <v>25.014099999999999</v>
      </c>
      <c r="O3">
        <v>24.064499999999999</v>
      </c>
      <c r="P3">
        <v>23.9834</v>
      </c>
      <c r="Q3">
        <v>23.779599999999999</v>
      </c>
      <c r="R3">
        <v>25.007300000000001</v>
      </c>
      <c r="S3">
        <v>24.9559</v>
      </c>
      <c r="T3">
        <v>25.1721</v>
      </c>
      <c r="U3">
        <v>24.778300000000002</v>
      </c>
      <c r="V3">
        <v>23.666799999999999</v>
      </c>
      <c r="W3">
        <v>23.193100000000001</v>
      </c>
      <c r="X3">
        <v>23.398</v>
      </c>
      <c r="Y3">
        <v>23.897200000000002</v>
      </c>
      <c r="Z3">
        <v>23.069600000000001</v>
      </c>
      <c r="AA3">
        <v>23.338100000000001</v>
      </c>
      <c r="AB3">
        <v>23.393699999999999</v>
      </c>
      <c r="AC3">
        <v>24.127800000000001</v>
      </c>
      <c r="AD3">
        <v>26.046299999999999</v>
      </c>
      <c r="AE3">
        <v>24.501100000000001</v>
      </c>
      <c r="AF3">
        <v>24.598500000000001</v>
      </c>
      <c r="AG3">
        <v>24.690799999999999</v>
      </c>
      <c r="AH3">
        <v>26.222899999999999</v>
      </c>
      <c r="AI3">
        <v>24.337399999999999</v>
      </c>
      <c r="AJ3">
        <v>24.3444</v>
      </c>
      <c r="AK3">
        <v>25.515599999999999</v>
      </c>
      <c r="AL3">
        <v>24.6252</v>
      </c>
      <c r="AM3">
        <v>24.025400000000001</v>
      </c>
      <c r="AN3">
        <v>24.6051</v>
      </c>
      <c r="AO3">
        <v>24.557200000000002</v>
      </c>
      <c r="AP3">
        <v>25.392800000000001</v>
      </c>
      <c r="AQ3">
        <v>23.8719</v>
      </c>
      <c r="AR3">
        <v>25.293199999999999</v>
      </c>
      <c r="AS3">
        <v>25.468</v>
      </c>
      <c r="AT3">
        <v>26.4209</v>
      </c>
      <c r="AU3">
        <v>24.415900000000001</v>
      </c>
      <c r="AV3">
        <v>26.814499999999999</v>
      </c>
      <c r="AW3">
        <v>26.755199999999999</v>
      </c>
      <c r="AX3">
        <v>23.55</v>
      </c>
      <c r="AY3">
        <v>25.518699999999999</v>
      </c>
      <c r="AZ3">
        <v>24.975200000000001</v>
      </c>
      <c r="BA3">
        <v>25.166899999999998</v>
      </c>
      <c r="BB3">
        <v>26.413699999999999</v>
      </c>
      <c r="BC3">
        <v>26.347799999999999</v>
      </c>
      <c r="BD3">
        <v>25.868300000000001</v>
      </c>
      <c r="BE3">
        <v>25.272099999999998</v>
      </c>
      <c r="BF3">
        <v>24.897500000000001</v>
      </c>
      <c r="BG3">
        <v>25.647300000000001</v>
      </c>
      <c r="BH3">
        <v>24.0669</v>
      </c>
      <c r="BI3">
        <v>27.2148</v>
      </c>
      <c r="BJ3">
        <v>26.303599999999999</v>
      </c>
      <c r="BK3">
        <v>26.3445</v>
      </c>
      <c r="BL3">
        <v>25.712800000000001</v>
      </c>
      <c r="BM3">
        <v>25.740400000000001</v>
      </c>
      <c r="BN3">
        <v>25.8246</v>
      </c>
      <c r="BO3">
        <v>26.158300000000001</v>
      </c>
      <c r="BP3">
        <v>26.204499999999999</v>
      </c>
      <c r="BQ3">
        <v>26.916699999999999</v>
      </c>
      <c r="BR3">
        <v>26.470300000000002</v>
      </c>
      <c r="BS3">
        <v>26.5474</v>
      </c>
      <c r="BT3">
        <v>26.537600000000001</v>
      </c>
      <c r="BU3">
        <v>26.780799999999999</v>
      </c>
      <c r="BV3">
        <v>26.700600000000001</v>
      </c>
      <c r="BW3">
        <v>26.3078</v>
      </c>
      <c r="BX3">
        <v>24.724499999999999</v>
      </c>
      <c r="BY3">
        <v>24.277699999999999</v>
      </c>
      <c r="BZ3">
        <v>24.7454</v>
      </c>
      <c r="CA3">
        <v>26.066600000000001</v>
      </c>
      <c r="CB3">
        <v>25.838100000000001</v>
      </c>
      <c r="CC3">
        <v>24.004799999999999</v>
      </c>
      <c r="CD3">
        <v>24.276</v>
      </c>
      <c r="CE3">
        <v>25.091100000000001</v>
      </c>
      <c r="CF3">
        <v>24.632000000000001</v>
      </c>
      <c r="CG3">
        <v>24.658100000000001</v>
      </c>
      <c r="CH3">
        <v>24.7227</v>
      </c>
      <c r="CI3">
        <v>24.764199999999999</v>
      </c>
      <c r="CJ3">
        <v>24.8217</v>
      </c>
      <c r="CK3">
        <v>24.797899999999998</v>
      </c>
      <c r="CL3">
        <v>24.715199999999999</v>
      </c>
      <c r="CM3">
        <v>25.1845</v>
      </c>
      <c r="CN3">
        <v>24.668500000000002</v>
      </c>
      <c r="CO3">
        <v>24.604900000000001</v>
      </c>
      <c r="CP3">
        <v>24.560600000000001</v>
      </c>
      <c r="CQ3">
        <v>24.427299999999999</v>
      </c>
      <c r="CR3">
        <v>24.277699999999999</v>
      </c>
      <c r="CS3">
        <v>24.134699999999999</v>
      </c>
      <c r="CT3">
        <v>24.412400000000002</v>
      </c>
      <c r="CU3">
        <v>24.081700000000001</v>
      </c>
      <c r="CV3">
        <v>0</v>
      </c>
      <c r="CW3">
        <v>25.2179</v>
      </c>
      <c r="CX3">
        <v>25.465699999999998</v>
      </c>
      <c r="CY3">
        <v>24.678000000000001</v>
      </c>
      <c r="CZ3">
        <v>24.002500000000001</v>
      </c>
      <c r="DA3">
        <v>24.175699999999999</v>
      </c>
      <c r="DB3">
        <v>25.132200000000001</v>
      </c>
      <c r="DC3">
        <v>25.107199999999999</v>
      </c>
      <c r="DD3">
        <v>25.772099999999998</v>
      </c>
      <c r="DE3">
        <v>26.188199999999998</v>
      </c>
      <c r="DF3">
        <v>26.2453</v>
      </c>
      <c r="DG3">
        <v>24.2088</v>
      </c>
      <c r="DH3">
        <v>24.742100000000001</v>
      </c>
      <c r="DI3">
        <v>26.400200000000002</v>
      </c>
      <c r="DJ3">
        <v>25.825600000000001</v>
      </c>
      <c r="DK3">
        <v>24.788399999999999</v>
      </c>
      <c r="DL3">
        <v>23.000299999999999</v>
      </c>
      <c r="DM3">
        <v>22.957899999999999</v>
      </c>
      <c r="DN3">
        <v>26.094100000000001</v>
      </c>
      <c r="DO3">
        <v>24.014500000000002</v>
      </c>
      <c r="DP3">
        <v>24.5762</v>
      </c>
      <c r="DQ3">
        <v>25.269500000000001</v>
      </c>
      <c r="DR3">
        <v>26.589300000000001</v>
      </c>
      <c r="DS3">
        <v>24.693999999999999</v>
      </c>
      <c r="DT3">
        <v>24.768699999999999</v>
      </c>
      <c r="DU3">
        <v>24.461500000000001</v>
      </c>
      <c r="DV3">
        <v>24.267299999999999</v>
      </c>
      <c r="DW3">
        <v>24.322399999999998</v>
      </c>
      <c r="DX3">
        <v>25.837800000000001</v>
      </c>
      <c r="DY3">
        <v>26.064900000000002</v>
      </c>
      <c r="DZ3">
        <v>24.0913</v>
      </c>
      <c r="EA3">
        <v>24.0976</v>
      </c>
      <c r="EB3">
        <v>24.4909</v>
      </c>
      <c r="EC3">
        <v>23.626000000000001</v>
      </c>
      <c r="ED3">
        <v>21.7226</v>
      </c>
      <c r="EE3">
        <v>24.7789</v>
      </c>
      <c r="EF3">
        <v>24.640799999999999</v>
      </c>
      <c r="EG3">
        <v>24.386700000000001</v>
      </c>
      <c r="EH3">
        <v>24.691099999999999</v>
      </c>
      <c r="EI3">
        <v>24.752800000000001</v>
      </c>
      <c r="EJ3">
        <v>24.787099999999999</v>
      </c>
      <c r="EK3">
        <v>24.517499999999998</v>
      </c>
      <c r="EL3">
        <v>22.5961</v>
      </c>
      <c r="EM3">
        <v>22.789300000000001</v>
      </c>
      <c r="EN3">
        <v>24.045000000000002</v>
      </c>
      <c r="EO3">
        <v>23.822299999999998</v>
      </c>
      <c r="EP3">
        <v>26.587199999999999</v>
      </c>
      <c r="EQ3">
        <v>23.8598</v>
      </c>
      <c r="ER3">
        <v>24.093800000000002</v>
      </c>
      <c r="ES3">
        <v>23.8447</v>
      </c>
      <c r="ET3">
        <v>26.0839</v>
      </c>
      <c r="EU3">
        <v>26.1433</v>
      </c>
      <c r="EV3">
        <v>25.836300000000001</v>
      </c>
      <c r="EW3">
        <v>25.983000000000001</v>
      </c>
      <c r="EX3">
        <v>25.535299999999999</v>
      </c>
      <c r="EY3">
        <v>24.5748</v>
      </c>
      <c r="EZ3">
        <v>25.2012</v>
      </c>
      <c r="FA3">
        <v>23.488700000000001</v>
      </c>
      <c r="FB3">
        <v>24.2791</v>
      </c>
      <c r="FC3">
        <v>24.107099999999999</v>
      </c>
      <c r="FD3">
        <v>24.478899999999999</v>
      </c>
      <c r="FE3">
        <v>24.507000000000001</v>
      </c>
      <c r="FF3">
        <v>26.101400000000002</v>
      </c>
      <c r="FG3">
        <v>0</v>
      </c>
      <c r="FH3">
        <v>25.646000000000001</v>
      </c>
      <c r="FI3">
        <v>24.0869</v>
      </c>
      <c r="FJ3">
        <v>25.004000000000001</v>
      </c>
      <c r="FK3">
        <v>25.237300000000001</v>
      </c>
      <c r="FL3">
        <v>24.531700000000001</v>
      </c>
      <c r="FM3">
        <v>24.5261</v>
      </c>
      <c r="FN3">
        <v>25.887699999999999</v>
      </c>
      <c r="FO3">
        <v>24.9437</v>
      </c>
      <c r="FP3">
        <v>24.6752</v>
      </c>
      <c r="FQ3">
        <v>23.649899999999999</v>
      </c>
      <c r="FR3">
        <v>21.8443</v>
      </c>
      <c r="FS3">
        <v>25.2484</v>
      </c>
      <c r="FT3">
        <v>21.8749</v>
      </c>
      <c r="FU3">
        <v>23.438500000000001</v>
      </c>
      <c r="FV3">
        <v>24.110700000000001</v>
      </c>
      <c r="FW3">
        <v>24.771699999999999</v>
      </c>
      <c r="FX3">
        <v>26.663900000000002</v>
      </c>
      <c r="FY3">
        <v>26.8203</v>
      </c>
      <c r="FZ3">
        <v>26.217099999999999</v>
      </c>
      <c r="GA3">
        <v>24.898800000000001</v>
      </c>
      <c r="GB3">
        <v>23.8431</v>
      </c>
      <c r="GC3">
        <v>25.643699999999999</v>
      </c>
      <c r="GD3">
        <v>25.589600000000001</v>
      </c>
      <c r="GE3">
        <v>26.029900000000001</v>
      </c>
      <c r="GF3">
        <v>22.351400000000002</v>
      </c>
      <c r="GG3">
        <v>26.125299999999999</v>
      </c>
      <c r="GH3">
        <v>23.049099999999999</v>
      </c>
      <c r="GI3">
        <v>23.4575</v>
      </c>
      <c r="GJ3">
        <v>23.343900000000001</v>
      </c>
      <c r="GK3">
        <v>25.706499999999998</v>
      </c>
      <c r="GL3">
        <v>26.525200000000002</v>
      </c>
      <c r="GM3">
        <v>23.130700000000001</v>
      </c>
      <c r="GN3">
        <v>26.773299999999999</v>
      </c>
      <c r="GO3">
        <v>26.944900000000001</v>
      </c>
      <c r="GP3">
        <v>26.9528</v>
      </c>
      <c r="GQ3">
        <v>26.831600000000002</v>
      </c>
      <c r="GR3">
        <v>26.587199999999999</v>
      </c>
      <c r="GS3">
        <v>26.940100000000001</v>
      </c>
      <c r="GT3">
        <v>26.837499999999999</v>
      </c>
      <c r="GU3">
        <v>26.960799999999999</v>
      </c>
      <c r="GV3">
        <v>26.954799999999999</v>
      </c>
      <c r="GW3">
        <v>26.9331</v>
      </c>
      <c r="GX3">
        <v>26.5106</v>
      </c>
      <c r="GY3">
        <v>24.668500000000002</v>
      </c>
      <c r="GZ3">
        <v>24.2773</v>
      </c>
      <c r="HA3">
        <v>24.507100000000001</v>
      </c>
      <c r="HB3">
        <v>0</v>
      </c>
      <c r="HC3">
        <v>24.847799999999999</v>
      </c>
      <c r="HD3">
        <v>24.692699999999999</v>
      </c>
      <c r="HE3">
        <v>24.8477</v>
      </c>
      <c r="HF3">
        <v>24.135000000000002</v>
      </c>
      <c r="HG3">
        <v>24.178100000000001</v>
      </c>
      <c r="HH3">
        <v>24.546500000000002</v>
      </c>
      <c r="HI3">
        <v>24.9648</v>
      </c>
      <c r="HJ3">
        <v>25.1312</v>
      </c>
      <c r="HK3">
        <v>26.219799999999999</v>
      </c>
      <c r="HL3">
        <v>24.598299999999998</v>
      </c>
      <c r="HM3">
        <v>25.005500000000001</v>
      </c>
      <c r="HN3">
        <v>25.130199999999999</v>
      </c>
      <c r="HO3">
        <v>25.068300000000001</v>
      </c>
      <c r="HP3">
        <v>24.685099999999998</v>
      </c>
      <c r="HQ3">
        <v>24.406199999999998</v>
      </c>
      <c r="HR3">
        <v>26.857700000000001</v>
      </c>
      <c r="HS3">
        <v>24.3674</v>
      </c>
      <c r="HT3">
        <v>24.684899999999999</v>
      </c>
      <c r="HU3">
        <v>23.3569</v>
      </c>
      <c r="HV3">
        <v>23.9238</v>
      </c>
      <c r="HW3">
        <v>25.8827</v>
      </c>
      <c r="HX3">
        <v>25.934200000000001</v>
      </c>
      <c r="HY3">
        <v>26.388300000000001</v>
      </c>
      <c r="HZ3">
        <v>26.101400000000002</v>
      </c>
      <c r="IA3">
        <v>26.704000000000001</v>
      </c>
      <c r="IB3">
        <v>26.101400000000002</v>
      </c>
      <c r="IC3">
        <v>26.316700000000001</v>
      </c>
      <c r="ID3">
        <v>26.244800000000001</v>
      </c>
    </row>
    <row r="4" spans="1:238" x14ac:dyDescent="0.25">
      <c r="A4">
        <v>3</v>
      </c>
      <c r="B4">
        <v>24.375800000000002</v>
      </c>
      <c r="C4">
        <v>24.440799999999999</v>
      </c>
      <c r="D4">
        <v>24.480499999999999</v>
      </c>
      <c r="E4">
        <v>24.018599999999999</v>
      </c>
      <c r="F4">
        <v>23.2209</v>
      </c>
      <c r="G4">
        <v>23.0259</v>
      </c>
      <c r="H4">
        <v>22.929400000000001</v>
      </c>
      <c r="I4">
        <v>24.95</v>
      </c>
      <c r="J4">
        <v>24.6373</v>
      </c>
      <c r="K4">
        <v>25.704899999999999</v>
      </c>
      <c r="L4">
        <v>25.112100000000002</v>
      </c>
      <c r="M4">
        <v>25.640599999999999</v>
      </c>
      <c r="N4">
        <v>24.942599999999999</v>
      </c>
      <c r="O4">
        <v>23.973800000000001</v>
      </c>
      <c r="P4">
        <v>23.9114</v>
      </c>
      <c r="Q4">
        <v>23.703299999999999</v>
      </c>
      <c r="R4">
        <v>24.955400000000001</v>
      </c>
      <c r="S4">
        <v>24.890699999999999</v>
      </c>
      <c r="T4">
        <v>25.106400000000001</v>
      </c>
      <c r="U4">
        <v>24.703499999999998</v>
      </c>
      <c r="V4">
        <v>23.5901</v>
      </c>
      <c r="W4">
        <v>23.133400000000002</v>
      </c>
      <c r="X4">
        <v>23.329499999999999</v>
      </c>
      <c r="Y4">
        <v>23.822800000000001</v>
      </c>
      <c r="Z4">
        <v>22.977799999999998</v>
      </c>
      <c r="AA4">
        <v>23.2392</v>
      </c>
      <c r="AB4">
        <v>23.2941</v>
      </c>
      <c r="AC4">
        <v>24.031199999999998</v>
      </c>
      <c r="AD4">
        <v>25.901499999999999</v>
      </c>
      <c r="AE4">
        <v>24.4193</v>
      </c>
      <c r="AF4">
        <v>24.527000000000001</v>
      </c>
      <c r="AG4">
        <v>24.6188</v>
      </c>
      <c r="AH4">
        <v>26.0688</v>
      </c>
      <c r="AI4">
        <v>24.197900000000001</v>
      </c>
      <c r="AJ4">
        <v>24.2105</v>
      </c>
      <c r="AK4">
        <v>25.389199999999999</v>
      </c>
      <c r="AL4">
        <v>24.5792</v>
      </c>
      <c r="AM4">
        <v>23.9175</v>
      </c>
      <c r="AN4">
        <v>24.536000000000001</v>
      </c>
      <c r="AO4">
        <v>24.416799999999999</v>
      </c>
      <c r="AP4">
        <v>25.225200000000001</v>
      </c>
      <c r="AQ4">
        <v>23.7559</v>
      </c>
      <c r="AR4">
        <v>25.173200000000001</v>
      </c>
      <c r="AS4">
        <v>25.297899999999998</v>
      </c>
      <c r="AT4">
        <v>26.259399999999999</v>
      </c>
      <c r="AU4">
        <v>24.3279</v>
      </c>
      <c r="AV4">
        <v>26.7227</v>
      </c>
      <c r="AW4">
        <v>26.664400000000001</v>
      </c>
      <c r="AX4">
        <v>23.4756</v>
      </c>
      <c r="AY4">
        <v>25.411899999999999</v>
      </c>
      <c r="AZ4">
        <v>24.866</v>
      </c>
      <c r="BA4">
        <v>25.063199999999998</v>
      </c>
      <c r="BB4">
        <v>26.307400000000001</v>
      </c>
      <c r="BC4">
        <v>26.255700000000001</v>
      </c>
      <c r="BD4">
        <v>25.764700000000001</v>
      </c>
      <c r="BE4">
        <v>25.1646</v>
      </c>
      <c r="BF4">
        <v>24.827500000000001</v>
      </c>
      <c r="BG4">
        <v>25.5443</v>
      </c>
      <c r="BH4">
        <v>23.9803</v>
      </c>
      <c r="BI4">
        <v>27.1113</v>
      </c>
      <c r="BJ4">
        <v>26.213999999999999</v>
      </c>
      <c r="BK4">
        <v>26.254899999999999</v>
      </c>
      <c r="BL4">
        <v>25.611699999999999</v>
      </c>
      <c r="BM4">
        <v>25.639299999999999</v>
      </c>
      <c r="BN4">
        <v>25.7286</v>
      </c>
      <c r="BO4">
        <v>26.069400000000002</v>
      </c>
      <c r="BP4">
        <v>26.114000000000001</v>
      </c>
      <c r="BQ4">
        <v>26.820599999999999</v>
      </c>
      <c r="BR4">
        <v>26.378399999999999</v>
      </c>
      <c r="BS4">
        <v>26.453800000000001</v>
      </c>
      <c r="BT4">
        <v>26.436499999999999</v>
      </c>
      <c r="BU4">
        <v>26.6937</v>
      </c>
      <c r="BV4">
        <v>26.6036</v>
      </c>
      <c r="BW4">
        <v>26.2182</v>
      </c>
      <c r="BX4">
        <v>24.6386</v>
      </c>
      <c r="BY4">
        <v>24.1997</v>
      </c>
      <c r="BZ4">
        <v>24.671199999999999</v>
      </c>
      <c r="CA4">
        <v>25.9208</v>
      </c>
      <c r="CB4">
        <v>25.7013</v>
      </c>
      <c r="CC4">
        <v>23.898399999999999</v>
      </c>
      <c r="CD4">
        <v>24.276</v>
      </c>
      <c r="CE4">
        <v>25.024799999999999</v>
      </c>
      <c r="CF4">
        <v>24.585699999999999</v>
      </c>
      <c r="CG4">
        <v>24.6114</v>
      </c>
      <c r="CH4">
        <v>24.670200000000001</v>
      </c>
      <c r="CI4">
        <v>24.71</v>
      </c>
      <c r="CJ4">
        <v>24.7608</v>
      </c>
      <c r="CK4">
        <v>24.74</v>
      </c>
      <c r="CL4">
        <v>24.6646</v>
      </c>
      <c r="CM4">
        <v>25.047499999999999</v>
      </c>
      <c r="CN4">
        <v>24.5853</v>
      </c>
      <c r="CO4">
        <v>24.532699999999998</v>
      </c>
      <c r="CP4">
        <v>24.4861</v>
      </c>
      <c r="CQ4">
        <v>24.352</v>
      </c>
      <c r="CR4">
        <v>24.1997</v>
      </c>
      <c r="CS4">
        <v>24.017299999999999</v>
      </c>
      <c r="CT4">
        <v>24.290400000000002</v>
      </c>
      <c r="CU4">
        <v>23.987500000000001</v>
      </c>
      <c r="CV4">
        <v>0</v>
      </c>
      <c r="CW4">
        <v>25.103999999999999</v>
      </c>
      <c r="CX4">
        <v>25.341699999999999</v>
      </c>
      <c r="CY4">
        <v>24.6067</v>
      </c>
      <c r="CZ4">
        <v>23.9255</v>
      </c>
      <c r="DA4">
        <v>24.038</v>
      </c>
      <c r="DB4">
        <v>25.059200000000001</v>
      </c>
      <c r="DC4">
        <v>25.033100000000001</v>
      </c>
      <c r="DD4">
        <v>25.689800000000002</v>
      </c>
      <c r="DE4">
        <v>26.099900000000002</v>
      </c>
      <c r="DF4">
        <v>26.156400000000001</v>
      </c>
      <c r="DG4">
        <v>24.1358</v>
      </c>
      <c r="DH4">
        <v>24.656400000000001</v>
      </c>
      <c r="DI4">
        <v>26.299099999999999</v>
      </c>
      <c r="DJ4">
        <v>25.689</v>
      </c>
      <c r="DK4">
        <v>24.7012</v>
      </c>
      <c r="DL4">
        <v>22.9129</v>
      </c>
      <c r="DM4">
        <v>22.911100000000001</v>
      </c>
      <c r="DN4">
        <v>26.021799999999999</v>
      </c>
      <c r="DO4">
        <v>23.8795</v>
      </c>
      <c r="DP4">
        <v>24.518699999999999</v>
      </c>
      <c r="DQ4">
        <v>25.1629</v>
      </c>
      <c r="DR4">
        <v>26.497299999999999</v>
      </c>
      <c r="DS4">
        <v>24.619700000000002</v>
      </c>
      <c r="DT4">
        <v>24.691800000000001</v>
      </c>
      <c r="DU4">
        <v>24.380099999999999</v>
      </c>
      <c r="DV4">
        <v>24.1799</v>
      </c>
      <c r="DW4">
        <v>24.2392</v>
      </c>
      <c r="DX4">
        <v>25.695</v>
      </c>
      <c r="DY4">
        <v>25.9787</v>
      </c>
      <c r="DZ4">
        <v>24.004799999999999</v>
      </c>
      <c r="EA4">
        <v>24.010999999999999</v>
      </c>
      <c r="EB4">
        <v>24.4131</v>
      </c>
      <c r="EC4">
        <v>23.5532</v>
      </c>
      <c r="ED4">
        <v>21.636199999999999</v>
      </c>
      <c r="EE4">
        <v>24.649100000000001</v>
      </c>
      <c r="EF4">
        <v>24.568100000000001</v>
      </c>
      <c r="EG4">
        <v>24.295100000000001</v>
      </c>
      <c r="EH4">
        <v>24.6355</v>
      </c>
      <c r="EI4">
        <v>24.679600000000001</v>
      </c>
      <c r="EJ4">
        <v>24.716000000000001</v>
      </c>
      <c r="EK4">
        <v>24.430599999999998</v>
      </c>
      <c r="EL4">
        <v>22.5045</v>
      </c>
      <c r="EM4">
        <v>22.6999</v>
      </c>
      <c r="EN4">
        <v>23.9726</v>
      </c>
      <c r="EO4">
        <v>23.750599999999999</v>
      </c>
      <c r="EP4">
        <v>26.495200000000001</v>
      </c>
      <c r="EQ4">
        <v>23.796800000000001</v>
      </c>
      <c r="ER4">
        <v>24.021000000000001</v>
      </c>
      <c r="ES4">
        <v>23.7713</v>
      </c>
      <c r="ET4">
        <v>25.996200000000002</v>
      </c>
      <c r="EU4">
        <v>26.0547</v>
      </c>
      <c r="EV4">
        <v>25.674199999999999</v>
      </c>
      <c r="EW4">
        <v>25.816700000000001</v>
      </c>
      <c r="EX4">
        <v>25.384499999999999</v>
      </c>
      <c r="EY4">
        <v>24.500800000000002</v>
      </c>
      <c r="EZ4">
        <v>25.090399999999999</v>
      </c>
      <c r="FA4">
        <v>23.3947</v>
      </c>
      <c r="FB4">
        <v>24.2121</v>
      </c>
      <c r="FC4">
        <v>24.034400000000002</v>
      </c>
      <c r="FD4">
        <v>24.4072</v>
      </c>
      <c r="FE4">
        <v>24.4482</v>
      </c>
      <c r="FF4">
        <v>26.0154</v>
      </c>
      <c r="FG4">
        <v>0</v>
      </c>
      <c r="FH4">
        <v>25.5764</v>
      </c>
      <c r="FI4">
        <v>24.023299999999999</v>
      </c>
      <c r="FJ4">
        <v>24.895600000000002</v>
      </c>
      <c r="FK4">
        <v>25.1328</v>
      </c>
      <c r="FL4">
        <v>24.472200000000001</v>
      </c>
      <c r="FM4">
        <v>24.471</v>
      </c>
      <c r="FN4">
        <v>25.748699999999999</v>
      </c>
      <c r="FO4">
        <v>24.845099999999999</v>
      </c>
      <c r="FP4">
        <v>24.591699999999999</v>
      </c>
      <c r="FQ4">
        <v>23.517299999999999</v>
      </c>
      <c r="FR4">
        <v>21.708300000000001</v>
      </c>
      <c r="FS4">
        <v>25.182099999999998</v>
      </c>
      <c r="FT4">
        <v>21.7394</v>
      </c>
      <c r="FU4">
        <v>23.240300000000001</v>
      </c>
      <c r="FV4">
        <v>24.016200000000001</v>
      </c>
      <c r="FW4">
        <v>24.629100000000001</v>
      </c>
      <c r="FX4">
        <v>26.4742</v>
      </c>
      <c r="FY4">
        <v>26.623699999999999</v>
      </c>
      <c r="FZ4">
        <v>26.062899999999999</v>
      </c>
      <c r="GA4">
        <v>24.7667</v>
      </c>
      <c r="GB4">
        <v>23.767299999999999</v>
      </c>
      <c r="GC4">
        <v>25.541799999999999</v>
      </c>
      <c r="GD4">
        <v>25.487100000000002</v>
      </c>
      <c r="GE4">
        <v>25.934699999999999</v>
      </c>
      <c r="GF4">
        <v>22.194700000000001</v>
      </c>
      <c r="GG4">
        <v>26.030799999999999</v>
      </c>
      <c r="GH4">
        <v>22.965399999999999</v>
      </c>
      <c r="GI4">
        <v>23.364799999999999</v>
      </c>
      <c r="GJ4">
        <v>23.245200000000001</v>
      </c>
      <c r="GK4">
        <v>25.555299999999999</v>
      </c>
      <c r="GL4">
        <v>26.341100000000001</v>
      </c>
      <c r="GM4">
        <v>23.040299999999998</v>
      </c>
      <c r="GN4">
        <v>26.684200000000001</v>
      </c>
      <c r="GO4">
        <v>26.8521</v>
      </c>
      <c r="GP4">
        <v>26.8599</v>
      </c>
      <c r="GQ4">
        <v>26.736499999999999</v>
      </c>
      <c r="GR4">
        <v>26.495200000000001</v>
      </c>
      <c r="GS4">
        <v>26.8474</v>
      </c>
      <c r="GT4">
        <v>26.741599999999998</v>
      </c>
      <c r="GU4">
        <v>26.860499999999998</v>
      </c>
      <c r="GV4">
        <v>26.861799999999999</v>
      </c>
      <c r="GW4">
        <v>26.842199999999998</v>
      </c>
      <c r="GX4">
        <v>26.420200000000001</v>
      </c>
      <c r="GY4">
        <v>24.5853</v>
      </c>
      <c r="GZ4">
        <v>24.199400000000001</v>
      </c>
      <c r="HA4">
        <v>24.4483</v>
      </c>
      <c r="HB4">
        <v>0</v>
      </c>
      <c r="HC4">
        <v>24.827000000000002</v>
      </c>
      <c r="HD4">
        <v>24.640499999999999</v>
      </c>
      <c r="HE4">
        <v>24.826899999999998</v>
      </c>
      <c r="HF4">
        <v>24.0626</v>
      </c>
      <c r="HG4">
        <v>24.105799999999999</v>
      </c>
      <c r="HH4">
        <v>24.469799999999999</v>
      </c>
      <c r="HI4">
        <v>24.8964</v>
      </c>
      <c r="HJ4">
        <v>25.079000000000001</v>
      </c>
      <c r="HK4">
        <v>26.069500000000001</v>
      </c>
      <c r="HL4">
        <v>24.526800000000001</v>
      </c>
      <c r="HM4">
        <v>24.946200000000001</v>
      </c>
      <c r="HN4">
        <v>25.057400000000001</v>
      </c>
      <c r="HO4">
        <v>25.006699999999999</v>
      </c>
      <c r="HP4">
        <v>24.688700000000001</v>
      </c>
      <c r="HQ4">
        <v>24.3291</v>
      </c>
      <c r="HR4">
        <v>26.758700000000001</v>
      </c>
      <c r="HS4">
        <v>24.297999999999998</v>
      </c>
      <c r="HT4">
        <v>24.688500000000001</v>
      </c>
      <c r="HU4">
        <v>23.2606</v>
      </c>
      <c r="HV4">
        <v>23.8247</v>
      </c>
      <c r="HW4">
        <v>25.744</v>
      </c>
      <c r="HX4">
        <v>25.793700000000001</v>
      </c>
      <c r="HY4">
        <v>26.228100000000001</v>
      </c>
      <c r="HZ4">
        <v>26.0154</v>
      </c>
      <c r="IA4">
        <v>26.614999999999998</v>
      </c>
      <c r="IB4">
        <v>26.0154</v>
      </c>
      <c r="IC4">
        <v>26.228899999999999</v>
      </c>
      <c r="ID4">
        <v>26.156600000000001</v>
      </c>
    </row>
    <row r="5" spans="1:238" x14ac:dyDescent="0.25">
      <c r="A5">
        <v>4</v>
      </c>
      <c r="B5">
        <v>23.772600000000001</v>
      </c>
      <c r="C5">
        <v>23.851199999999999</v>
      </c>
      <c r="D5">
        <v>23.887699999999999</v>
      </c>
      <c r="E5">
        <v>23.463100000000001</v>
      </c>
      <c r="F5">
        <v>22.7272</v>
      </c>
      <c r="G5">
        <v>22.479700000000001</v>
      </c>
      <c r="H5">
        <v>22.3874</v>
      </c>
      <c r="I5">
        <v>24.31</v>
      </c>
      <c r="J5">
        <v>24.0486</v>
      </c>
      <c r="K5">
        <v>25.0334</v>
      </c>
      <c r="L5">
        <v>24.4863</v>
      </c>
      <c r="M5">
        <v>24.980699999999999</v>
      </c>
      <c r="N5">
        <v>24.3445</v>
      </c>
      <c r="O5">
        <v>23.395800000000001</v>
      </c>
      <c r="P5">
        <v>23.3416</v>
      </c>
      <c r="Q5">
        <v>23.169799999999999</v>
      </c>
      <c r="R5">
        <v>24.343599999999999</v>
      </c>
      <c r="S5">
        <v>24.2822</v>
      </c>
      <c r="T5">
        <v>24.513200000000001</v>
      </c>
      <c r="U5">
        <v>24.134699999999999</v>
      </c>
      <c r="V5">
        <v>23.033899999999999</v>
      </c>
      <c r="W5">
        <v>22.58</v>
      </c>
      <c r="X5">
        <v>22.7776</v>
      </c>
      <c r="Y5">
        <v>23.2623</v>
      </c>
      <c r="Z5">
        <v>22.431699999999999</v>
      </c>
      <c r="AA5">
        <v>22.6937</v>
      </c>
      <c r="AB5">
        <v>22.7468</v>
      </c>
      <c r="AC5">
        <v>23.4483</v>
      </c>
      <c r="AD5">
        <v>25.229700000000001</v>
      </c>
      <c r="AE5">
        <v>23.831</v>
      </c>
      <c r="AF5">
        <v>23.942900000000002</v>
      </c>
      <c r="AG5">
        <v>24.0291</v>
      </c>
      <c r="AH5">
        <v>25.391500000000001</v>
      </c>
      <c r="AI5">
        <v>23.6007</v>
      </c>
      <c r="AJ5">
        <v>23.614599999999999</v>
      </c>
      <c r="AK5">
        <v>24.748100000000001</v>
      </c>
      <c r="AL5">
        <v>23.991599999999998</v>
      </c>
      <c r="AM5">
        <v>23.3401</v>
      </c>
      <c r="AN5">
        <v>23.9513</v>
      </c>
      <c r="AO5">
        <v>23.811800000000002</v>
      </c>
      <c r="AP5">
        <v>24.582699999999999</v>
      </c>
      <c r="AQ5">
        <v>23.165800000000001</v>
      </c>
      <c r="AR5">
        <v>24.545100000000001</v>
      </c>
      <c r="AS5">
        <v>24.652000000000001</v>
      </c>
      <c r="AT5">
        <v>25.574999999999999</v>
      </c>
      <c r="AU5">
        <v>23.745799999999999</v>
      </c>
      <c r="AV5">
        <v>26.0593</v>
      </c>
      <c r="AW5">
        <v>26.000599999999999</v>
      </c>
      <c r="AX5">
        <v>22.923400000000001</v>
      </c>
      <c r="AY5">
        <v>24.802399999999999</v>
      </c>
      <c r="AZ5">
        <v>24.267600000000002</v>
      </c>
      <c r="BA5">
        <v>24.4617</v>
      </c>
      <c r="BB5">
        <v>25.674900000000001</v>
      </c>
      <c r="BC5">
        <v>25.626799999999999</v>
      </c>
      <c r="BD5">
        <v>25.145</v>
      </c>
      <c r="BE5">
        <v>24.559699999999999</v>
      </c>
      <c r="BF5">
        <v>24.2241</v>
      </c>
      <c r="BG5">
        <v>24.925000000000001</v>
      </c>
      <c r="BH5">
        <v>23.407299999999999</v>
      </c>
      <c r="BI5">
        <v>26.459</v>
      </c>
      <c r="BJ5">
        <v>25.584099999999999</v>
      </c>
      <c r="BK5">
        <v>25.623000000000001</v>
      </c>
      <c r="BL5">
        <v>24.991900000000001</v>
      </c>
      <c r="BM5">
        <v>25.017499999999998</v>
      </c>
      <c r="BN5">
        <v>25.106200000000001</v>
      </c>
      <c r="BO5">
        <v>25.445900000000002</v>
      </c>
      <c r="BP5">
        <v>25.488800000000001</v>
      </c>
      <c r="BQ5">
        <v>26.1678</v>
      </c>
      <c r="BR5">
        <v>25.745000000000001</v>
      </c>
      <c r="BS5">
        <v>25.821000000000002</v>
      </c>
      <c r="BT5">
        <v>25.8018</v>
      </c>
      <c r="BU5">
        <v>26.048999999999999</v>
      </c>
      <c r="BV5">
        <v>25.964700000000001</v>
      </c>
      <c r="BW5">
        <v>25.588200000000001</v>
      </c>
      <c r="BX5">
        <v>24.051200000000001</v>
      </c>
      <c r="BY5">
        <v>23.618099999999998</v>
      </c>
      <c r="BZ5">
        <v>24.07</v>
      </c>
      <c r="CA5">
        <v>25.247599999999998</v>
      </c>
      <c r="CB5">
        <v>25.0366</v>
      </c>
      <c r="CC5">
        <v>23.318300000000001</v>
      </c>
      <c r="CD5">
        <v>23.778400000000001</v>
      </c>
      <c r="CE5">
        <v>24.407</v>
      </c>
      <c r="CF5">
        <v>23.997800000000002</v>
      </c>
      <c r="CG5">
        <v>24.023099999999999</v>
      </c>
      <c r="CH5">
        <v>24.079499999999999</v>
      </c>
      <c r="CI5">
        <v>24.117000000000001</v>
      </c>
      <c r="CJ5">
        <v>24.164899999999999</v>
      </c>
      <c r="CK5">
        <v>24.145299999999999</v>
      </c>
      <c r="CL5">
        <v>24.073599999999999</v>
      </c>
      <c r="CM5">
        <v>24.411300000000001</v>
      </c>
      <c r="CN5">
        <v>23.993200000000002</v>
      </c>
      <c r="CO5">
        <v>23.949000000000002</v>
      </c>
      <c r="CP5">
        <v>23.9026</v>
      </c>
      <c r="CQ5">
        <v>23.770299999999999</v>
      </c>
      <c r="CR5">
        <v>23.618099999999998</v>
      </c>
      <c r="CS5">
        <v>23.422799999999999</v>
      </c>
      <c r="CT5">
        <v>23.6876</v>
      </c>
      <c r="CU5">
        <v>23.404</v>
      </c>
      <c r="CV5">
        <v>0</v>
      </c>
      <c r="CW5">
        <v>24.479199999999999</v>
      </c>
      <c r="CX5">
        <v>24.7028</v>
      </c>
      <c r="CY5">
        <v>24.019200000000001</v>
      </c>
      <c r="CZ5">
        <v>23.360199999999999</v>
      </c>
      <c r="DA5">
        <v>23.448399999999999</v>
      </c>
      <c r="DB5">
        <v>24.465699999999998</v>
      </c>
      <c r="DC5">
        <v>24.439499999999999</v>
      </c>
      <c r="DD5">
        <v>25.077200000000001</v>
      </c>
      <c r="DE5">
        <v>25.474299999999999</v>
      </c>
      <c r="DF5">
        <v>25.528700000000001</v>
      </c>
      <c r="DG5">
        <v>23.655799999999999</v>
      </c>
      <c r="DH5">
        <v>24.061</v>
      </c>
      <c r="DI5">
        <v>25.6677</v>
      </c>
      <c r="DJ5">
        <v>25.027000000000001</v>
      </c>
      <c r="DK5">
        <v>24.103899999999999</v>
      </c>
      <c r="DL5">
        <v>22.376999999999999</v>
      </c>
      <c r="DM5">
        <v>22.342300000000002</v>
      </c>
      <c r="DN5">
        <v>25.4373</v>
      </c>
      <c r="DO5">
        <v>23.301200000000001</v>
      </c>
      <c r="DP5">
        <v>23.944199999999999</v>
      </c>
      <c r="DQ5">
        <v>24.559200000000001</v>
      </c>
      <c r="DR5">
        <v>25.852599999999999</v>
      </c>
      <c r="DS5">
        <v>24.030799999999999</v>
      </c>
      <c r="DT5">
        <v>24.099399999999999</v>
      </c>
      <c r="DU5">
        <v>23.7926</v>
      </c>
      <c r="DV5">
        <v>23.601800000000001</v>
      </c>
      <c r="DW5">
        <v>23.6571</v>
      </c>
      <c r="DX5">
        <v>25.025300000000001</v>
      </c>
      <c r="DY5">
        <v>25.357700000000001</v>
      </c>
      <c r="DZ5">
        <v>23.4313</v>
      </c>
      <c r="EA5">
        <v>23.4374</v>
      </c>
      <c r="EB5">
        <v>23.8231</v>
      </c>
      <c r="EC5">
        <v>22.997599999999998</v>
      </c>
      <c r="ED5">
        <v>21.1219</v>
      </c>
      <c r="EE5">
        <v>24.031199999999998</v>
      </c>
      <c r="EF5">
        <v>23.9803</v>
      </c>
      <c r="EG5">
        <v>23.708600000000001</v>
      </c>
      <c r="EH5">
        <v>24.046099999999999</v>
      </c>
      <c r="EI5">
        <v>24.0868</v>
      </c>
      <c r="EJ5">
        <v>24.120899999999999</v>
      </c>
      <c r="EK5">
        <v>23.845600000000001</v>
      </c>
      <c r="EL5">
        <v>21.971800000000002</v>
      </c>
      <c r="EM5">
        <v>22.161899999999999</v>
      </c>
      <c r="EN5">
        <v>23.4055</v>
      </c>
      <c r="EO5">
        <v>23.188700000000001</v>
      </c>
      <c r="EP5">
        <v>25.85</v>
      </c>
      <c r="EQ5">
        <v>23.246600000000001</v>
      </c>
      <c r="ER5">
        <v>23.453199999999999</v>
      </c>
      <c r="ES5">
        <v>23.2105</v>
      </c>
      <c r="ET5">
        <v>25.374199999999998</v>
      </c>
      <c r="EU5">
        <v>25.431699999999999</v>
      </c>
      <c r="EV5">
        <v>25.0045</v>
      </c>
      <c r="EW5">
        <v>25.139700000000001</v>
      </c>
      <c r="EX5">
        <v>24.73</v>
      </c>
      <c r="EY5">
        <v>23.915700000000001</v>
      </c>
      <c r="EZ5">
        <v>24.465199999999999</v>
      </c>
      <c r="FA5">
        <v>22.864100000000001</v>
      </c>
      <c r="FB5">
        <v>23.615600000000001</v>
      </c>
      <c r="FC5">
        <v>23.455300000000001</v>
      </c>
      <c r="FD5">
        <v>23.8279</v>
      </c>
      <c r="FE5">
        <v>23.8782</v>
      </c>
      <c r="FF5">
        <v>25.393699999999999</v>
      </c>
      <c r="FG5">
        <v>0</v>
      </c>
      <c r="FH5">
        <v>24.965199999999999</v>
      </c>
      <c r="FI5">
        <v>23.4679</v>
      </c>
      <c r="FJ5">
        <v>24.296399999999998</v>
      </c>
      <c r="FK5">
        <v>24.527100000000001</v>
      </c>
      <c r="FL5">
        <v>23.901</v>
      </c>
      <c r="FM5">
        <v>23.900300000000001</v>
      </c>
      <c r="FN5">
        <v>25.064800000000002</v>
      </c>
      <c r="FO5">
        <v>24.235199999999999</v>
      </c>
      <c r="FP5">
        <v>23.999199999999998</v>
      </c>
      <c r="FQ5">
        <v>22.9633</v>
      </c>
      <c r="FR5">
        <v>21.186499999999999</v>
      </c>
      <c r="FS5">
        <v>24.586500000000001</v>
      </c>
      <c r="FT5">
        <v>21.217400000000001</v>
      </c>
      <c r="FU5">
        <v>22.646899999999999</v>
      </c>
      <c r="FV5">
        <v>23.434899999999999</v>
      </c>
      <c r="FW5">
        <v>24.0124</v>
      </c>
      <c r="FX5">
        <v>25.773299999999999</v>
      </c>
      <c r="FY5">
        <v>25.907599999999999</v>
      </c>
      <c r="FZ5">
        <v>25.385200000000001</v>
      </c>
      <c r="GA5">
        <v>24.143599999999999</v>
      </c>
      <c r="GB5">
        <v>23.241599999999998</v>
      </c>
      <c r="GC5">
        <v>24.923200000000001</v>
      </c>
      <c r="GD5">
        <v>24.8706</v>
      </c>
      <c r="GE5">
        <v>25.309100000000001</v>
      </c>
      <c r="GF5">
        <v>21.6492</v>
      </c>
      <c r="GG5">
        <v>25.404299999999999</v>
      </c>
      <c r="GH5">
        <v>22.4223</v>
      </c>
      <c r="GI5">
        <v>22.814299999999999</v>
      </c>
      <c r="GJ5">
        <v>22.699400000000001</v>
      </c>
      <c r="GK5">
        <v>24.8962</v>
      </c>
      <c r="GL5">
        <v>25.6462</v>
      </c>
      <c r="GM5">
        <v>22.492999999999999</v>
      </c>
      <c r="GN5">
        <v>26.032499999999999</v>
      </c>
      <c r="GO5">
        <v>26.184000000000001</v>
      </c>
      <c r="GP5">
        <v>26.1919</v>
      </c>
      <c r="GQ5">
        <v>26.0778</v>
      </c>
      <c r="GR5">
        <v>25.85</v>
      </c>
      <c r="GS5">
        <v>26.179500000000001</v>
      </c>
      <c r="GT5">
        <v>26.089400000000001</v>
      </c>
      <c r="GU5">
        <v>26.206700000000001</v>
      </c>
      <c r="GV5">
        <v>26.1936</v>
      </c>
      <c r="GW5">
        <v>26.165299999999998</v>
      </c>
      <c r="GX5">
        <v>25.778199999999998</v>
      </c>
      <c r="GY5">
        <v>23.993200000000002</v>
      </c>
      <c r="GZ5">
        <v>23.617799999999999</v>
      </c>
      <c r="HA5">
        <v>23.878299999999999</v>
      </c>
      <c r="HB5">
        <v>0</v>
      </c>
      <c r="HC5">
        <v>24.226600000000001</v>
      </c>
      <c r="HD5">
        <v>24.051600000000001</v>
      </c>
      <c r="HE5">
        <v>24.226500000000001</v>
      </c>
      <c r="HF5">
        <v>23.492999999999999</v>
      </c>
      <c r="HG5">
        <v>23.5351</v>
      </c>
      <c r="HH5">
        <v>23.884899999999998</v>
      </c>
      <c r="HI5">
        <v>24.289300000000001</v>
      </c>
      <c r="HJ5">
        <v>24.4831</v>
      </c>
      <c r="HK5">
        <v>25.391400000000001</v>
      </c>
      <c r="HL5">
        <v>23.942599999999999</v>
      </c>
      <c r="HM5">
        <v>24.361699999999999</v>
      </c>
      <c r="HN5">
        <v>24.464099999999998</v>
      </c>
      <c r="HO5">
        <v>24.416799999999999</v>
      </c>
      <c r="HP5">
        <v>24.092300000000002</v>
      </c>
      <c r="HQ5">
        <v>23.7469</v>
      </c>
      <c r="HR5">
        <v>26.1157</v>
      </c>
      <c r="HS5">
        <v>23.713000000000001</v>
      </c>
      <c r="HT5">
        <v>24.092099999999999</v>
      </c>
      <c r="HU5">
        <v>22.7041</v>
      </c>
      <c r="HV5">
        <v>23.250499999999999</v>
      </c>
      <c r="HW5">
        <v>25.0793</v>
      </c>
      <c r="HX5">
        <v>25.126999999999999</v>
      </c>
      <c r="HY5">
        <v>25.544699999999999</v>
      </c>
      <c r="HZ5">
        <v>25.393699999999999</v>
      </c>
      <c r="IA5">
        <v>25.9664</v>
      </c>
      <c r="IB5">
        <v>25.393699999999999</v>
      </c>
      <c r="IC5">
        <v>25.602900000000002</v>
      </c>
      <c r="ID5">
        <v>25.5321</v>
      </c>
    </row>
    <row r="6" spans="1:238" x14ac:dyDescent="0.25">
      <c r="A6">
        <v>5</v>
      </c>
      <c r="B6">
        <v>23.7027</v>
      </c>
      <c r="C6">
        <v>23.808199999999999</v>
      </c>
      <c r="D6">
        <v>23.843</v>
      </c>
      <c r="E6">
        <v>23.425000000000001</v>
      </c>
      <c r="F6">
        <v>22.7226</v>
      </c>
      <c r="G6">
        <v>22.434000000000001</v>
      </c>
      <c r="H6">
        <v>22.343</v>
      </c>
      <c r="I6">
        <v>24.250800000000002</v>
      </c>
      <c r="J6">
        <v>23.999400000000001</v>
      </c>
      <c r="K6">
        <v>24.972799999999999</v>
      </c>
      <c r="L6">
        <v>24.431699999999999</v>
      </c>
      <c r="M6">
        <v>24.922799999999999</v>
      </c>
      <c r="N6">
        <v>24.302800000000001</v>
      </c>
      <c r="O6">
        <v>23.350300000000001</v>
      </c>
      <c r="P6">
        <v>23.305499999999999</v>
      </c>
      <c r="Q6">
        <v>23.1511</v>
      </c>
      <c r="R6">
        <v>24.307500000000001</v>
      </c>
      <c r="S6">
        <v>24.247699999999998</v>
      </c>
      <c r="T6">
        <v>24.473500000000001</v>
      </c>
      <c r="U6">
        <v>24.062200000000001</v>
      </c>
      <c r="V6">
        <v>22.9909</v>
      </c>
      <c r="W6">
        <v>22.539000000000001</v>
      </c>
      <c r="X6">
        <v>22.734200000000001</v>
      </c>
      <c r="Y6">
        <v>23.2212</v>
      </c>
      <c r="Z6">
        <v>22.384799999999998</v>
      </c>
      <c r="AA6">
        <v>22.646599999999999</v>
      </c>
      <c r="AB6">
        <v>22.700399999999998</v>
      </c>
      <c r="AC6">
        <v>23.399899999999999</v>
      </c>
      <c r="AD6">
        <v>25.168099999999999</v>
      </c>
      <c r="AE6">
        <v>23.788699999999999</v>
      </c>
      <c r="AF6">
        <v>23.8965</v>
      </c>
      <c r="AG6">
        <v>23.978100000000001</v>
      </c>
      <c r="AH6">
        <v>25.3248</v>
      </c>
      <c r="AI6">
        <v>23.5318</v>
      </c>
      <c r="AJ6">
        <v>23.548100000000002</v>
      </c>
      <c r="AK6">
        <v>24.691299999999998</v>
      </c>
      <c r="AL6">
        <v>23.943200000000001</v>
      </c>
      <c r="AM6">
        <v>23.286200000000001</v>
      </c>
      <c r="AN6">
        <v>23.907900000000001</v>
      </c>
      <c r="AO6">
        <v>23.741</v>
      </c>
      <c r="AP6">
        <v>24.494900000000001</v>
      </c>
      <c r="AQ6">
        <v>23.110600000000002</v>
      </c>
      <c r="AR6">
        <v>24.489100000000001</v>
      </c>
      <c r="AS6">
        <v>24.5627</v>
      </c>
      <c r="AT6">
        <v>25.5046</v>
      </c>
      <c r="AU6">
        <v>23.691099999999999</v>
      </c>
      <c r="AV6">
        <v>25.9924</v>
      </c>
      <c r="AW6">
        <v>25.932700000000001</v>
      </c>
      <c r="AX6">
        <v>22.888200000000001</v>
      </c>
      <c r="AY6">
        <v>24.747199999999999</v>
      </c>
      <c r="AZ6">
        <v>24.213000000000001</v>
      </c>
      <c r="BA6">
        <v>24.401199999999999</v>
      </c>
      <c r="BB6">
        <v>25.614799999999999</v>
      </c>
      <c r="BC6">
        <v>25.574000000000002</v>
      </c>
      <c r="BD6">
        <v>25.0822</v>
      </c>
      <c r="BE6">
        <v>24.498799999999999</v>
      </c>
      <c r="BF6">
        <v>24.190999999999999</v>
      </c>
      <c r="BG6">
        <v>24.867599999999999</v>
      </c>
      <c r="BH6">
        <v>23.3581</v>
      </c>
      <c r="BI6">
        <v>26.400500000000001</v>
      </c>
      <c r="BJ6">
        <v>25.5305</v>
      </c>
      <c r="BK6">
        <v>25.568899999999999</v>
      </c>
      <c r="BL6">
        <v>24.9361</v>
      </c>
      <c r="BM6">
        <v>24.9617</v>
      </c>
      <c r="BN6">
        <v>25.052099999999999</v>
      </c>
      <c r="BO6">
        <v>25.394500000000001</v>
      </c>
      <c r="BP6">
        <v>25.436599999999999</v>
      </c>
      <c r="BQ6">
        <v>26.1084</v>
      </c>
      <c r="BR6">
        <v>25.6919</v>
      </c>
      <c r="BS6">
        <v>25.769300000000001</v>
      </c>
      <c r="BT6">
        <v>25.7468</v>
      </c>
      <c r="BU6">
        <v>25.997499999999999</v>
      </c>
      <c r="BV6">
        <v>25.909099999999999</v>
      </c>
      <c r="BW6">
        <v>25.534600000000001</v>
      </c>
      <c r="BX6">
        <v>24.005199999999999</v>
      </c>
      <c r="BY6">
        <v>23.584199999999999</v>
      </c>
      <c r="BZ6">
        <v>24.033999999999999</v>
      </c>
      <c r="CA6">
        <v>25.1861</v>
      </c>
      <c r="CB6">
        <v>24.977900000000002</v>
      </c>
      <c r="CC6">
        <v>23.265999999999998</v>
      </c>
      <c r="CD6">
        <v>23.731400000000001</v>
      </c>
      <c r="CE6">
        <v>24.3748</v>
      </c>
      <c r="CF6">
        <v>23.949200000000001</v>
      </c>
      <c r="CG6">
        <v>23.973500000000001</v>
      </c>
      <c r="CH6">
        <v>24.029699999999998</v>
      </c>
      <c r="CI6">
        <v>24.066500000000001</v>
      </c>
      <c r="CJ6">
        <v>24.113600000000002</v>
      </c>
      <c r="CK6">
        <v>24.0943</v>
      </c>
      <c r="CL6">
        <v>24.023599999999998</v>
      </c>
      <c r="CM6">
        <v>24.352399999999999</v>
      </c>
      <c r="CN6">
        <v>23.947900000000001</v>
      </c>
      <c r="CO6">
        <v>23.9068</v>
      </c>
      <c r="CP6">
        <v>23.860399999999998</v>
      </c>
      <c r="CQ6">
        <v>23.7319</v>
      </c>
      <c r="CR6">
        <v>23.584199999999999</v>
      </c>
      <c r="CS6">
        <v>23.367999999999999</v>
      </c>
      <c r="CT6">
        <v>23.631399999999999</v>
      </c>
      <c r="CU6">
        <v>23.356300000000001</v>
      </c>
      <c r="CV6">
        <v>0</v>
      </c>
      <c r="CW6">
        <v>24.4255</v>
      </c>
      <c r="CX6">
        <v>24.646599999999999</v>
      </c>
      <c r="CY6">
        <v>23.974699999999999</v>
      </c>
      <c r="CZ6">
        <v>23.3185</v>
      </c>
      <c r="DA6">
        <v>23.382200000000001</v>
      </c>
      <c r="DB6">
        <v>24.4237</v>
      </c>
      <c r="DC6">
        <v>24.397400000000001</v>
      </c>
      <c r="DD6">
        <v>25.029599999999999</v>
      </c>
      <c r="DE6">
        <v>25.4222</v>
      </c>
      <c r="DF6">
        <v>25.4758</v>
      </c>
      <c r="DG6">
        <v>23.6828</v>
      </c>
      <c r="DH6">
        <v>24.014199999999999</v>
      </c>
      <c r="DI6">
        <v>25.6128</v>
      </c>
      <c r="DJ6">
        <v>24.9679</v>
      </c>
      <c r="DK6">
        <v>24.056100000000001</v>
      </c>
      <c r="DL6">
        <v>22.327300000000001</v>
      </c>
      <c r="DM6">
        <v>22.309200000000001</v>
      </c>
      <c r="DN6">
        <v>25.368400000000001</v>
      </c>
      <c r="DO6">
        <v>23.240200000000002</v>
      </c>
      <c r="DP6">
        <v>23.898900000000001</v>
      </c>
      <c r="DQ6">
        <v>24.499300000000002</v>
      </c>
      <c r="DR6">
        <v>25.793800000000001</v>
      </c>
      <c r="DS6">
        <v>23.985700000000001</v>
      </c>
      <c r="DT6">
        <v>24.0518</v>
      </c>
      <c r="DU6">
        <v>23.7531</v>
      </c>
      <c r="DV6">
        <v>23.549700000000001</v>
      </c>
      <c r="DW6">
        <v>23.611999999999998</v>
      </c>
      <c r="DX6">
        <v>24.9651</v>
      </c>
      <c r="DY6">
        <v>25.307500000000001</v>
      </c>
      <c r="DZ6">
        <v>23.382100000000001</v>
      </c>
      <c r="EA6">
        <v>23.388200000000001</v>
      </c>
      <c r="EB6">
        <v>23.7883</v>
      </c>
      <c r="EC6">
        <v>22.960599999999999</v>
      </c>
      <c r="ED6">
        <v>21.0778</v>
      </c>
      <c r="EE6">
        <v>23.973500000000001</v>
      </c>
      <c r="EF6">
        <v>23.9328</v>
      </c>
      <c r="EG6">
        <v>23.6614</v>
      </c>
      <c r="EH6">
        <v>23.997499999999999</v>
      </c>
      <c r="EI6">
        <v>24.040199999999999</v>
      </c>
      <c r="EJ6">
        <v>24.073399999999999</v>
      </c>
      <c r="EK6">
        <v>23.7883</v>
      </c>
      <c r="EL6">
        <v>21.927499999999998</v>
      </c>
      <c r="EM6">
        <v>22.117000000000001</v>
      </c>
      <c r="EN6">
        <v>23.365500000000001</v>
      </c>
      <c r="EO6">
        <v>23.149100000000001</v>
      </c>
      <c r="EP6">
        <v>25.790700000000001</v>
      </c>
      <c r="EQ6">
        <v>23.2089</v>
      </c>
      <c r="ER6">
        <v>23.414200000000001</v>
      </c>
      <c r="ES6">
        <v>23.173200000000001</v>
      </c>
      <c r="ET6">
        <v>25.3232</v>
      </c>
      <c r="EU6">
        <v>25.380400000000002</v>
      </c>
      <c r="EV6">
        <v>24.9391</v>
      </c>
      <c r="EW6">
        <v>25.073399999999999</v>
      </c>
      <c r="EX6">
        <v>24.667200000000001</v>
      </c>
      <c r="EY6">
        <v>23.8703</v>
      </c>
      <c r="EZ6">
        <v>24.402699999999999</v>
      </c>
      <c r="FA6">
        <v>22.8432</v>
      </c>
      <c r="FB6">
        <v>23.5687</v>
      </c>
      <c r="FC6">
        <v>23.4161</v>
      </c>
      <c r="FD6">
        <v>23.7864</v>
      </c>
      <c r="FE6">
        <v>23.8339</v>
      </c>
      <c r="FF6">
        <v>25.343499999999999</v>
      </c>
      <c r="FG6">
        <v>0</v>
      </c>
      <c r="FH6">
        <v>24.925699999999999</v>
      </c>
      <c r="FI6">
        <v>23.4298</v>
      </c>
      <c r="FJ6">
        <v>24.241800000000001</v>
      </c>
      <c r="FK6">
        <v>24.4724</v>
      </c>
      <c r="FL6">
        <v>23.8569</v>
      </c>
      <c r="FM6">
        <v>23.858499999999999</v>
      </c>
      <c r="FN6">
        <v>25.007899999999999</v>
      </c>
      <c r="FO6">
        <v>24.180700000000002</v>
      </c>
      <c r="FP6">
        <v>23.953800000000001</v>
      </c>
      <c r="FQ6">
        <v>22.912700000000001</v>
      </c>
      <c r="FR6">
        <v>21.139099999999999</v>
      </c>
      <c r="FS6">
        <v>24.546500000000002</v>
      </c>
      <c r="FT6">
        <v>21.169899999999998</v>
      </c>
      <c r="FU6">
        <v>22.577500000000001</v>
      </c>
      <c r="FV6">
        <v>23.387699999999999</v>
      </c>
      <c r="FW6">
        <v>23.937899999999999</v>
      </c>
      <c r="FX6">
        <v>25.684699999999999</v>
      </c>
      <c r="FY6">
        <v>25.8203</v>
      </c>
      <c r="FZ6">
        <v>25.3184</v>
      </c>
      <c r="GA6">
        <v>24.0854</v>
      </c>
      <c r="GB6">
        <v>23.229500000000002</v>
      </c>
      <c r="GC6">
        <v>24.866700000000002</v>
      </c>
      <c r="GD6">
        <v>24.814699999999998</v>
      </c>
      <c r="GE6">
        <v>25.2546</v>
      </c>
      <c r="GF6">
        <v>21.5944</v>
      </c>
      <c r="GG6">
        <v>25.3508</v>
      </c>
      <c r="GH6">
        <v>22.377600000000001</v>
      </c>
      <c r="GI6">
        <v>22.767900000000001</v>
      </c>
      <c r="GJ6">
        <v>22.6524</v>
      </c>
      <c r="GK6">
        <v>24.811</v>
      </c>
      <c r="GL6">
        <v>25.5581</v>
      </c>
      <c r="GM6">
        <v>22.445599999999999</v>
      </c>
      <c r="GN6">
        <v>25.973700000000001</v>
      </c>
      <c r="GO6">
        <v>26.115600000000001</v>
      </c>
      <c r="GP6">
        <v>26.1234</v>
      </c>
      <c r="GQ6">
        <v>26.0138</v>
      </c>
      <c r="GR6">
        <v>25.790700000000001</v>
      </c>
      <c r="GS6">
        <v>26.1112</v>
      </c>
      <c r="GT6">
        <v>26.0291</v>
      </c>
      <c r="GU6">
        <v>26.147200000000002</v>
      </c>
      <c r="GV6">
        <v>26.1251</v>
      </c>
      <c r="GW6">
        <v>26.096399999999999</v>
      </c>
      <c r="GX6">
        <v>25.720199999999998</v>
      </c>
      <c r="GY6">
        <v>23.947900000000001</v>
      </c>
      <c r="GZ6">
        <v>23.584</v>
      </c>
      <c r="HA6">
        <v>23.834099999999999</v>
      </c>
      <c r="HB6">
        <v>0</v>
      </c>
      <c r="HC6">
        <v>24.1907</v>
      </c>
      <c r="HD6">
        <v>24.002400000000002</v>
      </c>
      <c r="HE6">
        <v>24.1907</v>
      </c>
      <c r="HF6">
        <v>23.452999999999999</v>
      </c>
      <c r="HG6">
        <v>23.495100000000001</v>
      </c>
      <c r="HH6">
        <v>23.843299999999999</v>
      </c>
      <c r="HI6">
        <v>24.254899999999999</v>
      </c>
      <c r="HJ6">
        <v>24.446300000000001</v>
      </c>
      <c r="HK6">
        <v>25.326499999999999</v>
      </c>
      <c r="HL6">
        <v>23.8963</v>
      </c>
      <c r="HM6">
        <v>24.324400000000001</v>
      </c>
      <c r="HN6">
        <v>24.4222</v>
      </c>
      <c r="HO6">
        <v>24.377500000000001</v>
      </c>
      <c r="HP6">
        <v>24.056899999999999</v>
      </c>
      <c r="HQ6">
        <v>23.7026</v>
      </c>
      <c r="HR6">
        <v>26.059200000000001</v>
      </c>
      <c r="HS6">
        <v>23.677499999999998</v>
      </c>
      <c r="HT6">
        <v>24.056699999999999</v>
      </c>
      <c r="HU6">
        <v>22.6556</v>
      </c>
      <c r="HV6">
        <v>23.198599999999999</v>
      </c>
      <c r="HW6">
        <v>25.019600000000001</v>
      </c>
      <c r="HX6">
        <v>25.066700000000001</v>
      </c>
      <c r="HY6">
        <v>25.474900000000002</v>
      </c>
      <c r="HZ6">
        <v>25.343499999999999</v>
      </c>
      <c r="IA6">
        <v>25.908899999999999</v>
      </c>
      <c r="IB6">
        <v>25.343499999999999</v>
      </c>
      <c r="IC6">
        <v>25.552199999999999</v>
      </c>
      <c r="ID6">
        <v>25.481000000000002</v>
      </c>
    </row>
    <row r="7" spans="1:238" x14ac:dyDescent="0.25">
      <c r="A7">
        <v>6</v>
      </c>
      <c r="B7">
        <v>23.656099999999999</v>
      </c>
      <c r="C7">
        <v>23.8095</v>
      </c>
      <c r="D7">
        <v>23.843800000000002</v>
      </c>
      <c r="E7">
        <v>23.438500000000001</v>
      </c>
      <c r="F7">
        <v>22.738800000000001</v>
      </c>
      <c r="G7">
        <v>22.4175</v>
      </c>
      <c r="H7">
        <v>22.331499999999998</v>
      </c>
      <c r="I7">
        <v>24.205500000000001</v>
      </c>
      <c r="J7">
        <v>24.004300000000001</v>
      </c>
      <c r="K7">
        <v>24.924700000000001</v>
      </c>
      <c r="L7">
        <v>24.403300000000002</v>
      </c>
      <c r="M7">
        <v>24.880700000000001</v>
      </c>
      <c r="N7">
        <v>24.307600000000001</v>
      </c>
      <c r="O7">
        <v>23.337</v>
      </c>
      <c r="P7">
        <v>23.293399999999998</v>
      </c>
      <c r="Q7">
        <v>23.145299999999999</v>
      </c>
      <c r="R7">
        <v>24.288699999999999</v>
      </c>
      <c r="S7">
        <v>24.231000000000002</v>
      </c>
      <c r="T7">
        <v>24.457699999999999</v>
      </c>
      <c r="U7">
        <v>24.099399999999999</v>
      </c>
      <c r="V7">
        <v>22.985800000000001</v>
      </c>
      <c r="W7">
        <v>22.5215</v>
      </c>
      <c r="X7">
        <v>22.725899999999999</v>
      </c>
      <c r="Y7">
        <v>23.2211</v>
      </c>
      <c r="Z7">
        <v>22.365200000000002</v>
      </c>
      <c r="AA7">
        <v>22.623999999999999</v>
      </c>
      <c r="AB7">
        <v>22.6753</v>
      </c>
      <c r="AC7">
        <v>23.380700000000001</v>
      </c>
      <c r="AD7">
        <v>25.1111</v>
      </c>
      <c r="AE7">
        <v>23.790299999999998</v>
      </c>
      <c r="AF7">
        <v>23.908899999999999</v>
      </c>
      <c r="AG7">
        <v>23.993099999999998</v>
      </c>
      <c r="AH7">
        <v>25.261199999999999</v>
      </c>
      <c r="AI7">
        <v>23.488600000000002</v>
      </c>
      <c r="AJ7">
        <v>23.505500000000001</v>
      </c>
      <c r="AK7">
        <v>24.6557</v>
      </c>
      <c r="AL7">
        <v>23.946300000000001</v>
      </c>
      <c r="AM7">
        <v>23.2562</v>
      </c>
      <c r="AN7">
        <v>23.906600000000001</v>
      </c>
      <c r="AO7">
        <v>23.693300000000001</v>
      </c>
      <c r="AP7">
        <v>24.4254</v>
      </c>
      <c r="AQ7">
        <v>23.0764</v>
      </c>
      <c r="AR7">
        <v>24.4589</v>
      </c>
      <c r="AS7">
        <v>24.491199999999999</v>
      </c>
      <c r="AT7">
        <v>25.4376</v>
      </c>
      <c r="AU7">
        <v>23.6783</v>
      </c>
      <c r="AV7">
        <v>26.0015</v>
      </c>
      <c r="AW7">
        <v>25.944800000000001</v>
      </c>
      <c r="AX7">
        <v>22.8842</v>
      </c>
      <c r="AY7">
        <v>24.719100000000001</v>
      </c>
      <c r="AZ7">
        <v>24.184699999999999</v>
      </c>
      <c r="BA7">
        <v>24.384599999999999</v>
      </c>
      <c r="BB7">
        <v>25.5945</v>
      </c>
      <c r="BC7">
        <v>25.553599999999999</v>
      </c>
      <c r="BD7">
        <v>25.0687</v>
      </c>
      <c r="BE7">
        <v>24.481999999999999</v>
      </c>
      <c r="BF7">
        <v>24.177299999999999</v>
      </c>
      <c r="BG7">
        <v>24.8447</v>
      </c>
      <c r="BH7">
        <v>23.345400000000001</v>
      </c>
      <c r="BI7">
        <v>26.3886</v>
      </c>
      <c r="BJ7">
        <v>25.515000000000001</v>
      </c>
      <c r="BK7">
        <v>25.553999999999998</v>
      </c>
      <c r="BL7">
        <v>24.913499999999999</v>
      </c>
      <c r="BM7">
        <v>24.938700000000001</v>
      </c>
      <c r="BN7">
        <v>25.028099999999998</v>
      </c>
      <c r="BO7">
        <v>25.375399999999999</v>
      </c>
      <c r="BP7">
        <v>25.416899999999998</v>
      </c>
      <c r="BQ7">
        <v>26.0943</v>
      </c>
      <c r="BR7">
        <v>25.671900000000001</v>
      </c>
      <c r="BS7">
        <v>25.744</v>
      </c>
      <c r="BT7">
        <v>25.720400000000001</v>
      </c>
      <c r="BU7">
        <v>25.968299999999999</v>
      </c>
      <c r="BV7">
        <v>25.889600000000002</v>
      </c>
      <c r="BW7">
        <v>25.519100000000002</v>
      </c>
      <c r="BX7">
        <v>23.9925</v>
      </c>
      <c r="BY7">
        <v>23.584199999999999</v>
      </c>
      <c r="BZ7">
        <v>24.024799999999999</v>
      </c>
      <c r="CA7">
        <v>25.127300000000002</v>
      </c>
      <c r="CB7">
        <v>24.930399999999999</v>
      </c>
      <c r="CC7">
        <v>23.238</v>
      </c>
      <c r="CD7">
        <v>23.855799999999999</v>
      </c>
      <c r="CE7">
        <v>24.354700000000001</v>
      </c>
      <c r="CF7">
        <v>23.952200000000001</v>
      </c>
      <c r="CG7">
        <v>23.976900000000001</v>
      </c>
      <c r="CH7">
        <v>24.034199999999998</v>
      </c>
      <c r="CI7">
        <v>24.0702</v>
      </c>
      <c r="CJ7">
        <v>24.113900000000001</v>
      </c>
      <c r="CK7">
        <v>24.095800000000001</v>
      </c>
      <c r="CL7">
        <v>24.027000000000001</v>
      </c>
      <c r="CM7">
        <v>24.306100000000001</v>
      </c>
      <c r="CN7">
        <v>23.946400000000001</v>
      </c>
      <c r="CO7">
        <v>23.9055</v>
      </c>
      <c r="CP7">
        <v>23.861899999999999</v>
      </c>
      <c r="CQ7">
        <v>23.7333</v>
      </c>
      <c r="CR7">
        <v>23.584199999999999</v>
      </c>
      <c r="CS7">
        <v>23.3325</v>
      </c>
      <c r="CT7">
        <v>23.593499999999999</v>
      </c>
      <c r="CU7">
        <v>23.336600000000001</v>
      </c>
      <c r="CV7">
        <v>0</v>
      </c>
      <c r="CW7">
        <v>24.398700000000002</v>
      </c>
      <c r="CX7">
        <v>24.611999999999998</v>
      </c>
      <c r="CY7">
        <v>23.9726</v>
      </c>
      <c r="CZ7">
        <v>23.317</v>
      </c>
      <c r="DA7">
        <v>23.340699999999998</v>
      </c>
      <c r="DB7">
        <v>24.412400000000002</v>
      </c>
      <c r="DC7">
        <v>24.387</v>
      </c>
      <c r="DD7">
        <v>25.0151</v>
      </c>
      <c r="DE7">
        <v>25.406099999999999</v>
      </c>
      <c r="DF7">
        <v>25.460100000000001</v>
      </c>
      <c r="DG7">
        <v>23.680099999999999</v>
      </c>
      <c r="DH7">
        <v>24.012</v>
      </c>
      <c r="DI7">
        <v>25.586200000000002</v>
      </c>
      <c r="DJ7">
        <v>24.920400000000001</v>
      </c>
      <c r="DK7">
        <v>24.054200000000002</v>
      </c>
      <c r="DL7">
        <v>22.323599999999999</v>
      </c>
      <c r="DM7">
        <v>22.257200000000001</v>
      </c>
      <c r="DN7">
        <v>25.408100000000001</v>
      </c>
      <c r="DO7">
        <v>23.201599999999999</v>
      </c>
      <c r="DP7">
        <v>23.917000000000002</v>
      </c>
      <c r="DQ7">
        <v>24.483499999999999</v>
      </c>
      <c r="DR7">
        <v>25.786000000000001</v>
      </c>
      <c r="DS7">
        <v>23.983699999999999</v>
      </c>
      <c r="DT7">
        <v>24.047799999999999</v>
      </c>
      <c r="DU7">
        <v>23.753399999999999</v>
      </c>
      <c r="DV7">
        <v>23.536899999999999</v>
      </c>
      <c r="DW7">
        <v>23.604600000000001</v>
      </c>
      <c r="DX7">
        <v>24.917999999999999</v>
      </c>
      <c r="DY7">
        <v>25.2913</v>
      </c>
      <c r="DZ7">
        <v>23.369299999999999</v>
      </c>
      <c r="EA7">
        <v>23.375399999999999</v>
      </c>
      <c r="EB7">
        <v>23.785799999999998</v>
      </c>
      <c r="EC7">
        <v>22.957699999999999</v>
      </c>
      <c r="ED7">
        <v>21.0593</v>
      </c>
      <c r="EE7">
        <v>23.93</v>
      </c>
      <c r="EF7">
        <v>23.944800000000001</v>
      </c>
      <c r="EG7">
        <v>23.655899999999999</v>
      </c>
      <c r="EH7">
        <v>23.999400000000001</v>
      </c>
      <c r="EI7">
        <v>24.038</v>
      </c>
      <c r="EJ7">
        <v>24.071400000000001</v>
      </c>
      <c r="EK7">
        <v>23.7759</v>
      </c>
      <c r="EL7">
        <v>21.910599999999999</v>
      </c>
      <c r="EM7">
        <v>22.1004</v>
      </c>
      <c r="EN7">
        <v>23.366900000000001</v>
      </c>
      <c r="EO7">
        <v>23.1524</v>
      </c>
      <c r="EP7">
        <v>25.784099999999999</v>
      </c>
      <c r="EQ7">
        <v>23.2225</v>
      </c>
      <c r="ER7">
        <v>23.411999999999999</v>
      </c>
      <c r="ES7">
        <v>23.170200000000001</v>
      </c>
      <c r="ET7">
        <v>25.306100000000001</v>
      </c>
      <c r="EU7">
        <v>25.361599999999999</v>
      </c>
      <c r="EV7">
        <v>24.875399999999999</v>
      </c>
      <c r="EW7">
        <v>25.007200000000001</v>
      </c>
      <c r="EX7">
        <v>24.610299999999999</v>
      </c>
      <c r="EY7">
        <v>23.880099999999999</v>
      </c>
      <c r="EZ7">
        <v>24.392099999999999</v>
      </c>
      <c r="FA7">
        <v>22.873000000000001</v>
      </c>
      <c r="FB7">
        <v>23.521999999999998</v>
      </c>
      <c r="FC7">
        <v>23.392499999999998</v>
      </c>
      <c r="FD7">
        <v>23.7912</v>
      </c>
      <c r="FE7">
        <v>23.855599999999999</v>
      </c>
      <c r="FF7">
        <v>25.327200000000001</v>
      </c>
      <c r="FG7">
        <v>0</v>
      </c>
      <c r="FH7">
        <v>24.909400000000002</v>
      </c>
      <c r="FI7">
        <v>23.4436</v>
      </c>
      <c r="FJ7">
        <v>24.213899999999999</v>
      </c>
      <c r="FK7">
        <v>24.446200000000001</v>
      </c>
      <c r="FL7">
        <v>23.877800000000001</v>
      </c>
      <c r="FM7">
        <v>23.879799999999999</v>
      </c>
      <c r="FN7">
        <v>24.959800000000001</v>
      </c>
      <c r="FO7">
        <v>24.173200000000001</v>
      </c>
      <c r="FP7">
        <v>23.952100000000002</v>
      </c>
      <c r="FQ7">
        <v>22.8752</v>
      </c>
      <c r="FR7">
        <v>21.1038</v>
      </c>
      <c r="FS7">
        <v>24.531099999999999</v>
      </c>
      <c r="FT7">
        <v>21.134599999999999</v>
      </c>
      <c r="FU7">
        <v>22.522500000000001</v>
      </c>
      <c r="FV7">
        <v>23.371099999999998</v>
      </c>
      <c r="FW7">
        <v>23.889299999999999</v>
      </c>
      <c r="FX7">
        <v>25.603300000000001</v>
      </c>
      <c r="FY7">
        <v>25.732299999999999</v>
      </c>
      <c r="FZ7">
        <v>25.2546</v>
      </c>
      <c r="GA7">
        <v>24.040700000000001</v>
      </c>
      <c r="GB7">
        <v>23.2242</v>
      </c>
      <c r="GC7">
        <v>24.843800000000002</v>
      </c>
      <c r="GD7">
        <v>24.791</v>
      </c>
      <c r="GE7">
        <v>25.2361</v>
      </c>
      <c r="GF7">
        <v>21.551500000000001</v>
      </c>
      <c r="GG7">
        <v>25.328800000000001</v>
      </c>
      <c r="GH7">
        <v>22.364799999999999</v>
      </c>
      <c r="GI7">
        <v>22.7485</v>
      </c>
      <c r="GJ7">
        <v>22.629799999999999</v>
      </c>
      <c r="GK7">
        <v>24.747199999999999</v>
      </c>
      <c r="GL7">
        <v>25.479500000000002</v>
      </c>
      <c r="GM7">
        <v>22.425799999999999</v>
      </c>
      <c r="GN7">
        <v>25.965199999999999</v>
      </c>
      <c r="GO7">
        <v>26.127199999999998</v>
      </c>
      <c r="GP7">
        <v>26.134699999999999</v>
      </c>
      <c r="GQ7">
        <v>26.016500000000001</v>
      </c>
      <c r="GR7">
        <v>25.784099999999999</v>
      </c>
      <c r="GS7">
        <v>26.122699999999998</v>
      </c>
      <c r="GT7">
        <v>26.0168</v>
      </c>
      <c r="GU7">
        <v>26.132899999999999</v>
      </c>
      <c r="GV7">
        <v>26.136500000000002</v>
      </c>
      <c r="GW7">
        <v>26.116599999999998</v>
      </c>
      <c r="GX7">
        <v>25.712599999999998</v>
      </c>
      <c r="GY7">
        <v>23.946400000000001</v>
      </c>
      <c r="GZ7">
        <v>23.584</v>
      </c>
      <c r="HA7">
        <v>23.855699999999999</v>
      </c>
      <c r="HB7">
        <v>0</v>
      </c>
      <c r="HC7">
        <v>24.17</v>
      </c>
      <c r="HD7">
        <v>24.007100000000001</v>
      </c>
      <c r="HE7">
        <v>24.17</v>
      </c>
      <c r="HF7">
        <v>23.4541</v>
      </c>
      <c r="HG7">
        <v>23.496400000000001</v>
      </c>
      <c r="HH7">
        <v>23.844200000000001</v>
      </c>
      <c r="HI7">
        <v>24.239699999999999</v>
      </c>
      <c r="HJ7">
        <v>24.427</v>
      </c>
      <c r="HK7">
        <v>25.265599999999999</v>
      </c>
      <c r="HL7">
        <v>23.9087</v>
      </c>
      <c r="HM7">
        <v>24.302900000000001</v>
      </c>
      <c r="HN7">
        <v>24.410900000000002</v>
      </c>
      <c r="HO7">
        <v>24.360199999999999</v>
      </c>
      <c r="HP7">
        <v>24.0349</v>
      </c>
      <c r="HQ7">
        <v>23.696899999999999</v>
      </c>
      <c r="HR7">
        <v>26.042100000000001</v>
      </c>
      <c r="HS7">
        <v>23.663599999999999</v>
      </c>
      <c r="HT7">
        <v>24.034700000000001</v>
      </c>
      <c r="HU7">
        <v>22.633400000000002</v>
      </c>
      <c r="HV7">
        <v>23.1738</v>
      </c>
      <c r="HW7">
        <v>24.9697</v>
      </c>
      <c r="HX7">
        <v>25.014600000000002</v>
      </c>
      <c r="HY7">
        <v>25.4084</v>
      </c>
      <c r="HZ7">
        <v>25.327200000000001</v>
      </c>
      <c r="IA7">
        <v>25.897500000000001</v>
      </c>
      <c r="IB7">
        <v>25.327200000000001</v>
      </c>
      <c r="IC7">
        <v>25.5334</v>
      </c>
      <c r="ID7">
        <v>25.460999999999999</v>
      </c>
    </row>
    <row r="8" spans="1:238" x14ac:dyDescent="0.25">
      <c r="A8">
        <v>7</v>
      </c>
      <c r="B8">
        <v>23.622499999999999</v>
      </c>
      <c r="C8">
        <v>23.794899999999998</v>
      </c>
      <c r="D8">
        <v>23.829799999999999</v>
      </c>
      <c r="E8">
        <v>23.4025</v>
      </c>
      <c r="F8">
        <v>22.701599999999999</v>
      </c>
      <c r="G8">
        <v>22.395800000000001</v>
      </c>
      <c r="H8">
        <v>22.3127</v>
      </c>
      <c r="I8">
        <v>24.1722</v>
      </c>
      <c r="J8">
        <v>23.965399999999999</v>
      </c>
      <c r="K8">
        <v>24.888400000000001</v>
      </c>
      <c r="L8">
        <v>24.364000000000001</v>
      </c>
      <c r="M8">
        <v>24.844899999999999</v>
      </c>
      <c r="N8">
        <v>24.275200000000002</v>
      </c>
      <c r="O8">
        <v>23.308900000000001</v>
      </c>
      <c r="P8">
        <v>23.275099999999998</v>
      </c>
      <c r="Q8">
        <v>23.122199999999999</v>
      </c>
      <c r="R8">
        <v>24.272300000000001</v>
      </c>
      <c r="S8">
        <v>24.218</v>
      </c>
      <c r="T8">
        <v>24.427900000000001</v>
      </c>
      <c r="U8">
        <v>24.041899999999998</v>
      </c>
      <c r="V8">
        <v>22.966200000000001</v>
      </c>
      <c r="W8">
        <v>22.5273</v>
      </c>
      <c r="X8">
        <v>22.719899999999999</v>
      </c>
      <c r="Y8">
        <v>23.197299999999998</v>
      </c>
      <c r="Z8">
        <v>22.341899999999999</v>
      </c>
      <c r="AA8">
        <v>22.5929</v>
      </c>
      <c r="AB8">
        <v>22.641500000000001</v>
      </c>
      <c r="AC8">
        <v>23.352699999999999</v>
      </c>
      <c r="AD8">
        <v>25.070599999999999</v>
      </c>
      <c r="AE8">
        <v>23.7759</v>
      </c>
      <c r="AF8">
        <v>23.876000000000001</v>
      </c>
      <c r="AG8">
        <v>23.9572</v>
      </c>
      <c r="AH8">
        <v>25.219100000000001</v>
      </c>
      <c r="AI8">
        <v>23.451799999999999</v>
      </c>
      <c r="AJ8">
        <v>23.472200000000001</v>
      </c>
      <c r="AK8">
        <v>24.616900000000001</v>
      </c>
      <c r="AL8">
        <v>23.909099999999999</v>
      </c>
      <c r="AM8">
        <v>23.228300000000001</v>
      </c>
      <c r="AN8">
        <v>23.875900000000001</v>
      </c>
      <c r="AO8">
        <v>23.659700000000001</v>
      </c>
      <c r="AP8">
        <v>24.393000000000001</v>
      </c>
      <c r="AQ8">
        <v>23.043900000000001</v>
      </c>
      <c r="AR8">
        <v>24.4162</v>
      </c>
      <c r="AS8">
        <v>24.4589</v>
      </c>
      <c r="AT8">
        <v>25.3949</v>
      </c>
      <c r="AU8">
        <v>23.647400000000001</v>
      </c>
      <c r="AV8">
        <v>25.9558</v>
      </c>
      <c r="AW8">
        <v>25.898700000000002</v>
      </c>
      <c r="AX8">
        <v>22.861999999999998</v>
      </c>
      <c r="AY8">
        <v>24.690300000000001</v>
      </c>
      <c r="AZ8">
        <v>24.154</v>
      </c>
      <c r="BA8">
        <v>24.356999999999999</v>
      </c>
      <c r="BB8">
        <v>25.581299999999999</v>
      </c>
      <c r="BC8">
        <v>25.525099999999998</v>
      </c>
      <c r="BD8">
        <v>25.041699999999999</v>
      </c>
      <c r="BE8">
        <v>24.4544</v>
      </c>
      <c r="BF8">
        <v>24.168299999999999</v>
      </c>
      <c r="BG8">
        <v>24.8125</v>
      </c>
      <c r="BH8">
        <v>23.316299999999998</v>
      </c>
      <c r="BI8">
        <v>26.366199999999999</v>
      </c>
      <c r="BJ8">
        <v>25.476199999999999</v>
      </c>
      <c r="BK8">
        <v>25.512799999999999</v>
      </c>
      <c r="BL8">
        <v>24.880700000000001</v>
      </c>
      <c r="BM8">
        <v>24.906099999999999</v>
      </c>
      <c r="BN8">
        <v>25.014600000000002</v>
      </c>
      <c r="BO8">
        <v>25.343699999999998</v>
      </c>
      <c r="BP8">
        <v>25.386299999999999</v>
      </c>
      <c r="BQ8">
        <v>26.048400000000001</v>
      </c>
      <c r="BR8">
        <v>25.629899999999999</v>
      </c>
      <c r="BS8">
        <v>25.7012</v>
      </c>
      <c r="BT8">
        <v>25.692699999999999</v>
      </c>
      <c r="BU8">
        <v>25.920400000000001</v>
      </c>
      <c r="BV8">
        <v>25.8672</v>
      </c>
      <c r="BW8">
        <v>25.4803</v>
      </c>
      <c r="BX8">
        <v>23.9635</v>
      </c>
      <c r="BY8">
        <v>23.584199999999999</v>
      </c>
      <c r="BZ8">
        <v>24.0184</v>
      </c>
      <c r="CA8">
        <v>25.086600000000001</v>
      </c>
      <c r="CB8">
        <v>24.8918</v>
      </c>
      <c r="CC8">
        <v>23.209499999999998</v>
      </c>
      <c r="CD8">
        <v>23.735900000000001</v>
      </c>
      <c r="CE8">
        <v>24.3413</v>
      </c>
      <c r="CF8">
        <v>23.914999999999999</v>
      </c>
      <c r="CG8">
        <v>23.939699999999998</v>
      </c>
      <c r="CH8">
        <v>23.994499999999999</v>
      </c>
      <c r="CI8">
        <v>24.03</v>
      </c>
      <c r="CJ8">
        <v>24.076899999999998</v>
      </c>
      <c r="CK8">
        <v>24.057400000000001</v>
      </c>
      <c r="CL8">
        <v>23.988199999999999</v>
      </c>
      <c r="CM8">
        <v>24.271699999999999</v>
      </c>
      <c r="CN8">
        <v>23.9224</v>
      </c>
      <c r="CO8">
        <v>23.876300000000001</v>
      </c>
      <c r="CP8">
        <v>23.834800000000001</v>
      </c>
      <c r="CQ8">
        <v>23.718</v>
      </c>
      <c r="CR8">
        <v>23.584199999999999</v>
      </c>
      <c r="CS8">
        <v>23.302900000000001</v>
      </c>
      <c r="CT8">
        <v>23.560700000000001</v>
      </c>
      <c r="CU8">
        <v>23.310600000000001</v>
      </c>
      <c r="CV8">
        <v>0</v>
      </c>
      <c r="CW8">
        <v>24.361000000000001</v>
      </c>
      <c r="CX8">
        <v>24.573399999999999</v>
      </c>
      <c r="CY8">
        <v>23.940799999999999</v>
      </c>
      <c r="CZ8">
        <v>23.295200000000001</v>
      </c>
      <c r="DA8">
        <v>23.303999999999998</v>
      </c>
      <c r="DB8">
        <v>24.383700000000001</v>
      </c>
      <c r="DC8">
        <v>24.359400000000001</v>
      </c>
      <c r="DD8">
        <v>24.9831</v>
      </c>
      <c r="DE8">
        <v>25.369900000000001</v>
      </c>
      <c r="DF8">
        <v>25.4224</v>
      </c>
      <c r="DG8">
        <v>23.652699999999999</v>
      </c>
      <c r="DH8">
        <v>23.987100000000002</v>
      </c>
      <c r="DI8">
        <v>25.557200000000002</v>
      </c>
      <c r="DJ8">
        <v>24.881399999999999</v>
      </c>
      <c r="DK8">
        <v>24.028400000000001</v>
      </c>
      <c r="DL8">
        <v>22.3124</v>
      </c>
      <c r="DM8">
        <v>22.2836</v>
      </c>
      <c r="DN8">
        <v>25.335599999999999</v>
      </c>
      <c r="DO8">
        <v>23.165099999999999</v>
      </c>
      <c r="DP8">
        <v>23.874400000000001</v>
      </c>
      <c r="DQ8">
        <v>24.456199999999999</v>
      </c>
      <c r="DR8">
        <v>25.744199999999999</v>
      </c>
      <c r="DS8">
        <v>23.952999999999999</v>
      </c>
      <c r="DT8">
        <v>24.017099999999999</v>
      </c>
      <c r="DU8">
        <v>23.7441</v>
      </c>
      <c r="DV8">
        <v>23.506799999999998</v>
      </c>
      <c r="DW8">
        <v>23.575099999999999</v>
      </c>
      <c r="DX8">
        <v>24.881799999999998</v>
      </c>
      <c r="DY8">
        <v>25.257300000000001</v>
      </c>
      <c r="DZ8">
        <v>23.340199999999999</v>
      </c>
      <c r="EA8">
        <v>23.346299999999999</v>
      </c>
      <c r="EB8">
        <v>23.782</v>
      </c>
      <c r="EC8">
        <v>22.934000000000001</v>
      </c>
      <c r="ED8">
        <v>21.037400000000002</v>
      </c>
      <c r="EE8">
        <v>23.896799999999999</v>
      </c>
      <c r="EF8">
        <v>23.911200000000001</v>
      </c>
      <c r="EG8">
        <v>23.6252</v>
      </c>
      <c r="EH8">
        <v>23.963000000000001</v>
      </c>
      <c r="EI8">
        <v>24.004899999999999</v>
      </c>
      <c r="EJ8">
        <v>24.035699999999999</v>
      </c>
      <c r="EK8">
        <v>23.743400000000001</v>
      </c>
      <c r="EL8">
        <v>21.887599999999999</v>
      </c>
      <c r="EM8">
        <v>22.078199999999999</v>
      </c>
      <c r="EN8">
        <v>23.340299999999999</v>
      </c>
      <c r="EO8">
        <v>23.124199999999998</v>
      </c>
      <c r="EP8">
        <v>25.743600000000001</v>
      </c>
      <c r="EQ8">
        <v>23.186599999999999</v>
      </c>
      <c r="ER8">
        <v>23.386800000000001</v>
      </c>
      <c r="ES8">
        <v>23.1464</v>
      </c>
      <c r="ET8">
        <v>25.272600000000001</v>
      </c>
      <c r="EU8">
        <v>25.329699999999999</v>
      </c>
      <c r="EV8">
        <v>24.8354</v>
      </c>
      <c r="EW8">
        <v>24.965399999999999</v>
      </c>
      <c r="EX8">
        <v>24.5731</v>
      </c>
      <c r="EY8">
        <v>23.851700000000001</v>
      </c>
      <c r="EZ8">
        <v>24.3596</v>
      </c>
      <c r="FA8">
        <v>22.857500000000002</v>
      </c>
      <c r="FB8">
        <v>23.5078</v>
      </c>
      <c r="FC8">
        <v>23.377099999999999</v>
      </c>
      <c r="FD8">
        <v>23.763999999999999</v>
      </c>
      <c r="FE8">
        <v>23.812100000000001</v>
      </c>
      <c r="FF8">
        <v>25.293099999999999</v>
      </c>
      <c r="FG8">
        <v>0</v>
      </c>
      <c r="FH8">
        <v>24.8796</v>
      </c>
      <c r="FI8">
        <v>23.407299999999999</v>
      </c>
      <c r="FJ8">
        <v>24.183199999999999</v>
      </c>
      <c r="FK8">
        <v>24.415900000000001</v>
      </c>
      <c r="FL8">
        <v>23.834700000000002</v>
      </c>
      <c r="FM8">
        <v>23.8384</v>
      </c>
      <c r="FN8">
        <v>24.9239</v>
      </c>
      <c r="FO8">
        <v>24.145700000000001</v>
      </c>
      <c r="FP8">
        <v>23.928000000000001</v>
      </c>
      <c r="FQ8">
        <v>22.826499999999999</v>
      </c>
      <c r="FR8">
        <v>21.061800000000002</v>
      </c>
      <c r="FS8">
        <v>24.502199999999998</v>
      </c>
      <c r="FT8">
        <v>21.092400000000001</v>
      </c>
      <c r="FU8">
        <v>22.468599999999999</v>
      </c>
      <c r="FV8">
        <v>23.343</v>
      </c>
      <c r="FW8">
        <v>23.8446</v>
      </c>
      <c r="FX8">
        <v>25.549199999999999</v>
      </c>
      <c r="FY8">
        <v>25.6816</v>
      </c>
      <c r="FZ8">
        <v>25.212399999999999</v>
      </c>
      <c r="GA8">
        <v>24.007300000000001</v>
      </c>
      <c r="GB8">
        <v>23.200500000000002</v>
      </c>
      <c r="GC8">
        <v>24.811399999999999</v>
      </c>
      <c r="GD8">
        <v>24.759</v>
      </c>
      <c r="GE8">
        <v>25.200399999999998</v>
      </c>
      <c r="GF8">
        <v>21.504200000000001</v>
      </c>
      <c r="GG8">
        <v>25.303699999999999</v>
      </c>
      <c r="GH8">
        <v>22.3476</v>
      </c>
      <c r="GI8">
        <v>22.724299999999999</v>
      </c>
      <c r="GJ8">
        <v>22.5989</v>
      </c>
      <c r="GK8">
        <v>24.6981</v>
      </c>
      <c r="GL8">
        <v>25.4253</v>
      </c>
      <c r="GM8">
        <v>22.401700000000002</v>
      </c>
      <c r="GN8">
        <v>25.898399999999999</v>
      </c>
      <c r="GO8">
        <v>26.0808</v>
      </c>
      <c r="GP8">
        <v>26.088699999999999</v>
      </c>
      <c r="GQ8">
        <v>25.9772</v>
      </c>
      <c r="GR8">
        <v>25.743600000000001</v>
      </c>
      <c r="GS8">
        <v>26.0763</v>
      </c>
      <c r="GT8">
        <v>25.972000000000001</v>
      </c>
      <c r="GU8">
        <v>26.0869</v>
      </c>
      <c r="GV8">
        <v>26.090399999999999</v>
      </c>
      <c r="GW8">
        <v>26.0671</v>
      </c>
      <c r="GX8">
        <v>25.67</v>
      </c>
      <c r="GY8">
        <v>23.9224</v>
      </c>
      <c r="GZ8">
        <v>23.584</v>
      </c>
      <c r="HA8">
        <v>23.8123</v>
      </c>
      <c r="HB8">
        <v>0</v>
      </c>
      <c r="HC8">
        <v>24.1496</v>
      </c>
      <c r="HD8">
        <v>23.9682</v>
      </c>
      <c r="HE8">
        <v>24.1495</v>
      </c>
      <c r="HF8">
        <v>23.427800000000001</v>
      </c>
      <c r="HG8">
        <v>23.470199999999998</v>
      </c>
      <c r="HH8">
        <v>23.8217</v>
      </c>
      <c r="HI8">
        <v>24.229299999999999</v>
      </c>
      <c r="HJ8">
        <v>24.400500000000001</v>
      </c>
      <c r="HK8">
        <v>25.224799999999998</v>
      </c>
      <c r="HL8">
        <v>23.875800000000002</v>
      </c>
      <c r="HM8">
        <v>24.2685</v>
      </c>
      <c r="HN8">
        <v>24.382300000000001</v>
      </c>
      <c r="HO8">
        <v>24.328700000000001</v>
      </c>
      <c r="HP8">
        <v>24.014299999999999</v>
      </c>
      <c r="HQ8">
        <v>23.667200000000001</v>
      </c>
      <c r="HR8">
        <v>26.019600000000001</v>
      </c>
      <c r="HS8">
        <v>23.647400000000001</v>
      </c>
      <c r="HT8">
        <v>24.014199999999999</v>
      </c>
      <c r="HU8">
        <v>22.608599999999999</v>
      </c>
      <c r="HV8">
        <v>23.145099999999999</v>
      </c>
      <c r="HW8">
        <v>24.930299999999999</v>
      </c>
      <c r="HX8">
        <v>24.974799999999998</v>
      </c>
      <c r="HY8">
        <v>25.3658</v>
      </c>
      <c r="HZ8">
        <v>25.293099999999999</v>
      </c>
      <c r="IA8">
        <v>25.828800000000001</v>
      </c>
      <c r="IB8">
        <v>25.293099999999999</v>
      </c>
      <c r="IC8">
        <v>25.4999</v>
      </c>
      <c r="ID8">
        <v>25.429200000000002</v>
      </c>
    </row>
    <row r="9" spans="1:238" x14ac:dyDescent="0.25">
      <c r="A9">
        <v>8</v>
      </c>
      <c r="B9">
        <v>23.658799999999999</v>
      </c>
      <c r="C9">
        <v>23.801500000000001</v>
      </c>
      <c r="D9">
        <v>23.835699999999999</v>
      </c>
      <c r="E9">
        <v>23.419899999999998</v>
      </c>
      <c r="F9">
        <v>22.720400000000001</v>
      </c>
      <c r="G9">
        <v>22.420999999999999</v>
      </c>
      <c r="H9">
        <v>22.337599999999998</v>
      </c>
      <c r="I9">
        <v>24.221599999999999</v>
      </c>
      <c r="J9">
        <v>23.984100000000002</v>
      </c>
      <c r="K9">
        <v>24.943200000000001</v>
      </c>
      <c r="L9">
        <v>24.4053</v>
      </c>
      <c r="M9">
        <v>24.897400000000001</v>
      </c>
      <c r="N9">
        <v>24.291399999999999</v>
      </c>
      <c r="O9">
        <v>23.336200000000002</v>
      </c>
      <c r="P9">
        <v>23.3</v>
      </c>
      <c r="Q9">
        <v>23.1464</v>
      </c>
      <c r="R9">
        <v>24.300599999999999</v>
      </c>
      <c r="S9">
        <v>24.241900000000001</v>
      </c>
      <c r="T9">
        <v>24.453399999999998</v>
      </c>
      <c r="U9">
        <v>24.056799999999999</v>
      </c>
      <c r="V9">
        <v>22.986499999999999</v>
      </c>
      <c r="W9">
        <v>22.5456</v>
      </c>
      <c r="X9">
        <v>22.738099999999999</v>
      </c>
      <c r="Y9">
        <v>23.2165</v>
      </c>
      <c r="Z9">
        <v>22.3687</v>
      </c>
      <c r="AA9">
        <v>22.619800000000001</v>
      </c>
      <c r="AB9">
        <v>22.668600000000001</v>
      </c>
      <c r="AC9">
        <v>23.3825</v>
      </c>
      <c r="AD9">
        <v>25.125699999999998</v>
      </c>
      <c r="AE9">
        <v>23.782499999999999</v>
      </c>
      <c r="AF9">
        <v>23.888400000000001</v>
      </c>
      <c r="AG9">
        <v>23.968299999999999</v>
      </c>
      <c r="AH9">
        <v>25.276700000000002</v>
      </c>
      <c r="AI9">
        <v>23.487200000000001</v>
      </c>
      <c r="AJ9">
        <v>23.5078</v>
      </c>
      <c r="AK9">
        <v>24.6616</v>
      </c>
      <c r="AL9">
        <v>23.928000000000001</v>
      </c>
      <c r="AM9">
        <v>23.262899999999998</v>
      </c>
      <c r="AN9">
        <v>23.895</v>
      </c>
      <c r="AO9">
        <v>23.696100000000001</v>
      </c>
      <c r="AP9">
        <v>24.432300000000001</v>
      </c>
      <c r="AQ9">
        <v>23.084399999999999</v>
      </c>
      <c r="AR9">
        <v>24.460699999999999</v>
      </c>
      <c r="AS9">
        <v>24.4985</v>
      </c>
      <c r="AT9">
        <v>25.453700000000001</v>
      </c>
      <c r="AU9">
        <v>23.711600000000001</v>
      </c>
      <c r="AV9">
        <v>26.018000000000001</v>
      </c>
      <c r="AW9">
        <v>25.960100000000001</v>
      </c>
      <c r="AX9">
        <v>22.884799999999998</v>
      </c>
      <c r="AY9">
        <v>24.7545</v>
      </c>
      <c r="AZ9">
        <v>24.217500000000001</v>
      </c>
      <c r="BA9">
        <v>24.4282</v>
      </c>
      <c r="BB9">
        <v>25.627199999999998</v>
      </c>
      <c r="BC9">
        <v>25.5764</v>
      </c>
      <c r="BD9">
        <v>25.110900000000001</v>
      </c>
      <c r="BE9">
        <v>24.526599999999998</v>
      </c>
      <c r="BF9">
        <v>24.184799999999999</v>
      </c>
      <c r="BG9">
        <v>24.8751</v>
      </c>
      <c r="BH9">
        <v>23.372199999999999</v>
      </c>
      <c r="BI9">
        <v>26.438400000000001</v>
      </c>
      <c r="BJ9">
        <v>25.5276</v>
      </c>
      <c r="BK9">
        <v>25.565200000000001</v>
      </c>
      <c r="BL9">
        <v>24.940799999999999</v>
      </c>
      <c r="BM9">
        <v>24.9664</v>
      </c>
      <c r="BN9">
        <v>25.052700000000002</v>
      </c>
      <c r="BO9">
        <v>25.392099999999999</v>
      </c>
      <c r="BP9">
        <v>25.434799999999999</v>
      </c>
      <c r="BQ9">
        <v>26.107399999999998</v>
      </c>
      <c r="BR9">
        <v>25.6875</v>
      </c>
      <c r="BS9">
        <v>25.762</v>
      </c>
      <c r="BT9">
        <v>25.755600000000001</v>
      </c>
      <c r="BU9">
        <v>25.992799999999999</v>
      </c>
      <c r="BV9">
        <v>25.9282</v>
      </c>
      <c r="BW9">
        <v>25.531700000000001</v>
      </c>
      <c r="BX9">
        <v>24.013999999999999</v>
      </c>
      <c r="BY9">
        <v>23.584199999999999</v>
      </c>
      <c r="BZ9">
        <v>24.032399999999999</v>
      </c>
      <c r="CA9">
        <v>25.142099999999999</v>
      </c>
      <c r="CB9">
        <v>24.9438</v>
      </c>
      <c r="CC9">
        <v>23.2437</v>
      </c>
      <c r="CD9">
        <v>23.752199999999998</v>
      </c>
      <c r="CE9">
        <v>24.366399999999999</v>
      </c>
      <c r="CF9">
        <v>23.933900000000001</v>
      </c>
      <c r="CG9">
        <v>23.958300000000001</v>
      </c>
      <c r="CH9">
        <v>24.013100000000001</v>
      </c>
      <c r="CI9">
        <v>24.0486</v>
      </c>
      <c r="CJ9">
        <v>24.0961</v>
      </c>
      <c r="CK9">
        <v>24.076699999999999</v>
      </c>
      <c r="CL9">
        <v>24.006799999999998</v>
      </c>
      <c r="CM9">
        <v>24.319900000000001</v>
      </c>
      <c r="CN9">
        <v>23.938099999999999</v>
      </c>
      <c r="CO9">
        <v>23.8949</v>
      </c>
      <c r="CP9">
        <v>23.851099999999999</v>
      </c>
      <c r="CQ9">
        <v>23.7272</v>
      </c>
      <c r="CR9">
        <v>23.584299999999999</v>
      </c>
      <c r="CS9">
        <v>23.341899999999999</v>
      </c>
      <c r="CT9">
        <v>23.602599999999999</v>
      </c>
      <c r="CU9">
        <v>23.338799999999999</v>
      </c>
      <c r="CV9">
        <v>0</v>
      </c>
      <c r="CW9">
        <v>24.400300000000001</v>
      </c>
      <c r="CX9">
        <v>24.6175</v>
      </c>
      <c r="CY9">
        <v>23.9602</v>
      </c>
      <c r="CZ9">
        <v>23.314</v>
      </c>
      <c r="DA9">
        <v>23.338999999999999</v>
      </c>
      <c r="DB9">
        <v>24.411200000000001</v>
      </c>
      <c r="DC9">
        <v>24.386700000000001</v>
      </c>
      <c r="DD9">
        <v>25.023</v>
      </c>
      <c r="DE9">
        <v>25.419</v>
      </c>
      <c r="DF9">
        <v>25.4726</v>
      </c>
      <c r="DG9">
        <v>23.672999999999998</v>
      </c>
      <c r="DH9">
        <v>24.003299999999999</v>
      </c>
      <c r="DI9">
        <v>25.62</v>
      </c>
      <c r="DJ9">
        <v>24.9328</v>
      </c>
      <c r="DK9">
        <v>24.045000000000002</v>
      </c>
      <c r="DL9">
        <v>22.337900000000001</v>
      </c>
      <c r="DM9">
        <v>22.308</v>
      </c>
      <c r="DN9">
        <v>25.361000000000001</v>
      </c>
      <c r="DO9">
        <v>23.199100000000001</v>
      </c>
      <c r="DP9">
        <v>23.8916</v>
      </c>
      <c r="DQ9">
        <v>24.528300000000002</v>
      </c>
      <c r="DR9">
        <v>25.8002</v>
      </c>
      <c r="DS9">
        <v>23.9727</v>
      </c>
      <c r="DT9">
        <v>24.038900000000002</v>
      </c>
      <c r="DU9">
        <v>23.748699999999999</v>
      </c>
      <c r="DV9">
        <v>23.5671</v>
      </c>
      <c r="DW9">
        <v>23.6007</v>
      </c>
      <c r="DX9">
        <v>24.936199999999999</v>
      </c>
      <c r="DY9">
        <v>25.303100000000001</v>
      </c>
      <c r="DZ9">
        <v>23.396100000000001</v>
      </c>
      <c r="EA9">
        <v>23.402200000000001</v>
      </c>
      <c r="EB9">
        <v>23.786999999999999</v>
      </c>
      <c r="EC9">
        <v>22.955400000000001</v>
      </c>
      <c r="ED9">
        <v>21.0627</v>
      </c>
      <c r="EE9">
        <v>23.941099999999999</v>
      </c>
      <c r="EF9">
        <v>23.9238</v>
      </c>
      <c r="EG9">
        <v>23.658799999999999</v>
      </c>
      <c r="EH9">
        <v>23.9819</v>
      </c>
      <c r="EI9">
        <v>24.025099999999998</v>
      </c>
      <c r="EJ9">
        <v>24.0564</v>
      </c>
      <c r="EK9">
        <v>23.812100000000001</v>
      </c>
      <c r="EL9">
        <v>21.911999999999999</v>
      </c>
      <c r="EM9">
        <v>22.103000000000002</v>
      </c>
      <c r="EN9">
        <v>23.358799999999999</v>
      </c>
      <c r="EO9">
        <v>23.142499999999998</v>
      </c>
      <c r="EP9">
        <v>25.799199999999999</v>
      </c>
      <c r="EQ9">
        <v>23.203900000000001</v>
      </c>
      <c r="ER9">
        <v>23.407599999999999</v>
      </c>
      <c r="ES9">
        <v>23.167899999999999</v>
      </c>
      <c r="ET9">
        <v>25.3201</v>
      </c>
      <c r="EU9">
        <v>25.377700000000001</v>
      </c>
      <c r="EV9">
        <v>24.893999999999998</v>
      </c>
      <c r="EW9">
        <v>25.026499999999999</v>
      </c>
      <c r="EX9">
        <v>24.626999999999999</v>
      </c>
      <c r="EY9">
        <v>23.8627</v>
      </c>
      <c r="EZ9">
        <v>24.388400000000001</v>
      </c>
      <c r="FA9">
        <v>22.860099999999999</v>
      </c>
      <c r="FB9">
        <v>23.552399999999999</v>
      </c>
      <c r="FC9">
        <v>23.4085</v>
      </c>
      <c r="FD9">
        <v>23.779</v>
      </c>
      <c r="FE9">
        <v>23.828499999999998</v>
      </c>
      <c r="FF9">
        <v>25.338899999999999</v>
      </c>
      <c r="FG9">
        <v>0</v>
      </c>
      <c r="FH9">
        <v>24.903400000000001</v>
      </c>
      <c r="FI9">
        <v>23.424800000000001</v>
      </c>
      <c r="FJ9">
        <v>24.246400000000001</v>
      </c>
      <c r="FK9">
        <v>24.478000000000002</v>
      </c>
      <c r="FL9">
        <v>23.851199999999999</v>
      </c>
      <c r="FM9">
        <v>23.853300000000001</v>
      </c>
      <c r="FN9">
        <v>24.9785</v>
      </c>
      <c r="FO9">
        <v>24.1678</v>
      </c>
      <c r="FP9">
        <v>23.9438</v>
      </c>
      <c r="FQ9">
        <v>22.890599999999999</v>
      </c>
      <c r="FR9">
        <v>21.121400000000001</v>
      </c>
      <c r="FS9">
        <v>24.5273</v>
      </c>
      <c r="FT9">
        <v>21.152100000000001</v>
      </c>
      <c r="FU9">
        <v>22.5397</v>
      </c>
      <c r="FV9">
        <v>23.3719</v>
      </c>
      <c r="FW9">
        <v>23.881799999999998</v>
      </c>
      <c r="FX9">
        <v>25.624199999999998</v>
      </c>
      <c r="FY9">
        <v>25.754200000000001</v>
      </c>
      <c r="FZ9">
        <v>25.270199999999999</v>
      </c>
      <c r="GA9">
        <v>24.052499999999998</v>
      </c>
      <c r="GB9">
        <v>23.2241</v>
      </c>
      <c r="GC9">
        <v>24.872900000000001</v>
      </c>
      <c r="GD9">
        <v>24.8202</v>
      </c>
      <c r="GE9">
        <v>25.2562</v>
      </c>
      <c r="GF9">
        <v>21.569199999999999</v>
      </c>
      <c r="GG9">
        <v>25.349699999999999</v>
      </c>
      <c r="GH9">
        <v>22.372900000000001</v>
      </c>
      <c r="GI9">
        <v>22.7532</v>
      </c>
      <c r="GJ9">
        <v>22.625800000000002</v>
      </c>
      <c r="GK9">
        <v>24.736699999999999</v>
      </c>
      <c r="GL9">
        <v>25.496200000000002</v>
      </c>
      <c r="GM9">
        <v>22.429200000000002</v>
      </c>
      <c r="GN9">
        <v>25.962900000000001</v>
      </c>
      <c r="GO9">
        <v>26.143999999999998</v>
      </c>
      <c r="GP9">
        <v>26.151800000000001</v>
      </c>
      <c r="GQ9">
        <v>26.037299999999998</v>
      </c>
      <c r="GR9">
        <v>25.799199999999999</v>
      </c>
      <c r="GS9">
        <v>26.139399999999998</v>
      </c>
      <c r="GT9">
        <v>26.03</v>
      </c>
      <c r="GU9">
        <v>26.1464</v>
      </c>
      <c r="GV9">
        <v>26.153600000000001</v>
      </c>
      <c r="GW9">
        <v>26.1309</v>
      </c>
      <c r="GX9">
        <v>25.7254</v>
      </c>
      <c r="GY9">
        <v>23.938099999999999</v>
      </c>
      <c r="GZ9">
        <v>23.584</v>
      </c>
      <c r="HA9">
        <v>23.828600000000002</v>
      </c>
      <c r="HB9">
        <v>0</v>
      </c>
      <c r="HC9">
        <v>24.182099999999998</v>
      </c>
      <c r="HD9">
        <v>23.986999999999998</v>
      </c>
      <c r="HE9">
        <v>24.182099999999998</v>
      </c>
      <c r="HF9">
        <v>23.446200000000001</v>
      </c>
      <c r="HG9">
        <v>23.488299999999999</v>
      </c>
      <c r="HH9">
        <v>23.8353</v>
      </c>
      <c r="HI9">
        <v>24.249300000000002</v>
      </c>
      <c r="HJ9">
        <v>24.429400000000001</v>
      </c>
      <c r="HK9">
        <v>25.283200000000001</v>
      </c>
      <c r="HL9">
        <v>23.888200000000001</v>
      </c>
      <c r="HM9">
        <v>24.291399999999999</v>
      </c>
      <c r="HN9">
        <v>24.409500000000001</v>
      </c>
      <c r="HO9">
        <v>24.350999999999999</v>
      </c>
      <c r="HP9">
        <v>24.0501</v>
      </c>
      <c r="HQ9">
        <v>23.689299999999999</v>
      </c>
      <c r="HR9">
        <v>26.084099999999999</v>
      </c>
      <c r="HS9">
        <v>23.671900000000001</v>
      </c>
      <c r="HT9">
        <v>24.049900000000001</v>
      </c>
      <c r="HU9">
        <v>22.637599999999999</v>
      </c>
      <c r="HV9">
        <v>23.203900000000001</v>
      </c>
      <c r="HW9">
        <v>24.982700000000001</v>
      </c>
      <c r="HX9">
        <v>25.027999999999999</v>
      </c>
      <c r="HY9">
        <v>25.424399999999999</v>
      </c>
      <c r="HZ9">
        <v>25.338899999999999</v>
      </c>
      <c r="IA9">
        <v>25.896100000000001</v>
      </c>
      <c r="IB9">
        <v>25.338899999999999</v>
      </c>
      <c r="IC9">
        <v>25.548500000000001</v>
      </c>
      <c r="ID9">
        <v>25.477900000000002</v>
      </c>
    </row>
    <row r="10" spans="1:238" x14ac:dyDescent="0.25">
      <c r="A10">
        <v>9</v>
      </c>
      <c r="B10">
        <v>23.6721</v>
      </c>
      <c r="C10">
        <v>23.805199999999999</v>
      </c>
      <c r="D10">
        <v>23.839700000000001</v>
      </c>
      <c r="E10">
        <v>23.4252</v>
      </c>
      <c r="F10">
        <v>22.723800000000001</v>
      </c>
      <c r="G10">
        <v>22.421299999999999</v>
      </c>
      <c r="H10">
        <v>22.338999999999999</v>
      </c>
      <c r="I10">
        <v>24.253399999999999</v>
      </c>
      <c r="J10">
        <v>23.993600000000001</v>
      </c>
      <c r="K10">
        <v>24.973700000000001</v>
      </c>
      <c r="L10">
        <v>24.427</v>
      </c>
      <c r="M10">
        <v>24.926600000000001</v>
      </c>
      <c r="N10">
        <v>24.299499999999998</v>
      </c>
      <c r="O10">
        <v>23.347100000000001</v>
      </c>
      <c r="P10">
        <v>23.307700000000001</v>
      </c>
      <c r="Q10">
        <v>23.153300000000002</v>
      </c>
      <c r="R10">
        <v>24.3093</v>
      </c>
      <c r="S10">
        <v>24.251899999999999</v>
      </c>
      <c r="T10">
        <v>24.457799999999999</v>
      </c>
      <c r="U10">
        <v>24.080200000000001</v>
      </c>
      <c r="V10">
        <v>22.985399999999998</v>
      </c>
      <c r="W10">
        <v>22.514700000000001</v>
      </c>
      <c r="X10">
        <v>22.723600000000001</v>
      </c>
      <c r="Y10">
        <v>23.219000000000001</v>
      </c>
      <c r="Z10">
        <v>22.3704</v>
      </c>
      <c r="AA10">
        <v>22.6249</v>
      </c>
      <c r="AB10">
        <v>22.6737</v>
      </c>
      <c r="AC10">
        <v>23.3947</v>
      </c>
      <c r="AD10">
        <v>25.151299999999999</v>
      </c>
      <c r="AE10">
        <v>23.786000000000001</v>
      </c>
      <c r="AF10">
        <v>23.8948</v>
      </c>
      <c r="AG10">
        <v>23.976400000000002</v>
      </c>
      <c r="AH10">
        <v>25.300899999999999</v>
      </c>
      <c r="AI10">
        <v>23.505600000000001</v>
      </c>
      <c r="AJ10">
        <v>23.522500000000001</v>
      </c>
      <c r="AK10">
        <v>24.6859</v>
      </c>
      <c r="AL10">
        <v>23.9374</v>
      </c>
      <c r="AM10">
        <v>23.273199999999999</v>
      </c>
      <c r="AN10">
        <v>23.903199999999998</v>
      </c>
      <c r="AO10">
        <v>23.709099999999999</v>
      </c>
      <c r="AP10">
        <v>24.439299999999999</v>
      </c>
      <c r="AQ10">
        <v>23.1052</v>
      </c>
      <c r="AR10">
        <v>24.484200000000001</v>
      </c>
      <c r="AS10">
        <v>24.504999999999999</v>
      </c>
      <c r="AT10">
        <v>25.477699999999999</v>
      </c>
      <c r="AU10">
        <v>23.7179</v>
      </c>
      <c r="AV10">
        <v>26.046199999999999</v>
      </c>
      <c r="AW10">
        <v>25.988900000000001</v>
      </c>
      <c r="AX10">
        <v>22.890999999999998</v>
      </c>
      <c r="AY10">
        <v>24.772500000000001</v>
      </c>
      <c r="AZ10">
        <v>24.235600000000002</v>
      </c>
      <c r="BA10">
        <v>24.441099999999999</v>
      </c>
      <c r="BB10">
        <v>25.644400000000001</v>
      </c>
      <c r="BC10">
        <v>25.594100000000001</v>
      </c>
      <c r="BD10">
        <v>25.1343</v>
      </c>
      <c r="BE10">
        <v>24.540500000000002</v>
      </c>
      <c r="BF10">
        <v>24.195</v>
      </c>
      <c r="BG10">
        <v>24.899699999999999</v>
      </c>
      <c r="BH10">
        <v>23.380199999999999</v>
      </c>
      <c r="BI10">
        <v>26.4617</v>
      </c>
      <c r="BJ10">
        <v>25.548100000000002</v>
      </c>
      <c r="BK10">
        <v>25.587900000000001</v>
      </c>
      <c r="BL10">
        <v>24.964200000000002</v>
      </c>
      <c r="BM10">
        <v>24.991</v>
      </c>
      <c r="BN10">
        <v>25.073899999999998</v>
      </c>
      <c r="BO10">
        <v>25.4072</v>
      </c>
      <c r="BP10">
        <v>25.450800000000001</v>
      </c>
      <c r="BQ10">
        <v>26.13</v>
      </c>
      <c r="BR10">
        <v>25.709399999999999</v>
      </c>
      <c r="BS10">
        <v>25.7837</v>
      </c>
      <c r="BT10">
        <v>25.773399999999999</v>
      </c>
      <c r="BU10">
        <v>26.008299999999998</v>
      </c>
      <c r="BV10">
        <v>25.953399999999998</v>
      </c>
      <c r="BW10">
        <v>25.552299999999999</v>
      </c>
      <c r="BX10">
        <v>24.022099999999998</v>
      </c>
      <c r="BY10">
        <v>23.584299999999999</v>
      </c>
      <c r="BZ10">
        <v>24.040700000000001</v>
      </c>
      <c r="CA10">
        <v>25.1678</v>
      </c>
      <c r="CB10">
        <v>24.969899999999999</v>
      </c>
      <c r="CC10">
        <v>23.2563</v>
      </c>
      <c r="CD10">
        <v>23.7591</v>
      </c>
      <c r="CE10">
        <v>24.378399999999999</v>
      </c>
      <c r="CF10">
        <v>23.9434</v>
      </c>
      <c r="CG10">
        <v>23.968299999999999</v>
      </c>
      <c r="CH10">
        <v>24.0228</v>
      </c>
      <c r="CI10">
        <v>24.058499999999999</v>
      </c>
      <c r="CJ10">
        <v>24.106100000000001</v>
      </c>
      <c r="CK10">
        <v>24.086600000000001</v>
      </c>
      <c r="CL10">
        <v>24.0168</v>
      </c>
      <c r="CM10">
        <v>24.3506</v>
      </c>
      <c r="CN10">
        <v>23.943899999999999</v>
      </c>
      <c r="CO10">
        <v>23.9025</v>
      </c>
      <c r="CP10">
        <v>23.857900000000001</v>
      </c>
      <c r="CQ10">
        <v>23.730599999999999</v>
      </c>
      <c r="CR10">
        <v>23.584299999999999</v>
      </c>
      <c r="CS10">
        <v>23.363900000000001</v>
      </c>
      <c r="CT10">
        <v>23.626200000000001</v>
      </c>
      <c r="CU10">
        <v>23.351600000000001</v>
      </c>
      <c r="CV10">
        <v>0</v>
      </c>
      <c r="CW10">
        <v>24.4207</v>
      </c>
      <c r="CX10">
        <v>24.640899999999998</v>
      </c>
      <c r="CY10">
        <v>23.969200000000001</v>
      </c>
      <c r="CZ10">
        <v>23.316700000000001</v>
      </c>
      <c r="DA10">
        <v>23.354700000000001</v>
      </c>
      <c r="DB10">
        <v>24.416799999999999</v>
      </c>
      <c r="DC10">
        <v>24.392800000000001</v>
      </c>
      <c r="DD10">
        <v>25.0352</v>
      </c>
      <c r="DE10">
        <v>25.436900000000001</v>
      </c>
      <c r="DF10">
        <v>25.491900000000001</v>
      </c>
      <c r="DG10">
        <v>23.680399999999999</v>
      </c>
      <c r="DH10">
        <v>24.009599999999999</v>
      </c>
      <c r="DI10">
        <v>25.637699999999999</v>
      </c>
      <c r="DJ10">
        <v>24.958400000000001</v>
      </c>
      <c r="DK10">
        <v>24.051500000000001</v>
      </c>
      <c r="DL10">
        <v>22.346900000000002</v>
      </c>
      <c r="DM10">
        <v>22.239799999999999</v>
      </c>
      <c r="DN10">
        <v>25.3918</v>
      </c>
      <c r="DO10">
        <v>23.209199999999999</v>
      </c>
      <c r="DP10">
        <v>23.899000000000001</v>
      </c>
      <c r="DQ10">
        <v>24.541799999999999</v>
      </c>
      <c r="DR10">
        <v>25.8232</v>
      </c>
      <c r="DS10">
        <v>23.9802</v>
      </c>
      <c r="DT10">
        <v>24.046099999999999</v>
      </c>
      <c r="DU10">
        <v>23.751300000000001</v>
      </c>
      <c r="DV10">
        <v>23.574200000000001</v>
      </c>
      <c r="DW10">
        <v>23.608799999999999</v>
      </c>
      <c r="DX10">
        <v>24.9665</v>
      </c>
      <c r="DY10">
        <v>25.318200000000001</v>
      </c>
      <c r="DZ10">
        <v>23.404</v>
      </c>
      <c r="EA10">
        <v>23.4101</v>
      </c>
      <c r="EB10">
        <v>23.790199999999999</v>
      </c>
      <c r="EC10">
        <v>22.961300000000001</v>
      </c>
      <c r="ED10">
        <v>21.0642</v>
      </c>
      <c r="EE10">
        <v>23.9693</v>
      </c>
      <c r="EF10">
        <v>23.930399999999999</v>
      </c>
      <c r="EG10">
        <v>23.660499999999999</v>
      </c>
      <c r="EH10">
        <v>23.991499999999998</v>
      </c>
      <c r="EI10">
        <v>24.033000000000001</v>
      </c>
      <c r="EJ10">
        <v>24.064599999999999</v>
      </c>
      <c r="EK10">
        <v>23.816500000000001</v>
      </c>
      <c r="EL10">
        <v>21.910499999999999</v>
      </c>
      <c r="EM10">
        <v>22.102599999999999</v>
      </c>
      <c r="EN10">
        <v>23.364000000000001</v>
      </c>
      <c r="EO10">
        <v>23.147600000000001</v>
      </c>
      <c r="EP10">
        <v>25.821200000000001</v>
      </c>
      <c r="EQ10">
        <v>23.209199999999999</v>
      </c>
      <c r="ER10">
        <v>23.413399999999999</v>
      </c>
      <c r="ES10">
        <v>23.1739</v>
      </c>
      <c r="ET10">
        <v>25.335899999999999</v>
      </c>
      <c r="EU10">
        <v>25.392900000000001</v>
      </c>
      <c r="EV10">
        <v>24.934200000000001</v>
      </c>
      <c r="EW10">
        <v>25.069400000000002</v>
      </c>
      <c r="EX10">
        <v>24.6629</v>
      </c>
      <c r="EY10">
        <v>23.868400000000001</v>
      </c>
      <c r="EZ10">
        <v>24.394200000000001</v>
      </c>
      <c r="FA10">
        <v>22.866700000000002</v>
      </c>
      <c r="FB10">
        <v>23.564399999999999</v>
      </c>
      <c r="FC10">
        <v>23.418399999999998</v>
      </c>
      <c r="FD10">
        <v>23.7849</v>
      </c>
      <c r="FE10">
        <v>23.8354</v>
      </c>
      <c r="FF10">
        <v>25.3537</v>
      </c>
      <c r="FG10">
        <v>0</v>
      </c>
      <c r="FH10">
        <v>24.910699999999999</v>
      </c>
      <c r="FI10">
        <v>23.430099999999999</v>
      </c>
      <c r="FJ10">
        <v>24.264600000000002</v>
      </c>
      <c r="FK10">
        <v>24.497399999999999</v>
      </c>
      <c r="FL10">
        <v>23.8581</v>
      </c>
      <c r="FM10">
        <v>23.86</v>
      </c>
      <c r="FN10">
        <v>25.008299999999998</v>
      </c>
      <c r="FO10">
        <v>24.1737</v>
      </c>
      <c r="FP10">
        <v>23.9496</v>
      </c>
      <c r="FQ10">
        <v>22.892900000000001</v>
      </c>
      <c r="FR10">
        <v>21.1313</v>
      </c>
      <c r="FS10">
        <v>24.5322</v>
      </c>
      <c r="FT10">
        <v>21.1616</v>
      </c>
      <c r="FU10">
        <v>22.555800000000001</v>
      </c>
      <c r="FV10">
        <v>23.383400000000002</v>
      </c>
      <c r="FW10">
        <v>23.911300000000001</v>
      </c>
      <c r="FX10">
        <v>25.672899999999998</v>
      </c>
      <c r="FY10">
        <v>25.802299999999999</v>
      </c>
      <c r="FZ10">
        <v>25.294499999999999</v>
      </c>
      <c r="GA10">
        <v>24.081800000000001</v>
      </c>
      <c r="GB10">
        <v>23.231100000000001</v>
      </c>
      <c r="GC10">
        <v>24.896799999999999</v>
      </c>
      <c r="GD10">
        <v>24.8429</v>
      </c>
      <c r="GE10">
        <v>25.2788</v>
      </c>
      <c r="GF10">
        <v>21.581199999999999</v>
      </c>
      <c r="GG10">
        <v>25.368300000000001</v>
      </c>
      <c r="GH10">
        <v>22.373000000000001</v>
      </c>
      <c r="GI10">
        <v>22.755800000000001</v>
      </c>
      <c r="GJ10">
        <v>22.6309</v>
      </c>
      <c r="GK10">
        <v>24.7879</v>
      </c>
      <c r="GL10">
        <v>25.543900000000001</v>
      </c>
      <c r="GM10">
        <v>22.428100000000001</v>
      </c>
      <c r="GN10">
        <v>26.008199999999999</v>
      </c>
      <c r="GO10">
        <v>26.173300000000001</v>
      </c>
      <c r="GP10">
        <v>26.180900000000001</v>
      </c>
      <c r="GQ10">
        <v>26.058800000000002</v>
      </c>
      <c r="GR10">
        <v>25.821200000000001</v>
      </c>
      <c r="GS10">
        <v>26.168600000000001</v>
      </c>
      <c r="GT10">
        <v>26.0518</v>
      </c>
      <c r="GU10">
        <v>26.1691</v>
      </c>
      <c r="GV10">
        <v>26.182700000000001</v>
      </c>
      <c r="GW10">
        <v>26.1629</v>
      </c>
      <c r="GX10">
        <v>25.7498</v>
      </c>
      <c r="GY10">
        <v>23.943899999999999</v>
      </c>
      <c r="GZ10">
        <v>23.584</v>
      </c>
      <c r="HA10">
        <v>23.8355</v>
      </c>
      <c r="HB10">
        <v>0</v>
      </c>
      <c r="HC10">
        <v>24.1876</v>
      </c>
      <c r="HD10">
        <v>23.996500000000001</v>
      </c>
      <c r="HE10">
        <v>24.1876</v>
      </c>
      <c r="HF10">
        <v>23.451699999999999</v>
      </c>
      <c r="HG10">
        <v>23.494</v>
      </c>
      <c r="HH10">
        <v>23.840800000000002</v>
      </c>
      <c r="HI10">
        <v>24.261299999999999</v>
      </c>
      <c r="HJ10">
        <v>24.4361</v>
      </c>
      <c r="HK10">
        <v>25.308800000000002</v>
      </c>
      <c r="HL10">
        <v>23.894600000000001</v>
      </c>
      <c r="HM10">
        <v>24.2941</v>
      </c>
      <c r="HN10">
        <v>24.414899999999999</v>
      </c>
      <c r="HO10">
        <v>24.351600000000001</v>
      </c>
      <c r="HP10">
        <v>24.053699999999999</v>
      </c>
      <c r="HQ10">
        <v>23.698499999999999</v>
      </c>
      <c r="HR10">
        <v>26.108699999999999</v>
      </c>
      <c r="HS10">
        <v>23.680499999999999</v>
      </c>
      <c r="HT10">
        <v>24.0535</v>
      </c>
      <c r="HU10">
        <v>22.642600000000002</v>
      </c>
      <c r="HV10">
        <v>23.2224</v>
      </c>
      <c r="HW10">
        <v>25.008299999999998</v>
      </c>
      <c r="HX10">
        <v>25.0535</v>
      </c>
      <c r="HY10">
        <v>25.448399999999999</v>
      </c>
      <c r="HZ10">
        <v>25.3537</v>
      </c>
      <c r="IA10">
        <v>25.940300000000001</v>
      </c>
      <c r="IB10">
        <v>25.3537</v>
      </c>
      <c r="IC10">
        <v>25.5626</v>
      </c>
      <c r="ID10">
        <v>25.492000000000001</v>
      </c>
    </row>
    <row r="11" spans="1:238" x14ac:dyDescent="0.25">
      <c r="A11">
        <v>10</v>
      </c>
      <c r="B11">
        <v>23.662700000000001</v>
      </c>
      <c r="C11">
        <v>23.8002</v>
      </c>
      <c r="D11">
        <v>23.835599999999999</v>
      </c>
      <c r="E11">
        <v>23.403600000000001</v>
      </c>
      <c r="F11">
        <v>22.696000000000002</v>
      </c>
      <c r="G11">
        <v>22.388000000000002</v>
      </c>
      <c r="H11">
        <v>22.302299999999999</v>
      </c>
      <c r="I11">
        <v>24.240500000000001</v>
      </c>
      <c r="J11">
        <v>23.982500000000002</v>
      </c>
      <c r="K11">
        <v>24.959</v>
      </c>
      <c r="L11">
        <v>24.408799999999999</v>
      </c>
      <c r="M11">
        <v>24.9132</v>
      </c>
      <c r="N11">
        <v>24.2867</v>
      </c>
      <c r="O11">
        <v>23.335899999999999</v>
      </c>
      <c r="P11">
        <v>23.2697</v>
      </c>
      <c r="Q11">
        <v>23.1251</v>
      </c>
      <c r="R11">
        <v>24.2499</v>
      </c>
      <c r="S11">
        <v>24.208100000000002</v>
      </c>
      <c r="T11">
        <v>24.412299999999998</v>
      </c>
      <c r="U11">
        <v>24.072099999999999</v>
      </c>
      <c r="V11">
        <v>22.948499999999999</v>
      </c>
      <c r="W11">
        <v>22.480499999999999</v>
      </c>
      <c r="X11">
        <v>22.684000000000001</v>
      </c>
      <c r="Y11">
        <v>23.183499999999999</v>
      </c>
      <c r="Z11">
        <v>22.338200000000001</v>
      </c>
      <c r="AA11">
        <v>22.5915</v>
      </c>
      <c r="AB11">
        <v>22.6434</v>
      </c>
      <c r="AC11">
        <v>23.381</v>
      </c>
      <c r="AD11">
        <v>25.135100000000001</v>
      </c>
      <c r="AE11">
        <v>23.7807</v>
      </c>
      <c r="AF11">
        <v>23.885400000000001</v>
      </c>
      <c r="AG11">
        <v>23.967400000000001</v>
      </c>
      <c r="AH11">
        <v>25.285399999999999</v>
      </c>
      <c r="AI11">
        <v>23.495200000000001</v>
      </c>
      <c r="AJ11">
        <v>23.5093</v>
      </c>
      <c r="AK11">
        <v>24.668700000000001</v>
      </c>
      <c r="AL11">
        <v>23.927299999999999</v>
      </c>
      <c r="AM11">
        <v>23.2483</v>
      </c>
      <c r="AN11">
        <v>23.8935</v>
      </c>
      <c r="AO11">
        <v>23.700500000000002</v>
      </c>
      <c r="AP11">
        <v>24.446899999999999</v>
      </c>
      <c r="AQ11">
        <v>23.082899999999999</v>
      </c>
      <c r="AR11">
        <v>24.464600000000001</v>
      </c>
      <c r="AS11">
        <v>24.513999999999999</v>
      </c>
      <c r="AT11">
        <v>25.462900000000001</v>
      </c>
      <c r="AU11">
        <v>23.677900000000001</v>
      </c>
      <c r="AV11">
        <v>26.0062</v>
      </c>
      <c r="AW11">
        <v>25.9466</v>
      </c>
      <c r="AX11">
        <v>22.8565</v>
      </c>
      <c r="AY11">
        <v>24.733599999999999</v>
      </c>
      <c r="AZ11">
        <v>24.198799999999999</v>
      </c>
      <c r="BA11">
        <v>24.399000000000001</v>
      </c>
      <c r="BB11">
        <v>25.605899999999998</v>
      </c>
      <c r="BC11">
        <v>25.5593</v>
      </c>
      <c r="BD11">
        <v>25.0928</v>
      </c>
      <c r="BE11">
        <v>24.497399999999999</v>
      </c>
      <c r="BF11">
        <v>24.1631</v>
      </c>
      <c r="BG11">
        <v>24.866099999999999</v>
      </c>
      <c r="BH11">
        <v>23.342199999999998</v>
      </c>
      <c r="BI11">
        <v>26.436599999999999</v>
      </c>
      <c r="BJ11">
        <v>25.5105</v>
      </c>
      <c r="BK11">
        <v>25.549499999999998</v>
      </c>
      <c r="BL11">
        <v>24.929400000000001</v>
      </c>
      <c r="BM11">
        <v>24.956700000000001</v>
      </c>
      <c r="BN11">
        <v>25.0365</v>
      </c>
      <c r="BO11">
        <v>25.369900000000001</v>
      </c>
      <c r="BP11">
        <v>25.414300000000001</v>
      </c>
      <c r="BQ11">
        <v>26.0961</v>
      </c>
      <c r="BR11">
        <v>25.677600000000002</v>
      </c>
      <c r="BS11">
        <v>25.756499999999999</v>
      </c>
      <c r="BT11">
        <v>25.7318</v>
      </c>
      <c r="BU11">
        <v>25.988</v>
      </c>
      <c r="BV11">
        <v>25.924199999999999</v>
      </c>
      <c r="BW11">
        <v>25.514700000000001</v>
      </c>
      <c r="BX11">
        <v>23.984200000000001</v>
      </c>
      <c r="BY11">
        <v>23.584199999999999</v>
      </c>
      <c r="BZ11">
        <v>24.017199999999999</v>
      </c>
      <c r="CA11">
        <v>25.152100000000001</v>
      </c>
      <c r="CB11">
        <v>24.950500000000002</v>
      </c>
      <c r="CC11">
        <v>23.233499999999999</v>
      </c>
      <c r="CD11">
        <v>23.745999999999999</v>
      </c>
      <c r="CE11">
        <v>24.331199999999999</v>
      </c>
      <c r="CF11">
        <v>23.933399999999999</v>
      </c>
      <c r="CG11">
        <v>23.9617</v>
      </c>
      <c r="CH11">
        <v>24.009699999999999</v>
      </c>
      <c r="CI11">
        <v>24.0442</v>
      </c>
      <c r="CJ11">
        <v>24.096299999999999</v>
      </c>
      <c r="CK11">
        <v>24.0764</v>
      </c>
      <c r="CL11">
        <v>24.006</v>
      </c>
      <c r="CM11">
        <v>24.336099999999998</v>
      </c>
      <c r="CN11">
        <v>23.938600000000001</v>
      </c>
      <c r="CO11">
        <v>23.892900000000001</v>
      </c>
      <c r="CP11">
        <v>23.848299999999998</v>
      </c>
      <c r="CQ11">
        <v>23.724</v>
      </c>
      <c r="CR11">
        <v>23.584299999999999</v>
      </c>
      <c r="CS11">
        <v>23.341200000000001</v>
      </c>
      <c r="CT11">
        <v>23.604500000000002</v>
      </c>
      <c r="CU11">
        <v>23.339099999999998</v>
      </c>
      <c r="CV11">
        <v>0</v>
      </c>
      <c r="CW11">
        <v>24.4038</v>
      </c>
      <c r="CX11">
        <v>24.6234</v>
      </c>
      <c r="CY11">
        <v>23.961500000000001</v>
      </c>
      <c r="CZ11">
        <v>23.274899999999999</v>
      </c>
      <c r="DA11">
        <v>23.341699999999999</v>
      </c>
      <c r="DB11">
        <v>24.380099999999999</v>
      </c>
      <c r="DC11">
        <v>24.3583</v>
      </c>
      <c r="DD11">
        <v>24.998699999999999</v>
      </c>
      <c r="DE11">
        <v>25.3994</v>
      </c>
      <c r="DF11">
        <v>25.454499999999999</v>
      </c>
      <c r="DG11">
        <v>23.665299999999998</v>
      </c>
      <c r="DH11">
        <v>24.005299999999998</v>
      </c>
      <c r="DI11">
        <v>25.597200000000001</v>
      </c>
      <c r="DJ11">
        <v>24.94</v>
      </c>
      <c r="DK11">
        <v>24.048300000000001</v>
      </c>
      <c r="DL11">
        <v>22.293800000000001</v>
      </c>
      <c r="DM11">
        <v>22.229700000000001</v>
      </c>
      <c r="DN11">
        <v>25.3779</v>
      </c>
      <c r="DO11">
        <v>23.190799999999999</v>
      </c>
      <c r="DP11">
        <v>23.886199999999999</v>
      </c>
      <c r="DQ11">
        <v>24.497499999999999</v>
      </c>
      <c r="DR11">
        <v>25.7852</v>
      </c>
      <c r="DS11">
        <v>23.971599999999999</v>
      </c>
      <c r="DT11">
        <v>24.038399999999999</v>
      </c>
      <c r="DU11">
        <v>23.747900000000001</v>
      </c>
      <c r="DV11">
        <v>23.5352</v>
      </c>
      <c r="DW11">
        <v>23.598700000000001</v>
      </c>
      <c r="DX11">
        <v>24.952000000000002</v>
      </c>
      <c r="DY11">
        <v>25.2806</v>
      </c>
      <c r="DZ11">
        <v>23.366099999999999</v>
      </c>
      <c r="EA11">
        <v>23.3721</v>
      </c>
      <c r="EB11">
        <v>23.781199999999998</v>
      </c>
      <c r="EC11">
        <v>22.931999999999999</v>
      </c>
      <c r="ED11">
        <v>21.033899999999999</v>
      </c>
      <c r="EE11">
        <v>23.950600000000001</v>
      </c>
      <c r="EF11">
        <v>23.920999999999999</v>
      </c>
      <c r="EG11">
        <v>23.652100000000001</v>
      </c>
      <c r="EH11">
        <v>23.9833</v>
      </c>
      <c r="EI11">
        <v>24.0244</v>
      </c>
      <c r="EJ11">
        <v>24.055800000000001</v>
      </c>
      <c r="EK11">
        <v>23.775500000000001</v>
      </c>
      <c r="EL11">
        <v>21.881900000000002</v>
      </c>
      <c r="EM11">
        <v>22.071400000000001</v>
      </c>
      <c r="EN11">
        <v>23.3416</v>
      </c>
      <c r="EO11">
        <v>23.125499999999999</v>
      </c>
      <c r="EP11">
        <v>25.783100000000001</v>
      </c>
      <c r="EQ11">
        <v>23.188099999999999</v>
      </c>
      <c r="ER11">
        <v>23.3872</v>
      </c>
      <c r="ES11">
        <v>23.144200000000001</v>
      </c>
      <c r="ET11">
        <v>25.2986</v>
      </c>
      <c r="EU11">
        <v>25.355599999999999</v>
      </c>
      <c r="EV11">
        <v>24.930599999999998</v>
      </c>
      <c r="EW11">
        <v>25.067299999999999</v>
      </c>
      <c r="EX11">
        <v>24.654199999999999</v>
      </c>
      <c r="EY11">
        <v>23.86</v>
      </c>
      <c r="EZ11">
        <v>24.400500000000001</v>
      </c>
      <c r="FA11">
        <v>22.794799999999999</v>
      </c>
      <c r="FB11">
        <v>23.555399999999999</v>
      </c>
      <c r="FC11">
        <v>23.3889</v>
      </c>
      <c r="FD11">
        <v>23.7743</v>
      </c>
      <c r="FE11">
        <v>23.822299999999998</v>
      </c>
      <c r="FF11">
        <v>25.315999999999999</v>
      </c>
      <c r="FG11">
        <v>0</v>
      </c>
      <c r="FH11">
        <v>24.861799999999999</v>
      </c>
      <c r="FI11">
        <v>23.408799999999999</v>
      </c>
      <c r="FJ11">
        <v>24.227900000000002</v>
      </c>
      <c r="FK11">
        <v>24.460899999999999</v>
      </c>
      <c r="FL11">
        <v>23.844999999999999</v>
      </c>
      <c r="FM11">
        <v>23.844999999999999</v>
      </c>
      <c r="FN11">
        <v>24.9907</v>
      </c>
      <c r="FO11">
        <v>24.174299999999999</v>
      </c>
      <c r="FP11">
        <v>23.944400000000002</v>
      </c>
      <c r="FQ11">
        <v>22.8565</v>
      </c>
      <c r="FR11">
        <v>21.100100000000001</v>
      </c>
      <c r="FS11">
        <v>24.485600000000002</v>
      </c>
      <c r="FT11">
        <v>21.130299999999998</v>
      </c>
      <c r="FU11">
        <v>22.530999999999999</v>
      </c>
      <c r="FV11">
        <v>23.371200000000002</v>
      </c>
      <c r="FW11">
        <v>23.903300000000002</v>
      </c>
      <c r="FX11">
        <v>25.679500000000001</v>
      </c>
      <c r="FY11">
        <v>25.8123</v>
      </c>
      <c r="FZ11">
        <v>25.2789</v>
      </c>
      <c r="GA11">
        <v>24.064299999999999</v>
      </c>
      <c r="GB11">
        <v>23.204799999999999</v>
      </c>
      <c r="GC11">
        <v>24.862500000000001</v>
      </c>
      <c r="GD11">
        <v>24.808</v>
      </c>
      <c r="GE11">
        <v>25.242699999999999</v>
      </c>
      <c r="GF11">
        <v>21.552199999999999</v>
      </c>
      <c r="GG11">
        <v>25.3325</v>
      </c>
      <c r="GH11">
        <v>22.335699999999999</v>
      </c>
      <c r="GI11">
        <v>22.7193</v>
      </c>
      <c r="GJ11">
        <v>22.5974</v>
      </c>
      <c r="GK11">
        <v>24.784199999999998</v>
      </c>
      <c r="GL11">
        <v>25.549199999999999</v>
      </c>
      <c r="GM11">
        <v>22.394300000000001</v>
      </c>
      <c r="GN11">
        <v>25.963999999999999</v>
      </c>
      <c r="GO11">
        <v>26.132999999999999</v>
      </c>
      <c r="GP11">
        <v>26.140499999999999</v>
      </c>
      <c r="GQ11">
        <v>26.020499999999998</v>
      </c>
      <c r="GR11">
        <v>25.783100000000001</v>
      </c>
      <c r="GS11">
        <v>26.128399999999999</v>
      </c>
      <c r="GT11">
        <v>26.015499999999999</v>
      </c>
      <c r="GU11">
        <v>26.134899999999998</v>
      </c>
      <c r="GV11">
        <v>26.142399999999999</v>
      </c>
      <c r="GW11">
        <v>26.1218</v>
      </c>
      <c r="GX11">
        <v>25.710999999999999</v>
      </c>
      <c r="GY11">
        <v>23.938600000000001</v>
      </c>
      <c r="GZ11">
        <v>23.584</v>
      </c>
      <c r="HA11">
        <v>23.822399999999998</v>
      </c>
      <c r="HB11">
        <v>0</v>
      </c>
      <c r="HC11">
        <v>24.1066</v>
      </c>
      <c r="HD11">
        <v>23.985399999999998</v>
      </c>
      <c r="HE11">
        <v>24.1065</v>
      </c>
      <c r="HF11">
        <v>23.430499999999999</v>
      </c>
      <c r="HG11">
        <v>23.4739</v>
      </c>
      <c r="HH11">
        <v>23.833200000000001</v>
      </c>
      <c r="HI11">
        <v>24.2242</v>
      </c>
      <c r="HJ11">
        <v>24.377300000000002</v>
      </c>
      <c r="HK11">
        <v>25.292899999999999</v>
      </c>
      <c r="HL11">
        <v>23.885200000000001</v>
      </c>
      <c r="HM11">
        <v>24.249400000000001</v>
      </c>
      <c r="HN11">
        <v>24.3779</v>
      </c>
      <c r="HO11">
        <v>24.3005</v>
      </c>
      <c r="HP11">
        <v>23.955500000000001</v>
      </c>
      <c r="HQ11">
        <v>23.688300000000002</v>
      </c>
      <c r="HR11">
        <v>26.0807</v>
      </c>
      <c r="HS11">
        <v>23.6402</v>
      </c>
      <c r="HT11">
        <v>23.955300000000001</v>
      </c>
      <c r="HU11">
        <v>22.613199999999999</v>
      </c>
      <c r="HV11">
        <v>23.187799999999999</v>
      </c>
      <c r="HW11">
        <v>24.990400000000001</v>
      </c>
      <c r="HX11">
        <v>25.036300000000001</v>
      </c>
      <c r="HY11">
        <v>25.433499999999999</v>
      </c>
      <c r="HZ11">
        <v>25.315999999999999</v>
      </c>
      <c r="IA11">
        <v>25.895900000000001</v>
      </c>
      <c r="IB11">
        <v>25.315999999999999</v>
      </c>
      <c r="IC11">
        <v>25.523399999999999</v>
      </c>
      <c r="ID11">
        <v>25.453900000000001</v>
      </c>
    </row>
    <row r="12" spans="1:238" x14ac:dyDescent="0.25">
      <c r="A12">
        <v>11</v>
      </c>
      <c r="B12">
        <v>23.6934</v>
      </c>
      <c r="C12">
        <v>23.811299999999999</v>
      </c>
      <c r="D12">
        <v>23.848199999999999</v>
      </c>
      <c r="E12">
        <v>23.410599999999999</v>
      </c>
      <c r="F12">
        <v>22.6907</v>
      </c>
      <c r="G12">
        <v>22.392099999999999</v>
      </c>
      <c r="H12">
        <v>22.305700000000002</v>
      </c>
      <c r="I12">
        <v>24.297000000000001</v>
      </c>
      <c r="J12">
        <v>24.008199999999999</v>
      </c>
      <c r="K12">
        <v>25.024999999999999</v>
      </c>
      <c r="L12">
        <v>24.450900000000001</v>
      </c>
      <c r="M12">
        <v>24.9758</v>
      </c>
      <c r="N12">
        <v>24.314</v>
      </c>
      <c r="O12">
        <v>23.360600000000002</v>
      </c>
      <c r="P12">
        <v>23.267099999999999</v>
      </c>
      <c r="Q12">
        <v>23.130700000000001</v>
      </c>
      <c r="R12">
        <v>24.223299999999998</v>
      </c>
      <c r="S12">
        <v>24.194800000000001</v>
      </c>
      <c r="T12">
        <v>24.394300000000001</v>
      </c>
      <c r="U12">
        <v>24.096</v>
      </c>
      <c r="V12">
        <v>22.9453</v>
      </c>
      <c r="W12">
        <v>22.473600000000001</v>
      </c>
      <c r="X12">
        <v>22.6768</v>
      </c>
      <c r="Y12">
        <v>23.179500000000001</v>
      </c>
      <c r="Z12">
        <v>22.345099999999999</v>
      </c>
      <c r="AA12">
        <v>22.5976</v>
      </c>
      <c r="AB12">
        <v>22.649799999999999</v>
      </c>
      <c r="AC12">
        <v>23.408200000000001</v>
      </c>
      <c r="AD12">
        <v>25.208600000000001</v>
      </c>
      <c r="AE12">
        <v>23.790600000000001</v>
      </c>
      <c r="AF12">
        <v>23.9009</v>
      </c>
      <c r="AG12">
        <v>23.9819</v>
      </c>
      <c r="AH12">
        <v>25.3596</v>
      </c>
      <c r="AI12">
        <v>23.5242</v>
      </c>
      <c r="AJ12">
        <v>23.537199999999999</v>
      </c>
      <c r="AK12">
        <v>24.717600000000001</v>
      </c>
      <c r="AL12">
        <v>23.952500000000001</v>
      </c>
      <c r="AM12">
        <v>23.268000000000001</v>
      </c>
      <c r="AN12">
        <v>23.9147</v>
      </c>
      <c r="AO12">
        <v>23.732099999999999</v>
      </c>
      <c r="AP12">
        <v>24.4941</v>
      </c>
      <c r="AQ12">
        <v>23.119499999999999</v>
      </c>
      <c r="AR12">
        <v>24.508299999999998</v>
      </c>
      <c r="AS12">
        <v>24.5626</v>
      </c>
      <c r="AT12">
        <v>25.5379</v>
      </c>
      <c r="AU12">
        <v>23.700500000000002</v>
      </c>
      <c r="AV12">
        <v>26.0016</v>
      </c>
      <c r="AW12">
        <v>25.939800000000002</v>
      </c>
      <c r="AX12">
        <v>22.860099999999999</v>
      </c>
      <c r="AY12">
        <v>24.7454</v>
      </c>
      <c r="AZ12">
        <v>24.2104</v>
      </c>
      <c r="BA12">
        <v>24.430399999999999</v>
      </c>
      <c r="BB12">
        <v>25.6129</v>
      </c>
      <c r="BC12">
        <v>25.567599999999999</v>
      </c>
      <c r="BD12">
        <v>25.1188</v>
      </c>
      <c r="BE12">
        <v>24.5306</v>
      </c>
      <c r="BF12">
        <v>24.151299999999999</v>
      </c>
      <c r="BG12">
        <v>24.872299999999999</v>
      </c>
      <c r="BH12">
        <v>23.359000000000002</v>
      </c>
      <c r="BI12">
        <v>26.4404</v>
      </c>
      <c r="BJ12">
        <v>25.512799999999999</v>
      </c>
      <c r="BK12">
        <v>25.550699999999999</v>
      </c>
      <c r="BL12">
        <v>24.933199999999999</v>
      </c>
      <c r="BM12">
        <v>24.959800000000001</v>
      </c>
      <c r="BN12">
        <v>25.052099999999999</v>
      </c>
      <c r="BO12">
        <v>25.3766</v>
      </c>
      <c r="BP12">
        <v>25.422899999999998</v>
      </c>
      <c r="BQ12">
        <v>26.088999999999999</v>
      </c>
      <c r="BR12">
        <v>25.682300000000001</v>
      </c>
      <c r="BS12">
        <v>25.764099999999999</v>
      </c>
      <c r="BT12">
        <v>25.738099999999999</v>
      </c>
      <c r="BU12">
        <v>25.986999999999998</v>
      </c>
      <c r="BV12">
        <v>25.933800000000002</v>
      </c>
      <c r="BW12">
        <v>25.5169</v>
      </c>
      <c r="BX12">
        <v>23.994199999999999</v>
      </c>
      <c r="BY12">
        <v>23.584299999999999</v>
      </c>
      <c r="BZ12">
        <v>24.0153</v>
      </c>
      <c r="CA12">
        <v>25.228300000000001</v>
      </c>
      <c r="CB12">
        <v>25.014099999999999</v>
      </c>
      <c r="CC12">
        <v>23.257100000000001</v>
      </c>
      <c r="CD12">
        <v>23.761600000000001</v>
      </c>
      <c r="CE12">
        <v>24.319299999999998</v>
      </c>
      <c r="CF12">
        <v>23.9588</v>
      </c>
      <c r="CG12">
        <v>23.987100000000002</v>
      </c>
      <c r="CH12">
        <v>24.036300000000001</v>
      </c>
      <c r="CI12">
        <v>24.0718</v>
      </c>
      <c r="CJ12">
        <v>24.126100000000001</v>
      </c>
      <c r="CK12">
        <v>24.105499999999999</v>
      </c>
      <c r="CL12">
        <v>24.032599999999999</v>
      </c>
      <c r="CM12">
        <v>24.3871</v>
      </c>
      <c r="CN12">
        <v>23.956</v>
      </c>
      <c r="CO12">
        <v>23.912500000000001</v>
      </c>
      <c r="CP12">
        <v>23.864599999999999</v>
      </c>
      <c r="CQ12">
        <v>23.731300000000001</v>
      </c>
      <c r="CR12">
        <v>23.584299999999999</v>
      </c>
      <c r="CS12">
        <v>23.3765</v>
      </c>
      <c r="CT12">
        <v>23.642099999999999</v>
      </c>
      <c r="CU12">
        <v>23.367100000000001</v>
      </c>
      <c r="CV12">
        <v>0</v>
      </c>
      <c r="CW12">
        <v>24.444900000000001</v>
      </c>
      <c r="CX12">
        <v>24.672000000000001</v>
      </c>
      <c r="CY12">
        <v>23.9846</v>
      </c>
      <c r="CZ12">
        <v>23.2637</v>
      </c>
      <c r="DA12">
        <v>23.369499999999999</v>
      </c>
      <c r="DB12">
        <v>24.3748</v>
      </c>
      <c r="DC12">
        <v>24.354600000000001</v>
      </c>
      <c r="DD12">
        <v>24.9998</v>
      </c>
      <c r="DE12">
        <v>25.402699999999999</v>
      </c>
      <c r="DF12">
        <v>25.457100000000001</v>
      </c>
      <c r="DG12">
        <v>23.664200000000001</v>
      </c>
      <c r="DH12">
        <v>24.0245</v>
      </c>
      <c r="DI12">
        <v>25.604600000000001</v>
      </c>
      <c r="DJ12">
        <v>25.003399999999999</v>
      </c>
      <c r="DK12">
        <v>24.0685</v>
      </c>
      <c r="DL12">
        <v>22.298400000000001</v>
      </c>
      <c r="DM12">
        <v>22.234000000000002</v>
      </c>
      <c r="DN12">
        <v>25.420200000000001</v>
      </c>
      <c r="DO12">
        <v>23.216100000000001</v>
      </c>
      <c r="DP12">
        <v>23.9038</v>
      </c>
      <c r="DQ12">
        <v>24.528500000000001</v>
      </c>
      <c r="DR12">
        <v>25.784300000000002</v>
      </c>
      <c r="DS12">
        <v>23.994499999999999</v>
      </c>
      <c r="DT12">
        <v>24.065000000000001</v>
      </c>
      <c r="DU12">
        <v>23.754300000000001</v>
      </c>
      <c r="DV12">
        <v>23.5548</v>
      </c>
      <c r="DW12">
        <v>23.6235</v>
      </c>
      <c r="DX12">
        <v>25.017399999999999</v>
      </c>
      <c r="DY12">
        <v>25.283899999999999</v>
      </c>
      <c r="DZ12">
        <v>23.3826</v>
      </c>
      <c r="EA12">
        <v>23.3887</v>
      </c>
      <c r="EB12">
        <v>23.7788</v>
      </c>
      <c r="EC12">
        <v>22.9359</v>
      </c>
      <c r="ED12">
        <v>21.040400000000002</v>
      </c>
      <c r="EE12">
        <v>23.994599999999998</v>
      </c>
      <c r="EF12">
        <v>23.938400000000001</v>
      </c>
      <c r="EG12">
        <v>23.684000000000001</v>
      </c>
      <c r="EH12">
        <v>24.008900000000001</v>
      </c>
      <c r="EI12">
        <v>24.049499999999998</v>
      </c>
      <c r="EJ12">
        <v>24.0822</v>
      </c>
      <c r="EK12">
        <v>23.8004</v>
      </c>
      <c r="EL12">
        <v>21.8857</v>
      </c>
      <c r="EM12">
        <v>22.075299999999999</v>
      </c>
      <c r="EN12">
        <v>23.3475</v>
      </c>
      <c r="EO12">
        <v>23.1313</v>
      </c>
      <c r="EP12">
        <v>25.782299999999999</v>
      </c>
      <c r="EQ12">
        <v>23.1953</v>
      </c>
      <c r="ER12">
        <v>23.391400000000001</v>
      </c>
      <c r="ES12">
        <v>23.148199999999999</v>
      </c>
      <c r="ET12">
        <v>25.303100000000001</v>
      </c>
      <c r="EU12">
        <v>25.361899999999999</v>
      </c>
      <c r="EV12">
        <v>24.9955</v>
      </c>
      <c r="EW12">
        <v>25.1358</v>
      </c>
      <c r="EX12">
        <v>24.7134</v>
      </c>
      <c r="EY12">
        <v>23.874099999999999</v>
      </c>
      <c r="EZ12">
        <v>24.4377</v>
      </c>
      <c r="FA12">
        <v>22.8338</v>
      </c>
      <c r="FB12">
        <v>23.540199999999999</v>
      </c>
      <c r="FC12">
        <v>23.3858</v>
      </c>
      <c r="FD12">
        <v>23.787800000000001</v>
      </c>
      <c r="FE12">
        <v>23.838000000000001</v>
      </c>
      <c r="FF12">
        <v>25.319400000000002</v>
      </c>
      <c r="FG12">
        <v>0</v>
      </c>
      <c r="FH12">
        <v>24.847899999999999</v>
      </c>
      <c r="FI12">
        <v>23.4161</v>
      </c>
      <c r="FJ12">
        <v>24.239000000000001</v>
      </c>
      <c r="FK12">
        <v>24.469899999999999</v>
      </c>
      <c r="FL12">
        <v>23.8613</v>
      </c>
      <c r="FM12">
        <v>23.860199999999999</v>
      </c>
      <c r="FN12">
        <v>25.0565</v>
      </c>
      <c r="FO12">
        <v>24.2012</v>
      </c>
      <c r="FP12">
        <v>23.9621</v>
      </c>
      <c r="FQ12">
        <v>22.8812</v>
      </c>
      <c r="FR12">
        <v>21.1234</v>
      </c>
      <c r="FS12">
        <v>24.467500000000001</v>
      </c>
      <c r="FT12">
        <v>21.153500000000001</v>
      </c>
      <c r="FU12">
        <v>22.585999999999999</v>
      </c>
      <c r="FV12">
        <v>23.397600000000001</v>
      </c>
      <c r="FW12">
        <v>23.935500000000001</v>
      </c>
      <c r="FX12">
        <v>25.7545</v>
      </c>
      <c r="FY12">
        <v>25.893699999999999</v>
      </c>
      <c r="FZ12">
        <v>25.353100000000001</v>
      </c>
      <c r="GA12">
        <v>24.110299999999999</v>
      </c>
      <c r="GB12">
        <v>23.209399999999999</v>
      </c>
      <c r="GC12">
        <v>24.867599999999999</v>
      </c>
      <c r="GD12">
        <v>24.813600000000001</v>
      </c>
      <c r="GE12">
        <v>25.241299999999999</v>
      </c>
      <c r="GF12">
        <v>21.587599999999998</v>
      </c>
      <c r="GG12">
        <v>25.346399999999999</v>
      </c>
      <c r="GH12">
        <v>22.339400000000001</v>
      </c>
      <c r="GI12">
        <v>22.7239</v>
      </c>
      <c r="GJ12">
        <v>22.6035</v>
      </c>
      <c r="GK12">
        <v>24.821999999999999</v>
      </c>
      <c r="GL12">
        <v>25.618200000000002</v>
      </c>
      <c r="GM12">
        <v>22.400700000000001</v>
      </c>
      <c r="GN12">
        <v>25.966000000000001</v>
      </c>
      <c r="GO12">
        <v>26.1294</v>
      </c>
      <c r="GP12">
        <v>26.136900000000001</v>
      </c>
      <c r="GQ12">
        <v>26.017099999999999</v>
      </c>
      <c r="GR12">
        <v>25.782299999999999</v>
      </c>
      <c r="GS12">
        <v>26.1248</v>
      </c>
      <c r="GT12">
        <v>26.010400000000001</v>
      </c>
      <c r="GU12">
        <v>26.127800000000001</v>
      </c>
      <c r="GV12">
        <v>26.1388</v>
      </c>
      <c r="GW12">
        <v>26.119199999999999</v>
      </c>
      <c r="GX12">
        <v>25.698899999999998</v>
      </c>
      <c r="GY12">
        <v>23.956</v>
      </c>
      <c r="GZ12">
        <v>23.584</v>
      </c>
      <c r="HA12">
        <v>23.838100000000001</v>
      </c>
      <c r="HB12">
        <v>0</v>
      </c>
      <c r="HC12">
        <v>24.0532</v>
      </c>
      <c r="HD12">
        <v>24.011199999999999</v>
      </c>
      <c r="HE12">
        <v>24.0532</v>
      </c>
      <c r="HF12">
        <v>23.4374</v>
      </c>
      <c r="HG12">
        <v>23.4817</v>
      </c>
      <c r="HH12">
        <v>23.846800000000002</v>
      </c>
      <c r="HI12">
        <v>24.212499999999999</v>
      </c>
      <c r="HJ12">
        <v>24.338699999999999</v>
      </c>
      <c r="HK12">
        <v>25.367999999999999</v>
      </c>
      <c r="HL12">
        <v>23.900700000000001</v>
      </c>
      <c r="HM12">
        <v>24.229900000000001</v>
      </c>
      <c r="HN12">
        <v>24.372399999999999</v>
      </c>
      <c r="HO12">
        <v>24.276700000000002</v>
      </c>
      <c r="HP12">
        <v>23.885000000000002</v>
      </c>
      <c r="HQ12">
        <v>23.710799999999999</v>
      </c>
      <c r="HR12">
        <v>26.0886</v>
      </c>
      <c r="HS12">
        <v>23.633500000000002</v>
      </c>
      <c r="HT12">
        <v>23.884799999999998</v>
      </c>
      <c r="HU12">
        <v>22.6252</v>
      </c>
      <c r="HV12">
        <v>23.196300000000001</v>
      </c>
      <c r="HW12">
        <v>25.0564</v>
      </c>
      <c r="HX12">
        <v>25.104600000000001</v>
      </c>
      <c r="HY12">
        <v>25.508400000000002</v>
      </c>
      <c r="HZ12">
        <v>25.319400000000002</v>
      </c>
      <c r="IA12">
        <v>25.898</v>
      </c>
      <c r="IB12">
        <v>25.319400000000002</v>
      </c>
      <c r="IC12">
        <v>25.529900000000001</v>
      </c>
      <c r="ID12">
        <v>25.460699999999999</v>
      </c>
    </row>
    <row r="13" spans="1:238" x14ac:dyDescent="0.25">
      <c r="A13">
        <v>12</v>
      </c>
      <c r="B13">
        <v>23.682300000000001</v>
      </c>
      <c r="C13">
        <v>23.810700000000001</v>
      </c>
      <c r="D13">
        <v>23.850100000000001</v>
      </c>
      <c r="E13">
        <v>23.3842</v>
      </c>
      <c r="F13">
        <v>22.6633</v>
      </c>
      <c r="G13">
        <v>22.359200000000001</v>
      </c>
      <c r="H13">
        <v>22.273599999999998</v>
      </c>
      <c r="I13">
        <v>24.316099999999999</v>
      </c>
      <c r="J13">
        <v>23.989100000000001</v>
      </c>
      <c r="K13">
        <v>25.054400000000001</v>
      </c>
      <c r="L13">
        <v>24.457699999999999</v>
      </c>
      <c r="M13">
        <v>25.003499999999999</v>
      </c>
      <c r="N13">
        <v>24.280100000000001</v>
      </c>
      <c r="O13">
        <v>23.343900000000001</v>
      </c>
      <c r="P13">
        <v>23.235299999999999</v>
      </c>
      <c r="Q13">
        <v>23.1113</v>
      </c>
      <c r="R13">
        <v>24.1767</v>
      </c>
      <c r="S13">
        <v>24.164400000000001</v>
      </c>
      <c r="T13">
        <v>24.321200000000001</v>
      </c>
      <c r="U13">
        <v>24.055499999999999</v>
      </c>
      <c r="V13">
        <v>22.906099999999999</v>
      </c>
      <c r="W13">
        <v>22.4236</v>
      </c>
      <c r="X13">
        <v>22.6295</v>
      </c>
      <c r="Y13">
        <v>23.141999999999999</v>
      </c>
      <c r="Z13">
        <v>22.3139</v>
      </c>
      <c r="AA13">
        <v>22.567399999999999</v>
      </c>
      <c r="AB13">
        <v>22.619199999999999</v>
      </c>
      <c r="AC13">
        <v>23.389700000000001</v>
      </c>
      <c r="AD13">
        <v>25.2286</v>
      </c>
      <c r="AE13">
        <v>23.788699999999999</v>
      </c>
      <c r="AF13">
        <v>23.889399999999998</v>
      </c>
      <c r="AG13">
        <v>23.9697</v>
      </c>
      <c r="AH13">
        <v>25.3813</v>
      </c>
      <c r="AI13">
        <v>23.515599999999999</v>
      </c>
      <c r="AJ13">
        <v>23.524799999999999</v>
      </c>
      <c r="AK13">
        <v>24.732500000000002</v>
      </c>
      <c r="AL13">
        <v>23.934200000000001</v>
      </c>
      <c r="AM13">
        <v>23.2484</v>
      </c>
      <c r="AN13">
        <v>23.901299999999999</v>
      </c>
      <c r="AO13">
        <v>23.721399999999999</v>
      </c>
      <c r="AP13">
        <v>24.4909</v>
      </c>
      <c r="AQ13">
        <v>23.116599999999998</v>
      </c>
      <c r="AR13">
        <v>24.515499999999999</v>
      </c>
      <c r="AS13">
        <v>24.560199999999998</v>
      </c>
      <c r="AT13">
        <v>25.563400000000001</v>
      </c>
      <c r="AU13">
        <v>23.6205</v>
      </c>
      <c r="AV13">
        <v>25.8978</v>
      </c>
      <c r="AW13">
        <v>25.836300000000001</v>
      </c>
      <c r="AX13">
        <v>22.8262</v>
      </c>
      <c r="AY13">
        <v>24.638999999999999</v>
      </c>
      <c r="AZ13">
        <v>24.1023</v>
      </c>
      <c r="BA13">
        <v>24.342199999999998</v>
      </c>
      <c r="BB13">
        <v>25.538900000000002</v>
      </c>
      <c r="BC13">
        <v>25.4801</v>
      </c>
      <c r="BD13">
        <v>25.008900000000001</v>
      </c>
      <c r="BE13">
        <v>24.441099999999999</v>
      </c>
      <c r="BF13">
        <v>24.130600000000001</v>
      </c>
      <c r="BG13">
        <v>24.760400000000001</v>
      </c>
      <c r="BH13">
        <v>23.286999999999999</v>
      </c>
      <c r="BI13">
        <v>26.282399999999999</v>
      </c>
      <c r="BJ13">
        <v>25.418199999999999</v>
      </c>
      <c r="BK13">
        <v>25.454599999999999</v>
      </c>
      <c r="BL13">
        <v>24.825199999999999</v>
      </c>
      <c r="BM13">
        <v>24.850100000000001</v>
      </c>
      <c r="BN13">
        <v>25.0532</v>
      </c>
      <c r="BO13">
        <v>25.2941</v>
      </c>
      <c r="BP13">
        <v>25.343900000000001</v>
      </c>
      <c r="BQ13">
        <v>25.985499999999998</v>
      </c>
      <c r="BR13">
        <v>25.58</v>
      </c>
      <c r="BS13">
        <v>25.657299999999999</v>
      </c>
      <c r="BT13">
        <v>25.6447</v>
      </c>
      <c r="BU13">
        <v>25.860700000000001</v>
      </c>
      <c r="BV13">
        <v>25.810099999999998</v>
      </c>
      <c r="BW13">
        <v>25.4221</v>
      </c>
      <c r="BX13">
        <v>23.925999999999998</v>
      </c>
      <c r="BY13">
        <v>23.584199999999999</v>
      </c>
      <c r="BZ13">
        <v>23.993200000000002</v>
      </c>
      <c r="CA13">
        <v>25.248200000000001</v>
      </c>
      <c r="CB13">
        <v>25.036200000000001</v>
      </c>
      <c r="CC13">
        <v>23.239699999999999</v>
      </c>
      <c r="CD13">
        <v>23.717500000000001</v>
      </c>
      <c r="CE13">
        <v>24.292100000000001</v>
      </c>
      <c r="CF13">
        <v>23.940300000000001</v>
      </c>
      <c r="CG13">
        <v>23.968699999999998</v>
      </c>
      <c r="CH13">
        <v>24.0166</v>
      </c>
      <c r="CI13">
        <v>24.051400000000001</v>
      </c>
      <c r="CJ13">
        <v>24.110800000000001</v>
      </c>
      <c r="CK13">
        <v>24.089500000000001</v>
      </c>
      <c r="CL13">
        <v>24.013200000000001</v>
      </c>
      <c r="CM13">
        <v>24.397400000000001</v>
      </c>
      <c r="CN13">
        <v>23.950800000000001</v>
      </c>
      <c r="CO13">
        <v>23.9009</v>
      </c>
      <c r="CP13">
        <v>23.853899999999999</v>
      </c>
      <c r="CQ13">
        <v>23.7224</v>
      </c>
      <c r="CR13">
        <v>23.584299999999999</v>
      </c>
      <c r="CS13">
        <v>23.3706</v>
      </c>
      <c r="CT13">
        <v>23.638200000000001</v>
      </c>
      <c r="CU13">
        <v>23.3445</v>
      </c>
      <c r="CV13">
        <v>0</v>
      </c>
      <c r="CW13">
        <v>24.451699999999999</v>
      </c>
      <c r="CX13">
        <v>24.685099999999998</v>
      </c>
      <c r="CY13">
        <v>23.9681</v>
      </c>
      <c r="CZ13">
        <v>23.2212</v>
      </c>
      <c r="DA13">
        <v>23.361799999999999</v>
      </c>
      <c r="DB13">
        <v>24.312100000000001</v>
      </c>
      <c r="DC13">
        <v>24.295100000000001</v>
      </c>
      <c r="DD13">
        <v>24.922699999999999</v>
      </c>
      <c r="DE13">
        <v>25.3127</v>
      </c>
      <c r="DF13">
        <v>25.3642</v>
      </c>
      <c r="DG13">
        <v>23.666799999999999</v>
      </c>
      <c r="DH13">
        <v>24.0215</v>
      </c>
      <c r="DI13">
        <v>25.510300000000001</v>
      </c>
      <c r="DJ13">
        <v>25.023599999999998</v>
      </c>
      <c r="DK13">
        <v>24.066600000000001</v>
      </c>
      <c r="DL13">
        <v>22.2654</v>
      </c>
      <c r="DM13">
        <v>22.189299999999999</v>
      </c>
      <c r="DN13">
        <v>25.340499999999999</v>
      </c>
      <c r="DO13">
        <v>23.2104</v>
      </c>
      <c r="DP13">
        <v>23.883299999999998</v>
      </c>
      <c r="DQ13">
        <v>24.4377</v>
      </c>
      <c r="DR13">
        <v>25.685099999999998</v>
      </c>
      <c r="DS13">
        <v>23.985499999999998</v>
      </c>
      <c r="DT13">
        <v>24.057300000000001</v>
      </c>
      <c r="DU13">
        <v>23.752600000000001</v>
      </c>
      <c r="DV13">
        <v>23.4786</v>
      </c>
      <c r="DW13">
        <v>23.6052</v>
      </c>
      <c r="DX13">
        <v>25.046600000000002</v>
      </c>
      <c r="DY13">
        <v>25.198799999999999</v>
      </c>
      <c r="DZ13">
        <v>23.310600000000001</v>
      </c>
      <c r="EA13">
        <v>23.316700000000001</v>
      </c>
      <c r="EB13">
        <v>23.773299999999999</v>
      </c>
      <c r="EC13">
        <v>22.9025</v>
      </c>
      <c r="ED13">
        <v>21.010999999999999</v>
      </c>
      <c r="EE13">
        <v>23.998100000000001</v>
      </c>
      <c r="EF13">
        <v>23.927199999999999</v>
      </c>
      <c r="EG13">
        <v>23.653199999999998</v>
      </c>
      <c r="EH13">
        <v>23.99</v>
      </c>
      <c r="EI13">
        <v>24.041399999999999</v>
      </c>
      <c r="EJ13">
        <v>24.0746</v>
      </c>
      <c r="EK13">
        <v>23.7165</v>
      </c>
      <c r="EL13">
        <v>21.856000000000002</v>
      </c>
      <c r="EM13">
        <v>22.043900000000001</v>
      </c>
      <c r="EN13">
        <v>23.3203</v>
      </c>
      <c r="EO13">
        <v>23.104399999999998</v>
      </c>
      <c r="EP13">
        <v>25.683900000000001</v>
      </c>
      <c r="EQ13">
        <v>23.1693</v>
      </c>
      <c r="ER13">
        <v>23.357800000000001</v>
      </c>
      <c r="ES13">
        <v>23.1145</v>
      </c>
      <c r="ET13">
        <v>25.218699999999998</v>
      </c>
      <c r="EU13">
        <v>25.279599999999999</v>
      </c>
      <c r="EV13">
        <v>24.985299999999999</v>
      </c>
      <c r="EW13">
        <v>25.125900000000001</v>
      </c>
      <c r="EX13">
        <v>24.713699999999999</v>
      </c>
      <c r="EY13">
        <v>23.864899999999999</v>
      </c>
      <c r="EZ13">
        <v>24.443100000000001</v>
      </c>
      <c r="FA13">
        <v>22.810400000000001</v>
      </c>
      <c r="FB13">
        <v>23.512799999999999</v>
      </c>
      <c r="FC13">
        <v>23.357700000000001</v>
      </c>
      <c r="FD13">
        <v>23.7746</v>
      </c>
      <c r="FE13">
        <v>23.8171</v>
      </c>
      <c r="FF13">
        <v>25.233699999999999</v>
      </c>
      <c r="FG13">
        <v>0</v>
      </c>
      <c r="FH13">
        <v>24.775700000000001</v>
      </c>
      <c r="FI13">
        <v>23.389900000000001</v>
      </c>
      <c r="FJ13">
        <v>24.131599999999999</v>
      </c>
      <c r="FK13">
        <v>24.365300000000001</v>
      </c>
      <c r="FL13">
        <v>23.8399</v>
      </c>
      <c r="FM13">
        <v>23.834199999999999</v>
      </c>
      <c r="FN13">
        <v>25.085699999999999</v>
      </c>
      <c r="FO13">
        <v>24.203299999999999</v>
      </c>
      <c r="FP13">
        <v>23.957000000000001</v>
      </c>
      <c r="FQ13">
        <v>22.760200000000001</v>
      </c>
      <c r="FR13">
        <v>21.002099999999999</v>
      </c>
      <c r="FS13">
        <v>24.392700000000001</v>
      </c>
      <c r="FT13">
        <v>21.032499999999999</v>
      </c>
      <c r="FU13">
        <v>22.3248</v>
      </c>
      <c r="FV13">
        <v>23.379799999999999</v>
      </c>
      <c r="FW13">
        <v>23.926400000000001</v>
      </c>
      <c r="FX13">
        <v>25.714300000000001</v>
      </c>
      <c r="FY13">
        <v>25.855599999999999</v>
      </c>
      <c r="FZ13">
        <v>25.3748</v>
      </c>
      <c r="GA13">
        <v>24.116</v>
      </c>
      <c r="GB13">
        <v>23.193200000000001</v>
      </c>
      <c r="GC13">
        <v>24.757999999999999</v>
      </c>
      <c r="GD13">
        <v>24.705400000000001</v>
      </c>
      <c r="GE13">
        <v>25.139700000000001</v>
      </c>
      <c r="GF13">
        <v>21.4313</v>
      </c>
      <c r="GG13">
        <v>25.294499999999999</v>
      </c>
      <c r="GH13">
        <v>22.306899999999999</v>
      </c>
      <c r="GI13">
        <v>22.692499999999999</v>
      </c>
      <c r="GJ13">
        <v>22.5732</v>
      </c>
      <c r="GK13">
        <v>24.799299999999999</v>
      </c>
      <c r="GL13">
        <v>25.580400000000001</v>
      </c>
      <c r="GM13">
        <v>22.365300000000001</v>
      </c>
      <c r="GN13">
        <v>25.864799999999999</v>
      </c>
      <c r="GO13">
        <v>26.026499999999999</v>
      </c>
      <c r="GP13">
        <v>26.034300000000002</v>
      </c>
      <c r="GQ13">
        <v>25.920400000000001</v>
      </c>
      <c r="GR13">
        <v>25.682099999999998</v>
      </c>
      <c r="GS13">
        <v>26.021899999999999</v>
      </c>
      <c r="GT13">
        <v>25.905899999999999</v>
      </c>
      <c r="GU13">
        <v>26.0242</v>
      </c>
      <c r="GV13">
        <v>26.036100000000001</v>
      </c>
      <c r="GW13">
        <v>26.016300000000001</v>
      </c>
      <c r="GX13">
        <v>25.5837</v>
      </c>
      <c r="GY13">
        <v>23.950800000000001</v>
      </c>
      <c r="GZ13">
        <v>23.584</v>
      </c>
      <c r="HA13">
        <v>23.8172</v>
      </c>
      <c r="HB13">
        <v>0</v>
      </c>
      <c r="HC13">
        <v>23.973500000000001</v>
      </c>
      <c r="HD13">
        <v>23.9922</v>
      </c>
      <c r="HE13">
        <v>23.973500000000001</v>
      </c>
      <c r="HF13">
        <v>23.411100000000001</v>
      </c>
      <c r="HG13">
        <v>23.456700000000001</v>
      </c>
      <c r="HH13">
        <v>23.838100000000001</v>
      </c>
      <c r="HI13">
        <v>24.187899999999999</v>
      </c>
      <c r="HJ13">
        <v>24.2636</v>
      </c>
      <c r="HK13">
        <v>25.388200000000001</v>
      </c>
      <c r="HL13">
        <v>23.889199999999999</v>
      </c>
      <c r="HM13">
        <v>24.150099999999998</v>
      </c>
      <c r="HN13">
        <v>24.3094</v>
      </c>
      <c r="HO13">
        <v>24.1983</v>
      </c>
      <c r="HP13">
        <v>23.7881</v>
      </c>
      <c r="HQ13">
        <v>23.696100000000001</v>
      </c>
      <c r="HR13">
        <v>25.946000000000002</v>
      </c>
      <c r="HS13">
        <v>23.6022</v>
      </c>
      <c r="HT13">
        <v>23.7879</v>
      </c>
      <c r="HU13">
        <v>22.598099999999999</v>
      </c>
      <c r="HV13">
        <v>23.097100000000001</v>
      </c>
      <c r="HW13">
        <v>25.076699999999999</v>
      </c>
      <c r="HX13">
        <v>25.124600000000001</v>
      </c>
      <c r="HY13">
        <v>25.533300000000001</v>
      </c>
      <c r="HZ13">
        <v>25.233699999999999</v>
      </c>
      <c r="IA13">
        <v>25.798300000000001</v>
      </c>
      <c r="IB13">
        <v>25.2331</v>
      </c>
      <c r="IC13">
        <v>25.444600000000001</v>
      </c>
      <c r="ID13">
        <v>25.375900000000001</v>
      </c>
    </row>
    <row r="14" spans="1:238" x14ac:dyDescent="0.25">
      <c r="A14">
        <v>13</v>
      </c>
      <c r="B14">
        <v>0.73760000000000003</v>
      </c>
      <c r="C14">
        <v>0.73709999999999998</v>
      </c>
      <c r="D14">
        <v>0.73839999999999995</v>
      </c>
      <c r="E14">
        <v>0.72399999999999998</v>
      </c>
      <c r="F14">
        <v>0.70199999999999996</v>
      </c>
      <c r="G14">
        <v>0.69579999999999997</v>
      </c>
      <c r="H14">
        <v>0.69289999999999996</v>
      </c>
      <c r="I14">
        <v>0.755</v>
      </c>
      <c r="J14">
        <v>0.74270000000000003</v>
      </c>
      <c r="K14">
        <v>0.77769999999999995</v>
      </c>
      <c r="L14">
        <v>0.7581</v>
      </c>
      <c r="M14">
        <v>0.77590000000000003</v>
      </c>
      <c r="N14">
        <v>0.75209999999999999</v>
      </c>
      <c r="O14">
        <v>0.72370000000000001</v>
      </c>
      <c r="P14">
        <v>0.71689999999999998</v>
      </c>
      <c r="Q14">
        <v>0.71350000000000002</v>
      </c>
      <c r="R14">
        <v>0.74570000000000003</v>
      </c>
      <c r="S14">
        <v>0.74609999999999999</v>
      </c>
      <c r="T14">
        <v>0.74550000000000005</v>
      </c>
      <c r="U14">
        <v>0.74360000000000004</v>
      </c>
      <c r="V14">
        <v>0.70960000000000001</v>
      </c>
      <c r="W14">
        <v>0.69420000000000004</v>
      </c>
      <c r="X14">
        <v>0.70069999999999999</v>
      </c>
      <c r="Y14">
        <v>0.71609999999999996</v>
      </c>
      <c r="Z14">
        <v>0.69550000000000001</v>
      </c>
      <c r="AA14">
        <v>0.7036</v>
      </c>
      <c r="AB14">
        <v>0.70530000000000004</v>
      </c>
      <c r="AC14">
        <v>0.72560000000000002</v>
      </c>
      <c r="AD14">
        <v>0.78239999999999998</v>
      </c>
      <c r="AE14">
        <v>0.73629999999999995</v>
      </c>
      <c r="AF14">
        <v>0.73960000000000004</v>
      </c>
      <c r="AG14">
        <v>0.7419</v>
      </c>
      <c r="AH14">
        <v>0.78720000000000001</v>
      </c>
      <c r="AI14">
        <v>0.73250000000000004</v>
      </c>
      <c r="AJ14">
        <v>0.73260000000000003</v>
      </c>
      <c r="AK14">
        <v>0.76690000000000003</v>
      </c>
      <c r="AL14">
        <v>0.74099999999999999</v>
      </c>
      <c r="AM14">
        <v>0.72330000000000005</v>
      </c>
      <c r="AN14">
        <v>0.73980000000000001</v>
      </c>
      <c r="AO14">
        <v>0.73880000000000001</v>
      </c>
      <c r="AP14">
        <v>0.76349999999999996</v>
      </c>
      <c r="AQ14">
        <v>0.71719999999999995</v>
      </c>
      <c r="AR14">
        <v>0.76</v>
      </c>
      <c r="AS14">
        <v>0.76570000000000005</v>
      </c>
      <c r="AT14">
        <v>0.79290000000000005</v>
      </c>
      <c r="AU14">
        <v>0.72360000000000002</v>
      </c>
      <c r="AV14">
        <v>0.78680000000000005</v>
      </c>
      <c r="AW14">
        <v>0.78480000000000005</v>
      </c>
      <c r="AX14">
        <v>0.70399999999999996</v>
      </c>
      <c r="AY14">
        <v>0.75490000000000002</v>
      </c>
      <c r="AZ14">
        <v>0.74</v>
      </c>
      <c r="BA14">
        <v>0.74629999999999996</v>
      </c>
      <c r="BB14">
        <v>0.77890000000000004</v>
      </c>
      <c r="BC14">
        <v>0.77539999999999998</v>
      </c>
      <c r="BD14">
        <v>0.76529999999999998</v>
      </c>
      <c r="BE14">
        <v>0.74950000000000006</v>
      </c>
      <c r="BF14">
        <v>0.74570000000000003</v>
      </c>
      <c r="BG14">
        <v>0.75729999999999997</v>
      </c>
      <c r="BH14">
        <v>0.71360000000000001</v>
      </c>
      <c r="BI14">
        <v>0.79449999999999998</v>
      </c>
      <c r="BJ14">
        <v>0.77310000000000001</v>
      </c>
      <c r="BK14">
        <v>0.77410000000000001</v>
      </c>
      <c r="BL14">
        <v>0.75870000000000004</v>
      </c>
      <c r="BM14">
        <v>0.75939999999999996</v>
      </c>
      <c r="BN14">
        <v>0.76319999999999999</v>
      </c>
      <c r="BO14">
        <v>0.77039999999999997</v>
      </c>
      <c r="BP14">
        <v>0.77190000000000003</v>
      </c>
      <c r="BQ14">
        <v>0.79010000000000002</v>
      </c>
      <c r="BR14">
        <v>0.77800000000000002</v>
      </c>
      <c r="BS14">
        <v>0.78039999999999998</v>
      </c>
      <c r="BT14">
        <v>0.78300000000000003</v>
      </c>
      <c r="BU14">
        <v>0.78480000000000005</v>
      </c>
      <c r="BV14">
        <v>0.78290000000000004</v>
      </c>
      <c r="BW14">
        <v>0.7732</v>
      </c>
      <c r="BX14">
        <v>0.73340000000000005</v>
      </c>
      <c r="BY14">
        <v>0.7298</v>
      </c>
      <c r="BZ14">
        <v>0.74170000000000003</v>
      </c>
      <c r="CA14">
        <v>0.78290000000000004</v>
      </c>
      <c r="CB14">
        <v>0.77649999999999997</v>
      </c>
      <c r="CC14">
        <v>0.72240000000000004</v>
      </c>
      <c r="CD14">
        <v>0.73770000000000002</v>
      </c>
      <c r="CE14">
        <v>0.75029999999999997</v>
      </c>
      <c r="CF14">
        <v>0.74119999999999997</v>
      </c>
      <c r="CG14">
        <v>0.74199999999999999</v>
      </c>
      <c r="CH14">
        <v>0.74360000000000004</v>
      </c>
      <c r="CI14">
        <v>0.74470000000000003</v>
      </c>
      <c r="CJ14">
        <v>0.74670000000000003</v>
      </c>
      <c r="CK14">
        <v>0.746</v>
      </c>
      <c r="CL14">
        <v>0.74339999999999995</v>
      </c>
      <c r="CM14">
        <v>0.75739999999999996</v>
      </c>
      <c r="CN14">
        <v>0.74119999999999997</v>
      </c>
      <c r="CO14">
        <v>0.73970000000000002</v>
      </c>
      <c r="CP14">
        <v>0.73829999999999996</v>
      </c>
      <c r="CQ14">
        <v>0.73399999999999999</v>
      </c>
      <c r="CR14">
        <v>0.7298</v>
      </c>
      <c r="CS14">
        <v>0.72529999999999994</v>
      </c>
      <c r="CT14">
        <v>0.7339</v>
      </c>
      <c r="CU14">
        <v>0.72419999999999995</v>
      </c>
      <c r="CV14">
        <v>0</v>
      </c>
      <c r="CW14">
        <v>0.75790000000000002</v>
      </c>
      <c r="CX14">
        <v>0.76539999999999997</v>
      </c>
      <c r="CY14">
        <v>0.74180000000000001</v>
      </c>
      <c r="CZ14">
        <v>0.71830000000000005</v>
      </c>
      <c r="DA14">
        <v>0.72799999999999998</v>
      </c>
      <c r="DB14">
        <v>0.74529999999999996</v>
      </c>
      <c r="DC14">
        <v>0.74490000000000001</v>
      </c>
      <c r="DD14">
        <v>0.75949999999999995</v>
      </c>
      <c r="DE14">
        <v>0.76990000000000003</v>
      </c>
      <c r="DF14">
        <v>0.77149999999999996</v>
      </c>
      <c r="DG14">
        <v>0.7319</v>
      </c>
      <c r="DH14">
        <v>0.74360000000000004</v>
      </c>
      <c r="DI14">
        <v>0.77910000000000001</v>
      </c>
      <c r="DJ14">
        <v>0.77610000000000001</v>
      </c>
      <c r="DK14">
        <v>0.745</v>
      </c>
      <c r="DL14">
        <v>0.69230000000000003</v>
      </c>
      <c r="DM14">
        <v>0.68740000000000001</v>
      </c>
      <c r="DN14">
        <v>0.78359999999999996</v>
      </c>
      <c r="DO14">
        <v>0.72389999999999999</v>
      </c>
      <c r="DP14">
        <v>0.73970000000000002</v>
      </c>
      <c r="DQ14">
        <v>0.74929999999999997</v>
      </c>
      <c r="DR14">
        <v>0.78080000000000005</v>
      </c>
      <c r="DS14">
        <v>0.74229999999999996</v>
      </c>
      <c r="DT14">
        <v>0.74450000000000005</v>
      </c>
      <c r="DU14">
        <v>0.73509999999999998</v>
      </c>
      <c r="DV14">
        <v>0.71940000000000004</v>
      </c>
      <c r="DW14">
        <v>0.73129999999999995</v>
      </c>
      <c r="DX14">
        <v>0.77739999999999998</v>
      </c>
      <c r="DY14">
        <v>0.76590000000000003</v>
      </c>
      <c r="DZ14">
        <v>0.71440000000000003</v>
      </c>
      <c r="EA14">
        <v>0.71450000000000002</v>
      </c>
      <c r="EB14">
        <v>0.73529999999999995</v>
      </c>
      <c r="EC14">
        <v>0.70620000000000005</v>
      </c>
      <c r="ED14">
        <v>0.66110000000000002</v>
      </c>
      <c r="EE14">
        <v>0.74509999999999998</v>
      </c>
      <c r="EF14">
        <v>0.7409</v>
      </c>
      <c r="EG14">
        <v>0.73270000000000002</v>
      </c>
      <c r="EH14">
        <v>0.74260000000000004</v>
      </c>
      <c r="EI14">
        <v>0.74409999999999998</v>
      </c>
      <c r="EJ14">
        <v>0.74519999999999997</v>
      </c>
      <c r="EK14">
        <v>0.72640000000000005</v>
      </c>
      <c r="EL14">
        <v>0.68020000000000003</v>
      </c>
      <c r="EM14">
        <v>0.68600000000000005</v>
      </c>
      <c r="EN14">
        <v>0.72040000000000004</v>
      </c>
      <c r="EO14">
        <v>0.71379999999999999</v>
      </c>
      <c r="EP14">
        <v>0.78069999999999995</v>
      </c>
      <c r="EQ14">
        <v>0.71740000000000004</v>
      </c>
      <c r="ER14">
        <v>0.72009999999999996</v>
      </c>
      <c r="ES14">
        <v>0.7127</v>
      </c>
      <c r="ET14">
        <v>0.76790000000000003</v>
      </c>
      <c r="EU14">
        <v>0.77</v>
      </c>
      <c r="EV14">
        <v>0.77659999999999996</v>
      </c>
      <c r="EW14">
        <v>0.78100000000000003</v>
      </c>
      <c r="EX14">
        <v>0.76780000000000004</v>
      </c>
      <c r="EY14">
        <v>0.73880000000000001</v>
      </c>
      <c r="EZ14">
        <v>0.75600000000000001</v>
      </c>
      <c r="FA14">
        <v>0.70269999999999999</v>
      </c>
      <c r="FB14">
        <v>0.72619999999999996</v>
      </c>
      <c r="FC14">
        <v>0.72089999999999999</v>
      </c>
      <c r="FD14">
        <v>0.73570000000000002</v>
      </c>
      <c r="FE14">
        <v>0.73770000000000002</v>
      </c>
      <c r="FF14">
        <v>0.76619999999999999</v>
      </c>
      <c r="FG14">
        <v>0</v>
      </c>
      <c r="FH14">
        <v>0.75939999999999996</v>
      </c>
      <c r="FI14">
        <v>0.72419999999999995</v>
      </c>
      <c r="FJ14">
        <v>0.74060000000000004</v>
      </c>
      <c r="FK14">
        <v>0.74629999999999996</v>
      </c>
      <c r="FL14">
        <v>0.73839999999999995</v>
      </c>
      <c r="FM14">
        <v>0.73829999999999996</v>
      </c>
      <c r="FN14">
        <v>0.77839999999999998</v>
      </c>
      <c r="FO14">
        <v>0.74880000000000002</v>
      </c>
      <c r="FP14">
        <v>0.74139999999999995</v>
      </c>
      <c r="FQ14">
        <v>0.70760000000000001</v>
      </c>
      <c r="FR14">
        <v>0.66110000000000002</v>
      </c>
      <c r="FS14">
        <v>0.74770000000000003</v>
      </c>
      <c r="FT14">
        <v>0.66159999999999997</v>
      </c>
      <c r="FU14">
        <v>0.70589999999999997</v>
      </c>
      <c r="FV14">
        <v>0.72509999999999997</v>
      </c>
      <c r="FW14">
        <v>0.74519999999999997</v>
      </c>
      <c r="FX14">
        <v>0.80100000000000005</v>
      </c>
      <c r="FY14">
        <v>0.80510000000000004</v>
      </c>
      <c r="FZ14">
        <v>0.78700000000000003</v>
      </c>
      <c r="GA14">
        <v>0.74870000000000003</v>
      </c>
      <c r="GB14">
        <v>0.71619999999999995</v>
      </c>
      <c r="GC14">
        <v>0.75700000000000001</v>
      </c>
      <c r="GD14">
        <v>0.75560000000000005</v>
      </c>
      <c r="GE14">
        <v>0.76649999999999996</v>
      </c>
      <c r="GF14">
        <v>0.67600000000000005</v>
      </c>
      <c r="GG14">
        <v>0.77059999999999995</v>
      </c>
      <c r="GH14">
        <v>0.69389999999999996</v>
      </c>
      <c r="GI14">
        <v>0.70660000000000001</v>
      </c>
      <c r="GJ14">
        <v>0.70379999999999998</v>
      </c>
      <c r="GK14">
        <v>0.7722</v>
      </c>
      <c r="GL14">
        <v>0.79679999999999995</v>
      </c>
      <c r="GM14">
        <v>0.69699999999999995</v>
      </c>
      <c r="GN14">
        <v>0.78639999999999999</v>
      </c>
      <c r="GO14">
        <v>0.79069999999999996</v>
      </c>
      <c r="GP14">
        <v>0.79100000000000004</v>
      </c>
      <c r="GQ14">
        <v>0.78749999999999998</v>
      </c>
      <c r="GR14">
        <v>0.78029999999999999</v>
      </c>
      <c r="GS14">
        <v>0.79059999999999997</v>
      </c>
      <c r="GT14">
        <v>0.78769999999999996</v>
      </c>
      <c r="GU14">
        <v>0.7913</v>
      </c>
      <c r="GV14">
        <v>0.79100000000000004</v>
      </c>
      <c r="GW14">
        <v>0.79049999999999998</v>
      </c>
      <c r="GX14">
        <v>0.7762</v>
      </c>
      <c r="GY14">
        <v>0.74119999999999997</v>
      </c>
      <c r="GZ14">
        <v>0.7298</v>
      </c>
      <c r="HA14">
        <v>0.73770000000000002</v>
      </c>
      <c r="HB14">
        <v>0</v>
      </c>
      <c r="HC14">
        <v>0.73729999999999996</v>
      </c>
      <c r="HD14">
        <v>0.74280000000000002</v>
      </c>
      <c r="HE14">
        <v>0.73729999999999996</v>
      </c>
      <c r="HF14">
        <v>0.72309999999999997</v>
      </c>
      <c r="HG14">
        <v>0.72450000000000003</v>
      </c>
      <c r="HH14">
        <v>0.73780000000000001</v>
      </c>
      <c r="HI14">
        <v>0.74729999999999996</v>
      </c>
      <c r="HJ14">
        <v>0.74419999999999997</v>
      </c>
      <c r="HK14">
        <v>0.78739999999999999</v>
      </c>
      <c r="HL14">
        <v>0.73960000000000004</v>
      </c>
      <c r="HM14">
        <v>0.74</v>
      </c>
      <c r="HN14">
        <v>0.74519999999999997</v>
      </c>
      <c r="HO14">
        <v>0.74160000000000004</v>
      </c>
      <c r="HP14">
        <v>0.73129999999999995</v>
      </c>
      <c r="HQ14">
        <v>0.7339</v>
      </c>
      <c r="HR14">
        <v>0.78420000000000001</v>
      </c>
      <c r="HS14">
        <v>0.72840000000000005</v>
      </c>
      <c r="HT14">
        <v>0.73129999999999995</v>
      </c>
      <c r="HU14">
        <v>0.70379999999999998</v>
      </c>
      <c r="HV14">
        <v>0.70740000000000003</v>
      </c>
      <c r="HW14">
        <v>0.77769999999999995</v>
      </c>
      <c r="HX14">
        <v>0.7792</v>
      </c>
      <c r="HY14">
        <v>0.79200000000000004</v>
      </c>
      <c r="HZ14">
        <v>0.7661</v>
      </c>
      <c r="IA14">
        <v>0.78439999999999999</v>
      </c>
      <c r="IB14">
        <v>0.76600000000000001</v>
      </c>
      <c r="IC14">
        <v>0.77370000000000005</v>
      </c>
      <c r="ID14">
        <v>0.77249999999999996</v>
      </c>
    </row>
    <row r="15" spans="1:238" x14ac:dyDescent="0.25">
      <c r="A15">
        <v>14</v>
      </c>
      <c r="B15">
        <v>0.7258</v>
      </c>
      <c r="C15">
        <v>0.71740000000000004</v>
      </c>
      <c r="D15">
        <v>0.71879999999999999</v>
      </c>
      <c r="E15">
        <v>0.70450000000000002</v>
      </c>
      <c r="F15">
        <v>0.68279999999999996</v>
      </c>
      <c r="G15">
        <v>0.68300000000000005</v>
      </c>
      <c r="H15">
        <v>0.68</v>
      </c>
      <c r="I15">
        <v>0.73809999999999998</v>
      </c>
      <c r="J15">
        <v>0.7228</v>
      </c>
      <c r="K15">
        <v>0.7601</v>
      </c>
      <c r="L15">
        <v>0.73950000000000005</v>
      </c>
      <c r="M15">
        <v>0.7581</v>
      </c>
      <c r="N15">
        <v>0.73209999999999997</v>
      </c>
      <c r="O15">
        <v>0.70599999999999996</v>
      </c>
      <c r="P15">
        <v>0.69569999999999999</v>
      </c>
      <c r="Q15">
        <v>0.69310000000000005</v>
      </c>
      <c r="R15">
        <v>0.72260000000000002</v>
      </c>
      <c r="S15">
        <v>0.7238</v>
      </c>
      <c r="T15">
        <v>0.71960000000000002</v>
      </c>
      <c r="U15">
        <v>0.72340000000000004</v>
      </c>
      <c r="V15">
        <v>0.69220000000000004</v>
      </c>
      <c r="W15">
        <v>0.67649999999999999</v>
      </c>
      <c r="X15">
        <v>0.68300000000000005</v>
      </c>
      <c r="Y15">
        <v>0.69720000000000004</v>
      </c>
      <c r="Z15">
        <v>0.68420000000000003</v>
      </c>
      <c r="AA15">
        <v>0.69259999999999999</v>
      </c>
      <c r="AB15">
        <v>0.69430000000000003</v>
      </c>
      <c r="AC15">
        <v>0.7087</v>
      </c>
      <c r="AD15">
        <v>0.76529999999999998</v>
      </c>
      <c r="AE15">
        <v>0.71660000000000001</v>
      </c>
      <c r="AF15">
        <v>0.71989999999999998</v>
      </c>
      <c r="AG15">
        <v>0.72230000000000005</v>
      </c>
      <c r="AH15">
        <v>0.77</v>
      </c>
      <c r="AI15">
        <v>0.72070000000000001</v>
      </c>
      <c r="AJ15">
        <v>0.72040000000000004</v>
      </c>
      <c r="AK15">
        <v>0.74870000000000003</v>
      </c>
      <c r="AL15">
        <v>0.72099999999999997</v>
      </c>
      <c r="AM15">
        <v>0.70979999999999999</v>
      </c>
      <c r="AN15">
        <v>0.7198</v>
      </c>
      <c r="AO15">
        <v>0.72719999999999996</v>
      </c>
      <c r="AP15">
        <v>0.75380000000000003</v>
      </c>
      <c r="AQ15">
        <v>0.70069999999999999</v>
      </c>
      <c r="AR15">
        <v>0.74150000000000005</v>
      </c>
      <c r="AS15">
        <v>0.75609999999999999</v>
      </c>
      <c r="AT15">
        <v>0.77549999999999997</v>
      </c>
      <c r="AU15">
        <v>0.7006</v>
      </c>
      <c r="AV15">
        <v>0.75439999999999996</v>
      </c>
      <c r="AW15">
        <v>0.75290000000000001</v>
      </c>
      <c r="AX15">
        <v>0.68330000000000002</v>
      </c>
      <c r="AY15">
        <v>0.73089999999999999</v>
      </c>
      <c r="AZ15">
        <v>0.71799999999999997</v>
      </c>
      <c r="BA15">
        <v>0.72309999999999997</v>
      </c>
      <c r="BB15">
        <v>0.75070000000000003</v>
      </c>
      <c r="BC15">
        <v>0.74380000000000002</v>
      </c>
      <c r="BD15">
        <v>0.74009999999999998</v>
      </c>
      <c r="BE15">
        <v>0.72640000000000005</v>
      </c>
      <c r="BF15">
        <v>0.72350000000000003</v>
      </c>
      <c r="BG15">
        <v>0.73140000000000005</v>
      </c>
      <c r="BH15">
        <v>0.6905</v>
      </c>
      <c r="BI15">
        <v>0.75390000000000001</v>
      </c>
      <c r="BJ15">
        <v>0.74139999999999995</v>
      </c>
      <c r="BK15">
        <v>0.74229999999999996</v>
      </c>
      <c r="BL15">
        <v>0.73199999999999998</v>
      </c>
      <c r="BM15">
        <v>0.73240000000000005</v>
      </c>
      <c r="BN15">
        <v>0.73580000000000001</v>
      </c>
      <c r="BO15">
        <v>0.74009999999999998</v>
      </c>
      <c r="BP15">
        <v>0.74139999999999995</v>
      </c>
      <c r="BQ15">
        <v>0.75729999999999997</v>
      </c>
      <c r="BR15">
        <v>0.74609999999999999</v>
      </c>
      <c r="BS15">
        <v>0.74850000000000005</v>
      </c>
      <c r="BT15">
        <v>0.755</v>
      </c>
      <c r="BU15">
        <v>0.753</v>
      </c>
      <c r="BV15">
        <v>0.74709999999999999</v>
      </c>
      <c r="BW15">
        <v>0.74150000000000005</v>
      </c>
      <c r="BX15">
        <v>0.70930000000000004</v>
      </c>
      <c r="BY15">
        <v>0.7097</v>
      </c>
      <c r="BZ15">
        <v>0.72040000000000004</v>
      </c>
      <c r="CA15">
        <v>0.7661</v>
      </c>
      <c r="CB15">
        <v>0.75890000000000002</v>
      </c>
      <c r="CC15">
        <v>0.70789999999999997</v>
      </c>
      <c r="CD15">
        <v>0.7177</v>
      </c>
      <c r="CE15">
        <v>0.72799999999999998</v>
      </c>
      <c r="CF15">
        <v>0.72119999999999995</v>
      </c>
      <c r="CG15">
        <v>0.72199999999999998</v>
      </c>
      <c r="CH15">
        <v>0.72360000000000002</v>
      </c>
      <c r="CI15">
        <v>0.72460000000000002</v>
      </c>
      <c r="CJ15">
        <v>0.72670000000000001</v>
      </c>
      <c r="CK15">
        <v>0.72599999999999998</v>
      </c>
      <c r="CL15">
        <v>0.72340000000000004</v>
      </c>
      <c r="CM15">
        <v>0.74050000000000005</v>
      </c>
      <c r="CN15">
        <v>0.72109999999999996</v>
      </c>
      <c r="CO15">
        <v>0.71970000000000001</v>
      </c>
      <c r="CP15">
        <v>0.71830000000000005</v>
      </c>
      <c r="CQ15">
        <v>0.71360000000000001</v>
      </c>
      <c r="CR15">
        <v>0.7097</v>
      </c>
      <c r="CS15">
        <v>0.70889999999999997</v>
      </c>
      <c r="CT15">
        <v>0.71779999999999999</v>
      </c>
      <c r="CU15">
        <v>0.70730000000000004</v>
      </c>
      <c r="CV15">
        <v>0</v>
      </c>
      <c r="CW15">
        <v>0.73919999999999997</v>
      </c>
      <c r="CX15">
        <v>0.74709999999999999</v>
      </c>
      <c r="CY15">
        <v>0.7218</v>
      </c>
      <c r="CZ15">
        <v>0.69920000000000004</v>
      </c>
      <c r="DA15">
        <v>0.71640000000000004</v>
      </c>
      <c r="DB15">
        <v>0.71940000000000004</v>
      </c>
      <c r="DC15">
        <v>0.71919999999999995</v>
      </c>
      <c r="DD15">
        <v>0.72989999999999999</v>
      </c>
      <c r="DE15">
        <v>0.73860000000000003</v>
      </c>
      <c r="DF15">
        <v>0.7399</v>
      </c>
      <c r="DG15">
        <v>0.71179999999999999</v>
      </c>
      <c r="DH15">
        <v>0.72350000000000003</v>
      </c>
      <c r="DI15">
        <v>0.75119999999999998</v>
      </c>
      <c r="DJ15">
        <v>0.75849999999999995</v>
      </c>
      <c r="DK15">
        <v>0.72499999999999998</v>
      </c>
      <c r="DL15">
        <v>0.67930000000000001</v>
      </c>
      <c r="DM15">
        <v>0.67110000000000003</v>
      </c>
      <c r="DN15">
        <v>0.7621</v>
      </c>
      <c r="DO15">
        <v>0.71279999999999999</v>
      </c>
      <c r="DP15">
        <v>0.71960000000000002</v>
      </c>
      <c r="DQ15">
        <v>0.72609999999999997</v>
      </c>
      <c r="DR15">
        <v>0.74809999999999999</v>
      </c>
      <c r="DS15">
        <v>0.72230000000000005</v>
      </c>
      <c r="DT15">
        <v>0.72440000000000004</v>
      </c>
      <c r="DU15">
        <v>0.71519999999999995</v>
      </c>
      <c r="DV15">
        <v>0.69630000000000003</v>
      </c>
      <c r="DW15">
        <v>0.71260000000000001</v>
      </c>
      <c r="DX15">
        <v>0.75980000000000003</v>
      </c>
      <c r="DY15">
        <v>0.73460000000000003</v>
      </c>
      <c r="DZ15">
        <v>0.69120000000000004</v>
      </c>
      <c r="EA15">
        <v>0.69140000000000001</v>
      </c>
      <c r="EB15">
        <v>0.7147</v>
      </c>
      <c r="EC15">
        <v>0.68510000000000004</v>
      </c>
      <c r="ED15">
        <v>0.65849999999999997</v>
      </c>
      <c r="EE15">
        <v>0.72860000000000003</v>
      </c>
      <c r="EF15">
        <v>0.72109999999999996</v>
      </c>
      <c r="EG15">
        <v>0.71409999999999996</v>
      </c>
      <c r="EH15">
        <v>0.72260000000000002</v>
      </c>
      <c r="EI15">
        <v>0.72409999999999997</v>
      </c>
      <c r="EJ15">
        <v>0.72519999999999996</v>
      </c>
      <c r="EK15">
        <v>0.70340000000000003</v>
      </c>
      <c r="EL15">
        <v>0.66769999999999996</v>
      </c>
      <c r="EM15">
        <v>0.6734</v>
      </c>
      <c r="EN15">
        <v>0.69989999999999997</v>
      </c>
      <c r="EO15">
        <v>0.69350000000000001</v>
      </c>
      <c r="EP15">
        <v>0.74809999999999999</v>
      </c>
      <c r="EQ15">
        <v>0.69810000000000005</v>
      </c>
      <c r="ER15">
        <v>0.69840000000000002</v>
      </c>
      <c r="ES15">
        <v>0.6915</v>
      </c>
      <c r="ET15">
        <v>0.73750000000000004</v>
      </c>
      <c r="EU15">
        <v>0.73970000000000002</v>
      </c>
      <c r="EV15">
        <v>0.76080000000000003</v>
      </c>
      <c r="EW15">
        <v>0.7651</v>
      </c>
      <c r="EX15">
        <v>0.75149999999999995</v>
      </c>
      <c r="EY15">
        <v>0.71909999999999996</v>
      </c>
      <c r="EZ15">
        <v>0.7359</v>
      </c>
      <c r="FA15">
        <v>0.68149999999999999</v>
      </c>
      <c r="FB15">
        <v>0.70530000000000004</v>
      </c>
      <c r="FC15">
        <v>0.69979999999999998</v>
      </c>
      <c r="FD15">
        <v>0.71560000000000001</v>
      </c>
      <c r="FE15">
        <v>0.7177</v>
      </c>
      <c r="FF15">
        <v>0.73440000000000005</v>
      </c>
      <c r="FG15">
        <v>0</v>
      </c>
      <c r="FH15">
        <v>0.73270000000000002</v>
      </c>
      <c r="FI15">
        <v>0.70469999999999999</v>
      </c>
      <c r="FJ15">
        <v>0.71830000000000005</v>
      </c>
      <c r="FK15">
        <v>0.72209999999999996</v>
      </c>
      <c r="FL15">
        <v>0.71840000000000004</v>
      </c>
      <c r="FM15">
        <v>0.71830000000000005</v>
      </c>
      <c r="FN15">
        <v>0.76080000000000003</v>
      </c>
      <c r="FO15">
        <v>0.72870000000000001</v>
      </c>
      <c r="FP15">
        <v>0.72130000000000005</v>
      </c>
      <c r="FQ15">
        <v>0.69730000000000003</v>
      </c>
      <c r="FR15">
        <v>0.66110000000000002</v>
      </c>
      <c r="FS15">
        <v>0.72160000000000002</v>
      </c>
      <c r="FT15">
        <v>0.66110000000000002</v>
      </c>
      <c r="FU15">
        <v>0.71079999999999999</v>
      </c>
      <c r="FV15">
        <v>0.70779999999999998</v>
      </c>
      <c r="FW15">
        <v>0.73340000000000005</v>
      </c>
      <c r="FX15">
        <v>0.78879999999999995</v>
      </c>
      <c r="FY15">
        <v>0.79200000000000004</v>
      </c>
      <c r="FZ15">
        <v>0.76980000000000004</v>
      </c>
      <c r="GA15">
        <v>0.73209999999999997</v>
      </c>
      <c r="GB15">
        <v>0.69579999999999997</v>
      </c>
      <c r="GC15">
        <v>0.73070000000000002</v>
      </c>
      <c r="GD15">
        <v>0.72970000000000002</v>
      </c>
      <c r="GE15">
        <v>0.73719999999999997</v>
      </c>
      <c r="GF15">
        <v>0.67789999999999995</v>
      </c>
      <c r="GG15">
        <v>0.74119999999999997</v>
      </c>
      <c r="GH15">
        <v>0.68089999999999995</v>
      </c>
      <c r="GI15">
        <v>0.69440000000000002</v>
      </c>
      <c r="GJ15">
        <v>0.69269999999999998</v>
      </c>
      <c r="GK15">
        <v>0.76049999999999995</v>
      </c>
      <c r="GL15">
        <v>0.78469999999999995</v>
      </c>
      <c r="GM15">
        <v>0.68569999999999998</v>
      </c>
      <c r="GN15">
        <v>0.75360000000000005</v>
      </c>
      <c r="GO15">
        <v>0.75729999999999997</v>
      </c>
      <c r="GP15">
        <v>0.75749999999999995</v>
      </c>
      <c r="GQ15">
        <v>0.75449999999999995</v>
      </c>
      <c r="GR15">
        <v>0.74709999999999999</v>
      </c>
      <c r="GS15">
        <v>0.75719999999999998</v>
      </c>
      <c r="GT15">
        <v>0.75490000000000002</v>
      </c>
      <c r="GU15">
        <v>0.75849999999999995</v>
      </c>
      <c r="GV15">
        <v>0.75760000000000005</v>
      </c>
      <c r="GW15">
        <v>0.75690000000000002</v>
      </c>
      <c r="GX15">
        <v>0.74229999999999996</v>
      </c>
      <c r="GY15">
        <v>0.72109999999999996</v>
      </c>
      <c r="GZ15">
        <v>0.70960000000000001</v>
      </c>
      <c r="HA15">
        <v>0.7177</v>
      </c>
      <c r="HB15">
        <v>0</v>
      </c>
      <c r="HC15">
        <v>0.71379999999999999</v>
      </c>
      <c r="HD15">
        <v>0.72289999999999999</v>
      </c>
      <c r="HE15">
        <v>0.71379999999999999</v>
      </c>
      <c r="HF15">
        <v>0.70240000000000002</v>
      </c>
      <c r="HG15">
        <v>0.70369999999999999</v>
      </c>
      <c r="HH15">
        <v>0.71760000000000002</v>
      </c>
      <c r="HI15">
        <v>0.72460000000000002</v>
      </c>
      <c r="HJ15">
        <v>0.71889999999999998</v>
      </c>
      <c r="HK15">
        <v>0.77010000000000001</v>
      </c>
      <c r="HL15">
        <v>0.71989999999999998</v>
      </c>
      <c r="HM15">
        <v>0.71409999999999996</v>
      </c>
      <c r="HN15">
        <v>0.71930000000000005</v>
      </c>
      <c r="HO15">
        <v>0.7157</v>
      </c>
      <c r="HP15">
        <v>0.70799999999999996</v>
      </c>
      <c r="HQ15">
        <v>0.7147</v>
      </c>
      <c r="HR15">
        <v>0.74409999999999998</v>
      </c>
      <c r="HS15">
        <v>0.70679999999999998</v>
      </c>
      <c r="HT15">
        <v>0.70799999999999996</v>
      </c>
      <c r="HU15">
        <v>0.6915</v>
      </c>
      <c r="HV15">
        <v>0.6845</v>
      </c>
      <c r="HW15">
        <v>0.76029999999999998</v>
      </c>
      <c r="HX15">
        <v>0.76180000000000003</v>
      </c>
      <c r="HY15">
        <v>0.77459999999999996</v>
      </c>
      <c r="HZ15">
        <v>0.73429999999999995</v>
      </c>
      <c r="IA15">
        <v>0.75180000000000002</v>
      </c>
      <c r="IB15">
        <v>0.73409999999999997</v>
      </c>
      <c r="IC15">
        <v>0.74239999999999995</v>
      </c>
      <c r="ID15">
        <v>0.74180000000000001</v>
      </c>
    </row>
    <row r="16" spans="1:238" x14ac:dyDescent="0.25">
      <c r="A16">
        <v>15</v>
      </c>
      <c r="B16">
        <v>0.74829999999999997</v>
      </c>
      <c r="C16">
        <v>0.74039999999999995</v>
      </c>
      <c r="D16">
        <v>0.74209999999999998</v>
      </c>
      <c r="E16">
        <v>0.72589999999999999</v>
      </c>
      <c r="F16">
        <v>0.70250000000000001</v>
      </c>
      <c r="G16">
        <v>0.6976</v>
      </c>
      <c r="H16">
        <v>0.69550000000000001</v>
      </c>
      <c r="I16">
        <v>0.7621</v>
      </c>
      <c r="J16">
        <v>0.74629999999999996</v>
      </c>
      <c r="K16">
        <v>0.7863</v>
      </c>
      <c r="L16">
        <v>0.76370000000000005</v>
      </c>
      <c r="M16">
        <v>0.78380000000000005</v>
      </c>
      <c r="N16">
        <v>0.75700000000000001</v>
      </c>
      <c r="O16">
        <v>0.7278</v>
      </c>
      <c r="P16">
        <v>0.71579999999999999</v>
      </c>
      <c r="Q16">
        <v>0.71340000000000003</v>
      </c>
      <c r="R16">
        <v>0.74370000000000003</v>
      </c>
      <c r="S16">
        <v>0.74539999999999995</v>
      </c>
      <c r="T16">
        <v>0.73699999999999999</v>
      </c>
      <c r="U16">
        <v>0.74829999999999997</v>
      </c>
      <c r="V16">
        <v>0.7107</v>
      </c>
      <c r="W16">
        <v>0.6956</v>
      </c>
      <c r="X16">
        <v>0.70189999999999997</v>
      </c>
      <c r="Y16">
        <v>0.71689999999999998</v>
      </c>
      <c r="Z16">
        <v>0.69740000000000002</v>
      </c>
      <c r="AA16">
        <v>0.70689999999999997</v>
      </c>
      <c r="AB16">
        <v>0.70840000000000003</v>
      </c>
      <c r="AC16">
        <v>0.72989999999999999</v>
      </c>
      <c r="AD16">
        <v>0.79210000000000003</v>
      </c>
      <c r="AE16">
        <v>0.73950000000000005</v>
      </c>
      <c r="AF16">
        <v>0.74299999999999999</v>
      </c>
      <c r="AG16">
        <v>0.74570000000000003</v>
      </c>
      <c r="AH16">
        <v>0.79730000000000001</v>
      </c>
      <c r="AI16">
        <v>0.74509999999999998</v>
      </c>
      <c r="AJ16">
        <v>0.7419</v>
      </c>
      <c r="AK16">
        <v>0.77339999999999998</v>
      </c>
      <c r="AL16">
        <v>0.74450000000000005</v>
      </c>
      <c r="AM16">
        <v>0.7278</v>
      </c>
      <c r="AN16">
        <v>0.7429</v>
      </c>
      <c r="AO16">
        <v>0.74990000000000001</v>
      </c>
      <c r="AP16">
        <v>0.78180000000000005</v>
      </c>
      <c r="AQ16">
        <v>0.72230000000000005</v>
      </c>
      <c r="AR16">
        <v>0.76570000000000005</v>
      </c>
      <c r="AS16">
        <v>0.78469999999999995</v>
      </c>
      <c r="AT16">
        <v>0.80330000000000001</v>
      </c>
      <c r="AU16">
        <v>0.71850000000000003</v>
      </c>
      <c r="AV16">
        <v>0.76580000000000004</v>
      </c>
      <c r="AW16">
        <v>0.76419999999999999</v>
      </c>
      <c r="AX16">
        <v>0.70250000000000001</v>
      </c>
      <c r="AY16">
        <v>0.7419</v>
      </c>
      <c r="AZ16">
        <v>0.72799999999999998</v>
      </c>
      <c r="BA16">
        <v>0.74199999999999999</v>
      </c>
      <c r="BB16">
        <v>0.76259999999999994</v>
      </c>
      <c r="BC16">
        <v>0.75609999999999999</v>
      </c>
      <c r="BD16">
        <v>0.75660000000000005</v>
      </c>
      <c r="BE16">
        <v>0.74550000000000005</v>
      </c>
      <c r="BF16">
        <v>0.74560000000000004</v>
      </c>
      <c r="BG16">
        <v>0.74299999999999999</v>
      </c>
      <c r="BH16">
        <v>0.70799999999999996</v>
      </c>
      <c r="BI16">
        <v>0.7581</v>
      </c>
      <c r="BJ16">
        <v>0.754</v>
      </c>
      <c r="BK16">
        <v>0.75470000000000004</v>
      </c>
      <c r="BL16">
        <v>0.74370000000000003</v>
      </c>
      <c r="BM16">
        <v>0.74419999999999997</v>
      </c>
      <c r="BN16">
        <v>0.74619999999999997</v>
      </c>
      <c r="BO16">
        <v>0.75360000000000005</v>
      </c>
      <c r="BP16">
        <v>0.75470000000000004</v>
      </c>
      <c r="BQ16">
        <v>0.76959999999999995</v>
      </c>
      <c r="BR16">
        <v>0.75860000000000005</v>
      </c>
      <c r="BS16">
        <v>0.76100000000000001</v>
      </c>
      <c r="BT16">
        <v>0.76800000000000002</v>
      </c>
      <c r="BU16">
        <v>0.76500000000000001</v>
      </c>
      <c r="BV16">
        <v>0.75529999999999997</v>
      </c>
      <c r="BW16">
        <v>0.75409999999999999</v>
      </c>
      <c r="BX16">
        <v>0.7268</v>
      </c>
      <c r="BY16">
        <v>0.7319</v>
      </c>
      <c r="BZ16">
        <v>0.74260000000000004</v>
      </c>
      <c r="CA16">
        <v>0.79300000000000004</v>
      </c>
      <c r="CB16">
        <v>0.78490000000000004</v>
      </c>
      <c r="CC16">
        <v>0.72670000000000001</v>
      </c>
      <c r="CD16">
        <v>0.74039999999999995</v>
      </c>
      <c r="CE16">
        <v>0.74980000000000002</v>
      </c>
      <c r="CF16">
        <v>0.74470000000000003</v>
      </c>
      <c r="CG16">
        <v>0.74550000000000005</v>
      </c>
      <c r="CH16">
        <v>0.74719999999999998</v>
      </c>
      <c r="CI16">
        <v>0.74839999999999995</v>
      </c>
      <c r="CJ16">
        <v>0.75060000000000004</v>
      </c>
      <c r="CK16">
        <v>0.74990000000000001</v>
      </c>
      <c r="CL16">
        <v>0.747</v>
      </c>
      <c r="CM16">
        <v>0.76329999999999998</v>
      </c>
      <c r="CN16">
        <v>0.74419999999999997</v>
      </c>
      <c r="CO16">
        <v>0.74260000000000004</v>
      </c>
      <c r="CP16">
        <v>0.74099999999999999</v>
      </c>
      <c r="CQ16">
        <v>0.73580000000000001</v>
      </c>
      <c r="CR16">
        <v>0.7319</v>
      </c>
      <c r="CS16">
        <v>0.73009999999999997</v>
      </c>
      <c r="CT16">
        <v>0.7389</v>
      </c>
      <c r="CU16">
        <v>0.72870000000000001</v>
      </c>
      <c r="CV16">
        <v>0</v>
      </c>
      <c r="CW16">
        <v>0.76349999999999996</v>
      </c>
      <c r="CX16">
        <v>0.77190000000000003</v>
      </c>
      <c r="CY16">
        <v>0.74519999999999997</v>
      </c>
      <c r="CZ16">
        <v>0.71899999999999997</v>
      </c>
      <c r="DA16">
        <v>0.73939999999999995</v>
      </c>
      <c r="DB16">
        <v>0.73670000000000002</v>
      </c>
      <c r="DC16">
        <v>0.73650000000000004</v>
      </c>
      <c r="DD16">
        <v>0.74439999999999995</v>
      </c>
      <c r="DE16">
        <v>0.75139999999999996</v>
      </c>
      <c r="DF16">
        <v>0.75249999999999995</v>
      </c>
      <c r="DG16">
        <v>0.73399999999999999</v>
      </c>
      <c r="DH16">
        <v>0.74709999999999999</v>
      </c>
      <c r="DI16">
        <v>0.76400000000000001</v>
      </c>
      <c r="DJ16">
        <v>0.78449999999999998</v>
      </c>
      <c r="DK16">
        <v>0.74870000000000003</v>
      </c>
      <c r="DL16">
        <v>0.6956</v>
      </c>
      <c r="DM16">
        <v>0.68910000000000005</v>
      </c>
      <c r="DN16">
        <v>0.79</v>
      </c>
      <c r="DO16">
        <v>0.73299999999999998</v>
      </c>
      <c r="DP16">
        <v>0.74260000000000004</v>
      </c>
      <c r="DQ16">
        <v>0.74509999999999998</v>
      </c>
      <c r="DR16">
        <v>0.76</v>
      </c>
      <c r="DS16">
        <v>0.74550000000000005</v>
      </c>
      <c r="DT16">
        <v>0.74780000000000002</v>
      </c>
      <c r="DU16">
        <v>0.73799999999999999</v>
      </c>
      <c r="DV16">
        <v>0.71399999999999997</v>
      </c>
      <c r="DW16">
        <v>0.73509999999999998</v>
      </c>
      <c r="DX16">
        <v>0.78590000000000004</v>
      </c>
      <c r="DY16">
        <v>0.74790000000000001</v>
      </c>
      <c r="DZ16">
        <v>0.7087</v>
      </c>
      <c r="EA16">
        <v>0.70879999999999999</v>
      </c>
      <c r="EB16">
        <v>0.73699999999999999</v>
      </c>
      <c r="EC16">
        <v>0.70430000000000004</v>
      </c>
      <c r="ED16">
        <v>0.66110000000000002</v>
      </c>
      <c r="EE16">
        <v>0.75039999999999996</v>
      </c>
      <c r="EF16">
        <v>0.74439999999999995</v>
      </c>
      <c r="EG16">
        <v>0.73750000000000004</v>
      </c>
      <c r="EH16">
        <v>0.74619999999999997</v>
      </c>
      <c r="EI16">
        <v>0.74760000000000004</v>
      </c>
      <c r="EJ16">
        <v>0.74880000000000002</v>
      </c>
      <c r="EK16">
        <v>0.72160000000000002</v>
      </c>
      <c r="EL16">
        <v>0.68210000000000004</v>
      </c>
      <c r="EM16">
        <v>0.68779999999999997</v>
      </c>
      <c r="EN16">
        <v>0.72040000000000004</v>
      </c>
      <c r="EO16">
        <v>0.71379999999999999</v>
      </c>
      <c r="EP16">
        <v>0.76</v>
      </c>
      <c r="EQ16">
        <v>0.71930000000000005</v>
      </c>
      <c r="ER16">
        <v>0.71799999999999997</v>
      </c>
      <c r="ES16">
        <v>0.71089999999999998</v>
      </c>
      <c r="ET16">
        <v>0.751</v>
      </c>
      <c r="EU16">
        <v>0.75329999999999997</v>
      </c>
      <c r="EV16">
        <v>0.77969999999999995</v>
      </c>
      <c r="EW16">
        <v>0.77969999999999995</v>
      </c>
      <c r="EX16">
        <v>0.77239999999999998</v>
      </c>
      <c r="EY16">
        <v>0.74219999999999997</v>
      </c>
      <c r="EZ16">
        <v>0.76090000000000002</v>
      </c>
      <c r="FA16">
        <v>0.70040000000000002</v>
      </c>
      <c r="FB16">
        <v>0.72629999999999995</v>
      </c>
      <c r="FC16">
        <v>0.72019999999999995</v>
      </c>
      <c r="FD16">
        <v>0.73799999999999999</v>
      </c>
      <c r="FE16">
        <v>0.74039999999999995</v>
      </c>
      <c r="FF16">
        <v>0.74739999999999995</v>
      </c>
      <c r="FG16">
        <v>0</v>
      </c>
      <c r="FH16">
        <v>0.75049999999999994</v>
      </c>
      <c r="FI16">
        <v>0.72609999999999997</v>
      </c>
      <c r="FJ16">
        <v>0.72840000000000005</v>
      </c>
      <c r="FK16">
        <v>0.73299999999999998</v>
      </c>
      <c r="FL16">
        <v>0.74119999999999997</v>
      </c>
      <c r="FM16">
        <v>0.74109999999999998</v>
      </c>
      <c r="FN16">
        <v>0.78710000000000002</v>
      </c>
      <c r="FO16">
        <v>0.75270000000000004</v>
      </c>
      <c r="FP16">
        <v>0.74439999999999995</v>
      </c>
      <c r="FQ16">
        <v>0.70220000000000005</v>
      </c>
      <c r="FR16">
        <v>0.66110000000000002</v>
      </c>
      <c r="FS16">
        <v>0.73919999999999997</v>
      </c>
      <c r="FT16">
        <v>0.66139999999999999</v>
      </c>
      <c r="FU16">
        <v>0.71709999999999996</v>
      </c>
      <c r="FV16">
        <v>0.72929999999999995</v>
      </c>
      <c r="FW16">
        <v>0.75800000000000001</v>
      </c>
      <c r="FX16">
        <v>0.81210000000000004</v>
      </c>
      <c r="FY16">
        <v>0.81410000000000005</v>
      </c>
      <c r="FZ16">
        <v>0.79710000000000003</v>
      </c>
      <c r="GA16">
        <v>0.75419999999999998</v>
      </c>
      <c r="GB16">
        <v>0.71640000000000004</v>
      </c>
      <c r="GC16">
        <v>0.74239999999999995</v>
      </c>
      <c r="GD16">
        <v>0.74119999999999997</v>
      </c>
      <c r="GE16">
        <v>0.74929999999999997</v>
      </c>
      <c r="GF16">
        <v>0.68</v>
      </c>
      <c r="GG16">
        <v>0.75360000000000005</v>
      </c>
      <c r="GH16">
        <v>0.69650000000000001</v>
      </c>
      <c r="GI16">
        <v>0.70960000000000001</v>
      </c>
      <c r="GJ16">
        <v>0.70709999999999995</v>
      </c>
      <c r="GK16">
        <v>0.78569999999999995</v>
      </c>
      <c r="GL16">
        <v>0.80830000000000002</v>
      </c>
      <c r="GM16">
        <v>0.69889999999999997</v>
      </c>
      <c r="GN16">
        <v>0.76590000000000003</v>
      </c>
      <c r="GO16">
        <v>0.76870000000000005</v>
      </c>
      <c r="GP16">
        <v>0.76890000000000003</v>
      </c>
      <c r="GQ16">
        <v>0.7661</v>
      </c>
      <c r="GR16">
        <v>0.75819999999999999</v>
      </c>
      <c r="GS16">
        <v>0.76859999999999995</v>
      </c>
      <c r="GT16">
        <v>0.76700000000000002</v>
      </c>
      <c r="GU16">
        <v>0.77070000000000005</v>
      </c>
      <c r="GV16">
        <v>0.76900000000000002</v>
      </c>
      <c r="GW16">
        <v>0.76829999999999998</v>
      </c>
      <c r="GX16">
        <v>0.75290000000000001</v>
      </c>
      <c r="GY16">
        <v>0.74419999999999997</v>
      </c>
      <c r="GZ16">
        <v>0.7319</v>
      </c>
      <c r="HA16">
        <v>0.74039999999999995</v>
      </c>
      <c r="HB16">
        <v>0</v>
      </c>
      <c r="HC16">
        <v>0.73370000000000002</v>
      </c>
      <c r="HD16">
        <v>0.74639999999999995</v>
      </c>
      <c r="HE16">
        <v>0.73370000000000002</v>
      </c>
      <c r="HF16">
        <v>0.72309999999999997</v>
      </c>
      <c r="HG16">
        <v>0.72450000000000003</v>
      </c>
      <c r="HH16">
        <v>0.74029999999999996</v>
      </c>
      <c r="HI16">
        <v>0.74660000000000004</v>
      </c>
      <c r="HJ16">
        <v>0.73729999999999996</v>
      </c>
      <c r="HK16">
        <v>0.7974</v>
      </c>
      <c r="HL16">
        <v>0.74299999999999999</v>
      </c>
      <c r="HM16">
        <v>0.73119999999999996</v>
      </c>
      <c r="HN16">
        <v>0.73660000000000003</v>
      </c>
      <c r="HO16">
        <v>0.7329</v>
      </c>
      <c r="HP16">
        <v>0.72789999999999999</v>
      </c>
      <c r="HQ16">
        <v>0.73729999999999996</v>
      </c>
      <c r="HR16">
        <v>0.74780000000000002</v>
      </c>
      <c r="HS16">
        <v>0.72750000000000004</v>
      </c>
      <c r="HT16">
        <v>0.72789999999999999</v>
      </c>
      <c r="HU16">
        <v>0.70640000000000003</v>
      </c>
      <c r="HV16">
        <v>0.69489999999999996</v>
      </c>
      <c r="HW16">
        <v>0.78649999999999998</v>
      </c>
      <c r="HX16">
        <v>0.78820000000000001</v>
      </c>
      <c r="HY16">
        <v>0.80230000000000001</v>
      </c>
      <c r="HZ16">
        <v>0.74729999999999996</v>
      </c>
      <c r="IA16">
        <v>0.7641</v>
      </c>
      <c r="IB16">
        <v>0.74690000000000001</v>
      </c>
      <c r="IC16">
        <v>0.75580000000000003</v>
      </c>
      <c r="ID16">
        <v>0.75529999999999997</v>
      </c>
    </row>
    <row r="17" spans="1:238" x14ac:dyDescent="0.25">
      <c r="A17">
        <v>16</v>
      </c>
      <c r="B17">
        <v>0.75770000000000004</v>
      </c>
      <c r="C17">
        <v>0.74909999999999999</v>
      </c>
      <c r="D17">
        <v>0.75080000000000002</v>
      </c>
      <c r="E17">
        <v>0.73370000000000002</v>
      </c>
      <c r="F17">
        <v>0.71050000000000002</v>
      </c>
      <c r="G17">
        <v>0.7026</v>
      </c>
      <c r="H17">
        <v>0.70030000000000003</v>
      </c>
      <c r="I17">
        <v>0.77249999999999996</v>
      </c>
      <c r="J17">
        <v>0.75549999999999995</v>
      </c>
      <c r="K17">
        <v>0.79749999999999999</v>
      </c>
      <c r="L17">
        <v>0.77349999999999997</v>
      </c>
      <c r="M17">
        <v>0.79459999999999997</v>
      </c>
      <c r="N17">
        <v>0.76619999999999999</v>
      </c>
      <c r="O17">
        <v>0.73609999999999998</v>
      </c>
      <c r="P17">
        <v>0.72240000000000004</v>
      </c>
      <c r="Q17">
        <v>0.72040000000000004</v>
      </c>
      <c r="R17">
        <v>0.75060000000000004</v>
      </c>
      <c r="S17">
        <v>0.75270000000000004</v>
      </c>
      <c r="T17">
        <v>0.74129999999999996</v>
      </c>
      <c r="U17">
        <v>0.74809999999999999</v>
      </c>
      <c r="V17">
        <v>0.71719999999999995</v>
      </c>
      <c r="W17">
        <v>0.70179999999999998</v>
      </c>
      <c r="X17">
        <v>0.70840000000000003</v>
      </c>
      <c r="Y17">
        <v>0.72389999999999999</v>
      </c>
      <c r="Z17">
        <v>0.70199999999999996</v>
      </c>
      <c r="AA17">
        <v>0.71150000000000002</v>
      </c>
      <c r="AB17">
        <v>0.71299999999999997</v>
      </c>
      <c r="AC17">
        <v>0.73819999999999997</v>
      </c>
      <c r="AD17">
        <v>0.80310000000000004</v>
      </c>
      <c r="AE17">
        <v>0.74809999999999999</v>
      </c>
      <c r="AF17">
        <v>0.75149999999999995</v>
      </c>
      <c r="AG17">
        <v>0.75370000000000004</v>
      </c>
      <c r="AH17">
        <v>0.80830000000000002</v>
      </c>
      <c r="AI17">
        <v>0.75419999999999998</v>
      </c>
      <c r="AJ17">
        <v>0.75070000000000003</v>
      </c>
      <c r="AK17">
        <v>0.78369999999999995</v>
      </c>
      <c r="AL17">
        <v>0.75360000000000005</v>
      </c>
      <c r="AM17">
        <v>0.7349</v>
      </c>
      <c r="AN17">
        <v>0.75180000000000002</v>
      </c>
      <c r="AO17">
        <v>0.75939999999999996</v>
      </c>
      <c r="AP17">
        <v>0.79430000000000001</v>
      </c>
      <c r="AQ17">
        <v>0.73119999999999996</v>
      </c>
      <c r="AR17">
        <v>0.77549999999999997</v>
      </c>
      <c r="AS17">
        <v>0.79749999999999999</v>
      </c>
      <c r="AT17">
        <v>0.82430000000000003</v>
      </c>
      <c r="AU17">
        <v>0.72370000000000001</v>
      </c>
      <c r="AV17">
        <v>0.76529999999999998</v>
      </c>
      <c r="AW17">
        <v>0.76359999999999995</v>
      </c>
      <c r="AX17">
        <v>0.70879999999999999</v>
      </c>
      <c r="AY17">
        <v>0.74309999999999998</v>
      </c>
      <c r="AZ17">
        <v>0.72899999999999998</v>
      </c>
      <c r="BA17">
        <v>0.74729999999999996</v>
      </c>
      <c r="BB17">
        <v>0.76429999999999998</v>
      </c>
      <c r="BC17">
        <v>0.75649999999999995</v>
      </c>
      <c r="BD17">
        <v>0.76</v>
      </c>
      <c r="BE17">
        <v>0.75090000000000001</v>
      </c>
      <c r="BF17">
        <v>0.75339999999999996</v>
      </c>
      <c r="BG17">
        <v>0.74409999999999998</v>
      </c>
      <c r="BH17">
        <v>0.71279999999999999</v>
      </c>
      <c r="BI17">
        <v>0.75360000000000005</v>
      </c>
      <c r="BJ17">
        <v>0.75429999999999997</v>
      </c>
      <c r="BK17">
        <v>0.75490000000000002</v>
      </c>
      <c r="BL17">
        <v>0.74450000000000005</v>
      </c>
      <c r="BM17">
        <v>0.74509999999999998</v>
      </c>
      <c r="BN17">
        <v>0.74729999999999996</v>
      </c>
      <c r="BO17">
        <v>0.75480000000000003</v>
      </c>
      <c r="BP17">
        <v>0.75580000000000003</v>
      </c>
      <c r="BQ17">
        <v>0.77010000000000001</v>
      </c>
      <c r="BR17">
        <v>0.75890000000000002</v>
      </c>
      <c r="BS17">
        <v>0.76149999999999995</v>
      </c>
      <c r="BT17">
        <v>0.76939999999999997</v>
      </c>
      <c r="BU17">
        <v>0.76490000000000002</v>
      </c>
      <c r="BV17">
        <v>0.75309999999999999</v>
      </c>
      <c r="BW17">
        <v>0.75449999999999995</v>
      </c>
      <c r="BX17">
        <v>0.73160000000000003</v>
      </c>
      <c r="BY17">
        <v>0.74009999999999998</v>
      </c>
      <c r="BZ17">
        <v>0.75060000000000004</v>
      </c>
      <c r="CA17">
        <v>0.80389999999999995</v>
      </c>
      <c r="CB17">
        <v>0.79569999999999996</v>
      </c>
      <c r="CC17">
        <v>0.73399999999999999</v>
      </c>
      <c r="CD17">
        <v>0.74880000000000002</v>
      </c>
      <c r="CE17">
        <v>0.7571</v>
      </c>
      <c r="CF17">
        <v>0.75390000000000001</v>
      </c>
      <c r="CG17">
        <v>0.75470000000000004</v>
      </c>
      <c r="CH17">
        <v>0.75649999999999995</v>
      </c>
      <c r="CI17">
        <v>0.75770000000000004</v>
      </c>
      <c r="CJ17">
        <v>0.7601</v>
      </c>
      <c r="CK17">
        <v>0.75929999999999997</v>
      </c>
      <c r="CL17">
        <v>0.75629999999999997</v>
      </c>
      <c r="CM17">
        <v>0.77349999999999997</v>
      </c>
      <c r="CN17">
        <v>0.75319999999999998</v>
      </c>
      <c r="CO17">
        <v>0.75139999999999996</v>
      </c>
      <c r="CP17">
        <v>0.74970000000000003</v>
      </c>
      <c r="CQ17">
        <v>0.74399999999999999</v>
      </c>
      <c r="CR17">
        <v>0.74019999999999997</v>
      </c>
      <c r="CS17">
        <v>0.73899999999999999</v>
      </c>
      <c r="CT17">
        <v>0.74780000000000002</v>
      </c>
      <c r="CU17">
        <v>0.73680000000000001</v>
      </c>
      <c r="CV17">
        <v>0</v>
      </c>
      <c r="CW17">
        <v>0.77329999999999999</v>
      </c>
      <c r="CX17">
        <v>0.78220000000000001</v>
      </c>
      <c r="CY17">
        <v>0.75429999999999997</v>
      </c>
      <c r="CZ17">
        <v>0.72609999999999997</v>
      </c>
      <c r="DA17">
        <v>0.74790000000000001</v>
      </c>
      <c r="DB17">
        <v>0.7409</v>
      </c>
      <c r="DC17">
        <v>0.74080000000000001</v>
      </c>
      <c r="DD17">
        <v>0.74639999999999995</v>
      </c>
      <c r="DE17">
        <v>0.75209999999999999</v>
      </c>
      <c r="DF17">
        <v>0.75290000000000001</v>
      </c>
      <c r="DG17">
        <v>0.74219999999999997</v>
      </c>
      <c r="DH17">
        <v>0.75629999999999997</v>
      </c>
      <c r="DI17">
        <v>0.76529999999999998</v>
      </c>
      <c r="DJ17">
        <v>0.79520000000000002</v>
      </c>
      <c r="DK17">
        <v>0.7581</v>
      </c>
      <c r="DL17">
        <v>0.70050000000000001</v>
      </c>
      <c r="DM17">
        <v>0.69479999999999997</v>
      </c>
      <c r="DN17">
        <v>0.78849999999999998</v>
      </c>
      <c r="DO17">
        <v>0.74009999999999998</v>
      </c>
      <c r="DP17">
        <v>0.75119999999999998</v>
      </c>
      <c r="DQ17">
        <v>0.75039999999999996</v>
      </c>
      <c r="DR17">
        <v>0.75990000000000002</v>
      </c>
      <c r="DS17">
        <v>0.75460000000000005</v>
      </c>
      <c r="DT17">
        <v>0.7571</v>
      </c>
      <c r="DU17">
        <v>0.74650000000000005</v>
      </c>
      <c r="DV17">
        <v>0.71899999999999997</v>
      </c>
      <c r="DW17">
        <v>0.74380000000000002</v>
      </c>
      <c r="DX17">
        <v>0.79700000000000004</v>
      </c>
      <c r="DY17">
        <v>0.74870000000000003</v>
      </c>
      <c r="DZ17">
        <v>0.71350000000000002</v>
      </c>
      <c r="EA17">
        <v>0.7137</v>
      </c>
      <c r="EB17">
        <v>0.74519999999999997</v>
      </c>
      <c r="EC17">
        <v>0.71060000000000001</v>
      </c>
      <c r="ED17">
        <v>0.66110000000000002</v>
      </c>
      <c r="EE17">
        <v>0.75980000000000003</v>
      </c>
      <c r="EF17">
        <v>0.753</v>
      </c>
      <c r="EG17">
        <v>0.74670000000000003</v>
      </c>
      <c r="EH17">
        <v>0.75539999999999996</v>
      </c>
      <c r="EI17">
        <v>0.75690000000000002</v>
      </c>
      <c r="EJ17">
        <v>0.75819999999999999</v>
      </c>
      <c r="EK17">
        <v>0.72689999999999999</v>
      </c>
      <c r="EL17">
        <v>0.68700000000000006</v>
      </c>
      <c r="EM17">
        <v>0.69279999999999997</v>
      </c>
      <c r="EN17">
        <v>0.72760000000000002</v>
      </c>
      <c r="EO17">
        <v>0.72089999999999999</v>
      </c>
      <c r="EP17">
        <v>0.75990000000000002</v>
      </c>
      <c r="EQ17">
        <v>0.72699999999999998</v>
      </c>
      <c r="ER17">
        <v>0.72430000000000005</v>
      </c>
      <c r="ES17">
        <v>0.71719999999999995</v>
      </c>
      <c r="ET17">
        <v>0.75209999999999999</v>
      </c>
      <c r="EU17">
        <v>0.75449999999999995</v>
      </c>
      <c r="EV17">
        <v>0.79149999999999998</v>
      </c>
      <c r="EW17">
        <v>0.79149999999999998</v>
      </c>
      <c r="EX17">
        <v>0.7833</v>
      </c>
      <c r="EY17">
        <v>0.75070000000000003</v>
      </c>
      <c r="EZ17">
        <v>0.77159999999999995</v>
      </c>
      <c r="FA17">
        <v>0.70599999999999996</v>
      </c>
      <c r="FB17">
        <v>0.73360000000000003</v>
      </c>
      <c r="FC17">
        <v>0.72709999999999997</v>
      </c>
      <c r="FD17">
        <v>0.74639999999999995</v>
      </c>
      <c r="FE17">
        <v>0.74880000000000002</v>
      </c>
      <c r="FF17">
        <v>0.748</v>
      </c>
      <c r="FG17">
        <v>0</v>
      </c>
      <c r="FH17">
        <v>0.75470000000000004</v>
      </c>
      <c r="FI17">
        <v>0.73399999999999999</v>
      </c>
      <c r="FJ17">
        <v>0.72940000000000005</v>
      </c>
      <c r="FK17">
        <v>0.73409999999999997</v>
      </c>
      <c r="FL17">
        <v>0.74970000000000003</v>
      </c>
      <c r="FM17">
        <v>0.74950000000000006</v>
      </c>
      <c r="FN17">
        <v>0.79810000000000003</v>
      </c>
      <c r="FO17">
        <v>0.76259999999999994</v>
      </c>
      <c r="FP17">
        <v>0.75349999999999995</v>
      </c>
      <c r="FQ17">
        <v>0.70309999999999995</v>
      </c>
      <c r="FR17">
        <v>0.66110000000000002</v>
      </c>
      <c r="FS17">
        <v>0.74339999999999995</v>
      </c>
      <c r="FT17">
        <v>0.66139999999999999</v>
      </c>
      <c r="FU17">
        <v>0.7198</v>
      </c>
      <c r="FV17">
        <v>0.73770000000000002</v>
      </c>
      <c r="FW17">
        <v>0.76800000000000002</v>
      </c>
      <c r="FX17">
        <v>0.82420000000000004</v>
      </c>
      <c r="FY17">
        <v>0.82940000000000003</v>
      </c>
      <c r="FZ17">
        <v>0.80859999999999999</v>
      </c>
      <c r="GA17">
        <v>0.76380000000000003</v>
      </c>
      <c r="GB17">
        <v>0.72360000000000002</v>
      </c>
      <c r="GC17">
        <v>0.74329999999999996</v>
      </c>
      <c r="GD17">
        <v>0.74209999999999998</v>
      </c>
      <c r="GE17">
        <v>0.74990000000000001</v>
      </c>
      <c r="GF17">
        <v>0.6804</v>
      </c>
      <c r="GG17">
        <v>0.75480000000000003</v>
      </c>
      <c r="GH17">
        <v>0.70140000000000002</v>
      </c>
      <c r="GI17">
        <v>0.71440000000000003</v>
      </c>
      <c r="GJ17">
        <v>0.7117</v>
      </c>
      <c r="GK17">
        <v>0.79679999999999995</v>
      </c>
      <c r="GL17">
        <v>0.82040000000000002</v>
      </c>
      <c r="GM17">
        <v>0.70350000000000001</v>
      </c>
      <c r="GN17">
        <v>0.76480000000000004</v>
      </c>
      <c r="GO17">
        <v>0.7681</v>
      </c>
      <c r="GP17">
        <v>0.76839999999999997</v>
      </c>
      <c r="GQ17">
        <v>0.76580000000000004</v>
      </c>
      <c r="GR17">
        <v>0.75749999999999995</v>
      </c>
      <c r="GS17">
        <v>0.76800000000000002</v>
      </c>
      <c r="GT17">
        <v>0.76739999999999997</v>
      </c>
      <c r="GU17">
        <v>0.77129999999999999</v>
      </c>
      <c r="GV17">
        <v>0.76849999999999996</v>
      </c>
      <c r="GW17">
        <v>0.76770000000000005</v>
      </c>
      <c r="GX17">
        <v>0.75170000000000003</v>
      </c>
      <c r="GY17">
        <v>0.75319999999999998</v>
      </c>
      <c r="GZ17">
        <v>0.74009999999999998</v>
      </c>
      <c r="HA17">
        <v>0.74880000000000002</v>
      </c>
      <c r="HB17">
        <v>0</v>
      </c>
      <c r="HC17">
        <v>0.73960000000000004</v>
      </c>
      <c r="HD17">
        <v>0.75560000000000005</v>
      </c>
      <c r="HE17">
        <v>0.73960000000000004</v>
      </c>
      <c r="HF17">
        <v>0.73019999999999996</v>
      </c>
      <c r="HG17">
        <v>0.73170000000000002</v>
      </c>
      <c r="HH17">
        <v>0.74890000000000001</v>
      </c>
      <c r="HI17">
        <v>0.75429999999999997</v>
      </c>
      <c r="HJ17">
        <v>0.74209999999999998</v>
      </c>
      <c r="HK17">
        <v>0.80859999999999999</v>
      </c>
      <c r="HL17">
        <v>0.75149999999999995</v>
      </c>
      <c r="HM17">
        <v>0.73540000000000005</v>
      </c>
      <c r="HN17">
        <v>0.74080000000000001</v>
      </c>
      <c r="HO17">
        <v>0.7369</v>
      </c>
      <c r="HP17">
        <v>0.73360000000000003</v>
      </c>
      <c r="HQ17">
        <v>0.746</v>
      </c>
      <c r="HR17">
        <v>0.74299999999999999</v>
      </c>
      <c r="HS17">
        <v>0.73440000000000005</v>
      </c>
      <c r="HT17">
        <v>0.73360000000000003</v>
      </c>
      <c r="HU17">
        <v>0.71179999999999999</v>
      </c>
      <c r="HV17">
        <v>0.69589999999999996</v>
      </c>
      <c r="HW17">
        <v>0.79730000000000001</v>
      </c>
      <c r="HX17">
        <v>0.79900000000000004</v>
      </c>
      <c r="HY17">
        <v>0.82179999999999997</v>
      </c>
      <c r="HZ17">
        <v>0.74790000000000001</v>
      </c>
      <c r="IA17">
        <v>0.76300000000000001</v>
      </c>
      <c r="IB17">
        <v>0.74739999999999995</v>
      </c>
      <c r="IC17">
        <v>0.75649999999999995</v>
      </c>
      <c r="ID17">
        <v>0.75629999999999997</v>
      </c>
    </row>
    <row r="18" spans="1:238" x14ac:dyDescent="0.25">
      <c r="A18">
        <v>17</v>
      </c>
      <c r="B18">
        <v>23.166399999999999</v>
      </c>
      <c r="C18">
        <v>22.679200000000002</v>
      </c>
      <c r="D18">
        <v>22.7334</v>
      </c>
      <c r="E18">
        <v>22.244800000000001</v>
      </c>
      <c r="F18">
        <v>21.5197</v>
      </c>
      <c r="G18">
        <v>21.339099999999998</v>
      </c>
      <c r="H18">
        <v>21.256</v>
      </c>
      <c r="I18">
        <v>23.599900000000002</v>
      </c>
      <c r="J18">
        <v>22.9467</v>
      </c>
      <c r="K18">
        <v>24.368400000000001</v>
      </c>
      <c r="L18">
        <v>23.565899999999999</v>
      </c>
      <c r="M18">
        <v>24.258600000000001</v>
      </c>
      <c r="N18">
        <v>23.218499999999999</v>
      </c>
      <c r="O18">
        <v>22.384499999999999</v>
      </c>
      <c r="P18">
        <v>21.889700000000001</v>
      </c>
      <c r="Q18">
        <v>21.847300000000001</v>
      </c>
      <c r="R18">
        <v>22.726600000000001</v>
      </c>
      <c r="S18">
        <v>22.786300000000001</v>
      </c>
      <c r="T18">
        <v>22.407599999999999</v>
      </c>
      <c r="U18">
        <v>22.697299999999998</v>
      </c>
      <c r="V18">
        <v>21.749400000000001</v>
      </c>
      <c r="W18">
        <v>21.252500000000001</v>
      </c>
      <c r="X18">
        <v>21.463799999999999</v>
      </c>
      <c r="Y18">
        <v>21.946000000000002</v>
      </c>
      <c r="Z18">
        <v>21.331499999999998</v>
      </c>
      <c r="AA18">
        <v>21.636299999999999</v>
      </c>
      <c r="AB18">
        <v>21.687799999999999</v>
      </c>
      <c r="AC18">
        <v>22.459599999999998</v>
      </c>
      <c r="AD18">
        <v>24.5288</v>
      </c>
      <c r="AE18">
        <v>22.645900000000001</v>
      </c>
      <c r="AF18">
        <v>22.784099999999999</v>
      </c>
      <c r="AG18">
        <v>22.860600000000002</v>
      </c>
      <c r="AH18">
        <v>24.698699999999999</v>
      </c>
      <c r="AI18">
        <v>23.060099999999998</v>
      </c>
      <c r="AJ18">
        <v>22.931899999999999</v>
      </c>
      <c r="AK18">
        <v>23.901599999999998</v>
      </c>
      <c r="AL18">
        <v>22.8931</v>
      </c>
      <c r="AM18">
        <v>22.379300000000001</v>
      </c>
      <c r="AN18">
        <v>22.837700000000002</v>
      </c>
      <c r="AO18">
        <v>23.225300000000001</v>
      </c>
      <c r="AP18">
        <v>24.3949</v>
      </c>
      <c r="AQ18">
        <v>22.297499999999999</v>
      </c>
      <c r="AR18">
        <v>23.629000000000001</v>
      </c>
      <c r="AS18">
        <v>24.5002</v>
      </c>
      <c r="AT18">
        <v>25.2149</v>
      </c>
      <c r="AU18">
        <v>21.9285</v>
      </c>
      <c r="AV18">
        <v>23.059200000000001</v>
      </c>
      <c r="AW18">
        <v>23.014199999999999</v>
      </c>
      <c r="AX18">
        <v>21.478000000000002</v>
      </c>
      <c r="AY18">
        <v>22.217099999999999</v>
      </c>
      <c r="AZ18">
        <v>21.733799999999999</v>
      </c>
      <c r="BA18">
        <v>22.6538</v>
      </c>
      <c r="BB18">
        <v>22.995899999999999</v>
      </c>
      <c r="BC18">
        <v>22.785699999999999</v>
      </c>
      <c r="BD18">
        <v>22.947900000000001</v>
      </c>
      <c r="BE18">
        <v>22.764700000000001</v>
      </c>
      <c r="BF18">
        <v>22.794</v>
      </c>
      <c r="BG18">
        <v>22.305</v>
      </c>
      <c r="BH18">
        <v>21.587499999999999</v>
      </c>
      <c r="BI18">
        <v>22.603999999999999</v>
      </c>
      <c r="BJ18">
        <v>22.716200000000001</v>
      </c>
      <c r="BK18">
        <v>22.7334</v>
      </c>
      <c r="BL18">
        <v>22.327999999999999</v>
      </c>
      <c r="BM18">
        <v>22.352399999999999</v>
      </c>
      <c r="BN18">
        <v>22.512799999999999</v>
      </c>
      <c r="BO18">
        <v>22.749700000000001</v>
      </c>
      <c r="BP18">
        <v>22.7788</v>
      </c>
      <c r="BQ18">
        <v>23.180700000000002</v>
      </c>
      <c r="BR18">
        <v>22.8369</v>
      </c>
      <c r="BS18">
        <v>22.901499999999999</v>
      </c>
      <c r="BT18">
        <v>23.12</v>
      </c>
      <c r="BU18">
        <v>23.007400000000001</v>
      </c>
      <c r="BV18">
        <v>22.628900000000002</v>
      </c>
      <c r="BW18">
        <v>22.7197</v>
      </c>
      <c r="BX18">
        <v>22.1342</v>
      </c>
      <c r="BY18">
        <v>22.353100000000001</v>
      </c>
      <c r="BZ18">
        <v>22.702999999999999</v>
      </c>
      <c r="CA18">
        <v>24.557500000000001</v>
      </c>
      <c r="CB18">
        <v>24.2897</v>
      </c>
      <c r="CC18">
        <v>22.35</v>
      </c>
      <c r="CD18">
        <v>22.607600000000001</v>
      </c>
      <c r="CE18">
        <v>22.924700000000001</v>
      </c>
      <c r="CF18">
        <v>22.900099999999998</v>
      </c>
      <c r="CG18">
        <v>22.9282</v>
      </c>
      <c r="CH18">
        <v>22.975899999999999</v>
      </c>
      <c r="CI18">
        <v>23.0137</v>
      </c>
      <c r="CJ18">
        <v>23.095199999999998</v>
      </c>
      <c r="CK18">
        <v>23.0701</v>
      </c>
      <c r="CL18">
        <v>22.974499999999999</v>
      </c>
      <c r="CM18">
        <v>23.619700000000002</v>
      </c>
      <c r="CN18">
        <v>22.885999999999999</v>
      </c>
      <c r="CO18">
        <v>22.825199999999999</v>
      </c>
      <c r="CP18">
        <v>22.763400000000001</v>
      </c>
      <c r="CQ18">
        <v>22.581900000000001</v>
      </c>
      <c r="CR18">
        <v>22.353100000000001</v>
      </c>
      <c r="CS18">
        <v>22.535799999999998</v>
      </c>
      <c r="CT18">
        <v>22.804300000000001</v>
      </c>
      <c r="CU18">
        <v>22.4162</v>
      </c>
      <c r="CV18">
        <v>0</v>
      </c>
      <c r="CW18">
        <v>23.558499999999999</v>
      </c>
      <c r="CX18">
        <v>23.849499999999999</v>
      </c>
      <c r="CY18">
        <v>22.922599999999999</v>
      </c>
      <c r="CZ18">
        <v>22.009</v>
      </c>
      <c r="DA18">
        <v>22.8508</v>
      </c>
      <c r="DB18">
        <v>22.398099999999999</v>
      </c>
      <c r="DC18">
        <v>22.396899999999999</v>
      </c>
      <c r="DD18">
        <v>22.514700000000001</v>
      </c>
      <c r="DE18">
        <v>22.654900000000001</v>
      </c>
      <c r="DF18">
        <v>22.675599999999999</v>
      </c>
      <c r="DG18">
        <v>22.5352</v>
      </c>
      <c r="DH18">
        <v>22.986799999999999</v>
      </c>
      <c r="DI18">
        <v>22.9876</v>
      </c>
      <c r="DJ18">
        <v>24.274999999999999</v>
      </c>
      <c r="DK18">
        <v>23.043099999999999</v>
      </c>
      <c r="DL18">
        <v>21.2514</v>
      </c>
      <c r="DM18">
        <v>21.0307</v>
      </c>
      <c r="DN18">
        <v>23.916599999999999</v>
      </c>
      <c r="DO18">
        <v>22.586200000000002</v>
      </c>
      <c r="DP18">
        <v>22.783899999999999</v>
      </c>
      <c r="DQ18">
        <v>22.744599999999998</v>
      </c>
      <c r="DR18">
        <v>22.879799999999999</v>
      </c>
      <c r="DS18">
        <v>22.926500000000001</v>
      </c>
      <c r="DT18">
        <v>23.0031</v>
      </c>
      <c r="DU18">
        <v>22.580200000000001</v>
      </c>
      <c r="DV18">
        <v>21.780200000000001</v>
      </c>
      <c r="DW18">
        <v>22.611999999999998</v>
      </c>
      <c r="DX18">
        <v>24.351199999999999</v>
      </c>
      <c r="DY18">
        <v>22.563800000000001</v>
      </c>
      <c r="DZ18">
        <v>21.6081</v>
      </c>
      <c r="EA18">
        <v>21.613800000000001</v>
      </c>
      <c r="EB18">
        <v>22.521599999999999</v>
      </c>
      <c r="EC18">
        <v>21.5305</v>
      </c>
      <c r="ED18">
        <v>20.085899999999999</v>
      </c>
      <c r="EE18">
        <v>23.187899999999999</v>
      </c>
      <c r="EF18">
        <v>22.8355</v>
      </c>
      <c r="EG18">
        <v>22.711300000000001</v>
      </c>
      <c r="EH18">
        <v>22.951000000000001</v>
      </c>
      <c r="EI18">
        <v>22.999300000000002</v>
      </c>
      <c r="EJ18">
        <v>23.043399999999998</v>
      </c>
      <c r="EK18">
        <v>22.027999999999999</v>
      </c>
      <c r="EL18">
        <v>20.872</v>
      </c>
      <c r="EM18">
        <v>21.043700000000001</v>
      </c>
      <c r="EN18">
        <v>22.058900000000001</v>
      </c>
      <c r="EO18">
        <v>21.854600000000001</v>
      </c>
      <c r="EP18">
        <v>22.881</v>
      </c>
      <c r="EQ18">
        <v>22.042100000000001</v>
      </c>
      <c r="ER18">
        <v>21.944500000000001</v>
      </c>
      <c r="ES18">
        <v>21.729800000000001</v>
      </c>
      <c r="ET18">
        <v>22.6678</v>
      </c>
      <c r="EU18">
        <v>22.741</v>
      </c>
      <c r="EV18">
        <v>24.252600000000001</v>
      </c>
      <c r="EW18">
        <v>24.252600000000001</v>
      </c>
      <c r="EX18">
        <v>23.964400000000001</v>
      </c>
      <c r="EY18">
        <v>22.750499999999999</v>
      </c>
      <c r="EZ18">
        <v>23.499300000000002</v>
      </c>
      <c r="FA18">
        <v>21.370899999999999</v>
      </c>
      <c r="FB18">
        <v>22.267600000000002</v>
      </c>
      <c r="FC18">
        <v>22.046600000000002</v>
      </c>
      <c r="FD18">
        <v>22.653500000000001</v>
      </c>
      <c r="FE18">
        <v>22.705300000000001</v>
      </c>
      <c r="FF18">
        <v>22.5411</v>
      </c>
      <c r="FG18">
        <v>0</v>
      </c>
      <c r="FH18">
        <v>22.815899999999999</v>
      </c>
      <c r="FI18">
        <v>22.251899999999999</v>
      </c>
      <c r="FJ18">
        <v>21.757200000000001</v>
      </c>
      <c r="FK18">
        <v>21.958400000000001</v>
      </c>
      <c r="FL18">
        <v>22.731300000000001</v>
      </c>
      <c r="FM18">
        <v>22.7133</v>
      </c>
      <c r="FN18">
        <v>24.378499999999999</v>
      </c>
      <c r="FO18">
        <v>23.2043</v>
      </c>
      <c r="FP18">
        <v>22.8933</v>
      </c>
      <c r="FQ18">
        <v>20.601199999999999</v>
      </c>
      <c r="FR18">
        <v>19.066299999999998</v>
      </c>
      <c r="FS18">
        <v>22.472899999999999</v>
      </c>
      <c r="FT18">
        <v>19.090900000000001</v>
      </c>
      <c r="FU18">
        <v>20.812999999999999</v>
      </c>
      <c r="FV18">
        <v>22.439800000000002</v>
      </c>
      <c r="FW18">
        <v>23.5059</v>
      </c>
      <c r="FX18">
        <v>25.359000000000002</v>
      </c>
      <c r="FY18">
        <v>25.546299999999999</v>
      </c>
      <c r="FZ18">
        <v>24.709499999999998</v>
      </c>
      <c r="GA18">
        <v>23.314599999999999</v>
      </c>
      <c r="GB18">
        <v>21.9482</v>
      </c>
      <c r="GC18">
        <v>22.286999999999999</v>
      </c>
      <c r="GD18">
        <v>22.239100000000001</v>
      </c>
      <c r="GE18">
        <v>22.537400000000002</v>
      </c>
      <c r="GF18">
        <v>19.6084</v>
      </c>
      <c r="GG18">
        <v>22.746700000000001</v>
      </c>
      <c r="GH18">
        <v>21.287099999999999</v>
      </c>
      <c r="GI18">
        <v>21.7041</v>
      </c>
      <c r="GJ18">
        <v>21.6402</v>
      </c>
      <c r="GK18">
        <v>24.442900000000002</v>
      </c>
      <c r="GL18">
        <v>25.2303</v>
      </c>
      <c r="GM18">
        <v>21.377800000000001</v>
      </c>
      <c r="GN18">
        <v>23.0318</v>
      </c>
      <c r="GO18">
        <v>23.145299999999999</v>
      </c>
      <c r="GP18">
        <v>23.153199999999998</v>
      </c>
      <c r="GQ18">
        <v>23.0688</v>
      </c>
      <c r="GR18">
        <v>22.7944</v>
      </c>
      <c r="GS18">
        <v>23.142099999999999</v>
      </c>
      <c r="GT18">
        <v>23.104800000000001</v>
      </c>
      <c r="GU18">
        <v>23.216699999999999</v>
      </c>
      <c r="GV18">
        <v>23.154599999999999</v>
      </c>
      <c r="GW18">
        <v>23.138300000000001</v>
      </c>
      <c r="GX18">
        <v>22.625699999999998</v>
      </c>
      <c r="GY18">
        <v>22.885999999999999</v>
      </c>
      <c r="GZ18">
        <v>22.352900000000002</v>
      </c>
      <c r="HA18">
        <v>22.705500000000001</v>
      </c>
      <c r="HB18">
        <v>0</v>
      </c>
      <c r="HC18">
        <v>22.376300000000001</v>
      </c>
      <c r="HD18">
        <v>22.950600000000001</v>
      </c>
      <c r="HE18">
        <v>22.376300000000001</v>
      </c>
      <c r="HF18">
        <v>22.140699999999999</v>
      </c>
      <c r="HG18">
        <v>22.186499999999999</v>
      </c>
      <c r="HH18">
        <v>22.7392</v>
      </c>
      <c r="HI18">
        <v>22.8291</v>
      </c>
      <c r="HJ18">
        <v>22.438800000000001</v>
      </c>
      <c r="HK18">
        <v>24.707000000000001</v>
      </c>
      <c r="HL18">
        <v>22.783899999999999</v>
      </c>
      <c r="HM18">
        <v>22.222300000000001</v>
      </c>
      <c r="HN18">
        <v>22.3948</v>
      </c>
      <c r="HO18">
        <v>22.265999999999998</v>
      </c>
      <c r="HP18">
        <v>22.1906</v>
      </c>
      <c r="HQ18">
        <v>22.671099999999999</v>
      </c>
      <c r="HR18">
        <v>22.285900000000002</v>
      </c>
      <c r="HS18">
        <v>22.243600000000001</v>
      </c>
      <c r="HT18">
        <v>22.1904</v>
      </c>
      <c r="HU18">
        <v>21.6432</v>
      </c>
      <c r="HV18">
        <v>20.8155</v>
      </c>
      <c r="HW18">
        <v>24.341000000000001</v>
      </c>
      <c r="HX18">
        <v>24.398</v>
      </c>
      <c r="HY18">
        <v>25.1342</v>
      </c>
      <c r="HZ18">
        <v>22.5366</v>
      </c>
      <c r="IA18">
        <v>22.978300000000001</v>
      </c>
      <c r="IB18">
        <v>22.519600000000001</v>
      </c>
      <c r="IC18">
        <v>22.802600000000002</v>
      </c>
      <c r="ID18">
        <v>22.797499999999999</v>
      </c>
    </row>
    <row r="19" spans="1:238" x14ac:dyDescent="0.25">
      <c r="A19">
        <v>18</v>
      </c>
      <c r="B19">
        <v>24.612500000000001</v>
      </c>
      <c r="C19">
        <v>23.946400000000001</v>
      </c>
      <c r="D19">
        <v>24.008700000000001</v>
      </c>
      <c r="E19">
        <v>23.468699999999998</v>
      </c>
      <c r="F19">
        <v>22.641999999999999</v>
      </c>
      <c r="G19">
        <v>22.573699999999999</v>
      </c>
      <c r="H19">
        <v>22.478999999999999</v>
      </c>
      <c r="I19">
        <v>25.0443</v>
      </c>
      <c r="J19">
        <v>24.234000000000002</v>
      </c>
      <c r="K19">
        <v>25.866099999999999</v>
      </c>
      <c r="L19">
        <v>24.962</v>
      </c>
      <c r="M19">
        <v>25.732900000000001</v>
      </c>
      <c r="N19">
        <v>24.5336</v>
      </c>
      <c r="O19">
        <v>23.674700000000001</v>
      </c>
      <c r="P19">
        <v>23.1036</v>
      </c>
      <c r="Q19">
        <v>23.031700000000001</v>
      </c>
      <c r="R19">
        <v>23.9725</v>
      </c>
      <c r="S19">
        <v>24.042899999999999</v>
      </c>
      <c r="T19">
        <v>23.594899999999999</v>
      </c>
      <c r="U19">
        <v>24.001200000000001</v>
      </c>
      <c r="V19">
        <v>22.980599999999999</v>
      </c>
      <c r="W19">
        <v>22.475000000000001</v>
      </c>
      <c r="X19">
        <v>22.688300000000002</v>
      </c>
      <c r="Y19">
        <v>23.174299999999999</v>
      </c>
      <c r="Z19">
        <v>22.573</v>
      </c>
      <c r="AA19">
        <v>22.8931</v>
      </c>
      <c r="AB19">
        <v>22.947099999999999</v>
      </c>
      <c r="AC19">
        <v>23.767700000000001</v>
      </c>
      <c r="AD19">
        <v>26.045100000000001</v>
      </c>
      <c r="AE19">
        <v>23.9087</v>
      </c>
      <c r="AF19">
        <v>24.052099999999999</v>
      </c>
      <c r="AG19">
        <v>24.140999999999998</v>
      </c>
      <c r="AH19">
        <v>26.233899999999998</v>
      </c>
      <c r="AI19">
        <v>24.495000000000001</v>
      </c>
      <c r="AJ19">
        <v>24.348600000000001</v>
      </c>
      <c r="AK19">
        <v>25.337</v>
      </c>
      <c r="AL19">
        <v>24.1783</v>
      </c>
      <c r="AM19">
        <v>23.710899999999999</v>
      </c>
      <c r="AN19">
        <v>24.117100000000001</v>
      </c>
      <c r="AO19">
        <v>24.678699999999999</v>
      </c>
      <c r="AP19">
        <v>25.995899999999999</v>
      </c>
      <c r="AQ19">
        <v>23.632899999999999</v>
      </c>
      <c r="AR19">
        <v>25.033799999999999</v>
      </c>
      <c r="AS19">
        <v>26.114599999999999</v>
      </c>
      <c r="AT19">
        <v>26.802800000000001</v>
      </c>
      <c r="AU19">
        <v>23.226800000000001</v>
      </c>
      <c r="AV19">
        <v>24.449300000000001</v>
      </c>
      <c r="AW19">
        <v>24.399100000000001</v>
      </c>
      <c r="AX19">
        <v>22.668500000000002</v>
      </c>
      <c r="AY19">
        <v>23.517900000000001</v>
      </c>
      <c r="AZ19">
        <v>23.020199999999999</v>
      </c>
      <c r="BA19">
        <v>24.017900000000001</v>
      </c>
      <c r="BB19">
        <v>24.274999999999999</v>
      </c>
      <c r="BC19">
        <v>24.0318</v>
      </c>
      <c r="BD19">
        <v>24.304500000000001</v>
      </c>
      <c r="BE19">
        <v>24.140699999999999</v>
      </c>
      <c r="BF19">
        <v>24.055700000000002</v>
      </c>
      <c r="BG19">
        <v>23.641500000000001</v>
      </c>
      <c r="BH19">
        <v>22.852399999999999</v>
      </c>
      <c r="BI19">
        <v>23.7334</v>
      </c>
      <c r="BJ19">
        <v>24.084199999999999</v>
      </c>
      <c r="BK19">
        <v>24.102900000000002</v>
      </c>
      <c r="BL19">
        <v>23.662099999999999</v>
      </c>
      <c r="BM19">
        <v>23.688500000000001</v>
      </c>
      <c r="BN19">
        <v>23.7285</v>
      </c>
      <c r="BO19">
        <v>24.014700000000001</v>
      </c>
      <c r="BP19">
        <v>24.040500000000002</v>
      </c>
      <c r="BQ19">
        <v>24.588000000000001</v>
      </c>
      <c r="BR19">
        <v>24.223099999999999</v>
      </c>
      <c r="BS19">
        <v>24.298100000000002</v>
      </c>
      <c r="BT19">
        <v>24.447800000000001</v>
      </c>
      <c r="BU19">
        <v>24.4346</v>
      </c>
      <c r="BV19">
        <v>23.798999999999999</v>
      </c>
      <c r="BW19">
        <v>24.088200000000001</v>
      </c>
      <c r="BX19">
        <v>23.414899999999999</v>
      </c>
      <c r="BY19">
        <v>23.584299999999999</v>
      </c>
      <c r="BZ19">
        <v>23.9602</v>
      </c>
      <c r="CA19">
        <v>26.0793</v>
      </c>
      <c r="CB19">
        <v>25.773299999999999</v>
      </c>
      <c r="CC19">
        <v>23.673200000000001</v>
      </c>
      <c r="CD19">
        <v>23.752099999999999</v>
      </c>
      <c r="CE19">
        <v>24.186399999999999</v>
      </c>
      <c r="CF19">
        <v>24.186</v>
      </c>
      <c r="CG19">
        <v>24.215800000000002</v>
      </c>
      <c r="CH19">
        <v>24.265999999999998</v>
      </c>
      <c r="CI19">
        <v>24.307700000000001</v>
      </c>
      <c r="CJ19">
        <v>24.394300000000001</v>
      </c>
      <c r="CK19">
        <v>24.3688</v>
      </c>
      <c r="CL19">
        <v>24.265699999999999</v>
      </c>
      <c r="CM19">
        <v>25.058800000000002</v>
      </c>
      <c r="CN19">
        <v>24.167100000000001</v>
      </c>
      <c r="CO19">
        <v>24.101099999999999</v>
      </c>
      <c r="CP19">
        <v>24.033100000000001</v>
      </c>
      <c r="CQ19">
        <v>23.8309</v>
      </c>
      <c r="CR19">
        <v>23.584299999999999</v>
      </c>
      <c r="CS19">
        <v>23.8857</v>
      </c>
      <c r="CT19">
        <v>24.1753</v>
      </c>
      <c r="CU19">
        <v>23.723199999999999</v>
      </c>
      <c r="CV19">
        <v>0</v>
      </c>
      <c r="CW19">
        <v>24.950700000000001</v>
      </c>
      <c r="CX19">
        <v>25.278500000000001</v>
      </c>
      <c r="CY19">
        <v>24.210799999999999</v>
      </c>
      <c r="CZ19">
        <v>23.243400000000001</v>
      </c>
      <c r="DA19">
        <v>24.262699999999999</v>
      </c>
      <c r="DB19">
        <v>23.590599999999998</v>
      </c>
      <c r="DC19">
        <v>23.590499999999999</v>
      </c>
      <c r="DD19">
        <v>23.588100000000001</v>
      </c>
      <c r="DE19">
        <v>24.029</v>
      </c>
      <c r="DF19">
        <v>24.045400000000001</v>
      </c>
      <c r="DG19">
        <v>23.6755</v>
      </c>
      <c r="DH19">
        <v>24.277999999999999</v>
      </c>
      <c r="DI19">
        <v>24.308299999999999</v>
      </c>
      <c r="DJ19">
        <v>25.7575</v>
      </c>
      <c r="DK19">
        <v>24.3383</v>
      </c>
      <c r="DL19">
        <v>22.4803</v>
      </c>
      <c r="DM19">
        <v>22.271799999999999</v>
      </c>
      <c r="DN19">
        <v>25.305099999999999</v>
      </c>
      <c r="DO19">
        <v>23.960899999999999</v>
      </c>
      <c r="DP19">
        <v>24.042899999999999</v>
      </c>
      <c r="DQ19">
        <v>24.1191</v>
      </c>
      <c r="DR19">
        <v>24.256</v>
      </c>
      <c r="DS19">
        <v>24.213899999999999</v>
      </c>
      <c r="DT19">
        <v>24.2971</v>
      </c>
      <c r="DU19">
        <v>23.835100000000001</v>
      </c>
      <c r="DV19">
        <v>23.063099999999999</v>
      </c>
      <c r="DW19">
        <v>23.901199999999999</v>
      </c>
      <c r="DX19">
        <v>25.845199999999998</v>
      </c>
      <c r="DY19">
        <v>23.583600000000001</v>
      </c>
      <c r="DZ19">
        <v>22.873899999999999</v>
      </c>
      <c r="EA19">
        <v>22.879899999999999</v>
      </c>
      <c r="EB19">
        <v>23.766400000000001</v>
      </c>
      <c r="EC19">
        <v>22.715399999999999</v>
      </c>
      <c r="ED19">
        <v>21.254999999999999</v>
      </c>
      <c r="EE19">
        <v>24.591899999999999</v>
      </c>
      <c r="EF19">
        <v>24.109100000000002</v>
      </c>
      <c r="EG19">
        <v>24.015899999999998</v>
      </c>
      <c r="EH19">
        <v>24.241</v>
      </c>
      <c r="EI19">
        <v>24.296900000000001</v>
      </c>
      <c r="EJ19">
        <v>24.3491</v>
      </c>
      <c r="EK19">
        <v>23.3371</v>
      </c>
      <c r="EL19">
        <v>22.082599999999999</v>
      </c>
      <c r="EM19">
        <v>22.2624</v>
      </c>
      <c r="EN19">
        <v>23.277999999999999</v>
      </c>
      <c r="EO19">
        <v>23.0625</v>
      </c>
      <c r="EP19">
        <v>24.2561</v>
      </c>
      <c r="EQ19">
        <v>23.254300000000001</v>
      </c>
      <c r="ER19">
        <v>23.1465</v>
      </c>
      <c r="ES19">
        <v>22.925699999999999</v>
      </c>
      <c r="ET19">
        <v>23.974399999999999</v>
      </c>
      <c r="EU19">
        <v>24.009899999999998</v>
      </c>
      <c r="EV19">
        <v>25.773099999999999</v>
      </c>
      <c r="EW19">
        <v>25.773099999999999</v>
      </c>
      <c r="EX19">
        <v>25.448499999999999</v>
      </c>
      <c r="EY19">
        <v>24.017299999999999</v>
      </c>
      <c r="EZ19">
        <v>24.840599999999998</v>
      </c>
      <c r="FA19">
        <v>22.562200000000001</v>
      </c>
      <c r="FB19">
        <v>23.510899999999999</v>
      </c>
      <c r="FC19">
        <v>23.2744</v>
      </c>
      <c r="FD19">
        <v>23.910699999999999</v>
      </c>
      <c r="FE19">
        <v>23.954899999999999</v>
      </c>
      <c r="FF19">
        <v>23.586400000000001</v>
      </c>
      <c r="FG19">
        <v>0</v>
      </c>
      <c r="FH19">
        <v>24.032699999999998</v>
      </c>
      <c r="FI19">
        <v>23.4757</v>
      </c>
      <c r="FJ19">
        <v>23.0442</v>
      </c>
      <c r="FK19">
        <v>23.253299999999999</v>
      </c>
      <c r="FL19">
        <v>23.984100000000002</v>
      </c>
      <c r="FM19">
        <v>23.965</v>
      </c>
      <c r="FN19">
        <v>25.872399999999999</v>
      </c>
      <c r="FO19">
        <v>24.517399999999999</v>
      </c>
      <c r="FP19">
        <v>24.1752</v>
      </c>
      <c r="FQ19">
        <v>21.8447</v>
      </c>
      <c r="FR19">
        <v>20.242000000000001</v>
      </c>
      <c r="FS19">
        <v>23.6648</v>
      </c>
      <c r="FT19">
        <v>20.2669</v>
      </c>
      <c r="FU19">
        <v>22.269300000000001</v>
      </c>
      <c r="FV19">
        <v>23.741199999999999</v>
      </c>
      <c r="FW19">
        <v>24.995200000000001</v>
      </c>
      <c r="FX19">
        <v>27.077300000000001</v>
      </c>
      <c r="FY19">
        <v>27.239599999999999</v>
      </c>
      <c r="FZ19">
        <v>26.246200000000002</v>
      </c>
      <c r="GA19">
        <v>24.729099999999999</v>
      </c>
      <c r="GB19">
        <v>23.1264</v>
      </c>
      <c r="GC19">
        <v>23.6189</v>
      </c>
      <c r="GD19">
        <v>23.564699999999998</v>
      </c>
      <c r="GE19">
        <v>23.889800000000001</v>
      </c>
      <c r="GF19">
        <v>20.875399999999999</v>
      </c>
      <c r="GG19">
        <v>23.997299999999999</v>
      </c>
      <c r="GH19">
        <v>22.514299999999999</v>
      </c>
      <c r="GI19">
        <v>22.9621</v>
      </c>
      <c r="GJ19">
        <v>22.897200000000002</v>
      </c>
      <c r="GK19">
        <v>26.050899999999999</v>
      </c>
      <c r="GL19">
        <v>26.933499999999999</v>
      </c>
      <c r="GM19">
        <v>22.625</v>
      </c>
      <c r="GN19">
        <v>24.429400000000001</v>
      </c>
      <c r="GO19">
        <v>24.540600000000001</v>
      </c>
      <c r="GP19">
        <v>24.549099999999999</v>
      </c>
      <c r="GQ19">
        <v>24.459700000000002</v>
      </c>
      <c r="GR19">
        <v>24.154</v>
      </c>
      <c r="GS19">
        <v>24.537099999999999</v>
      </c>
      <c r="GT19">
        <v>24.503499999999999</v>
      </c>
      <c r="GU19">
        <v>24.628299999999999</v>
      </c>
      <c r="GV19">
        <v>24.5504</v>
      </c>
      <c r="GW19">
        <v>24.536100000000001</v>
      </c>
      <c r="GX19">
        <v>23.9773</v>
      </c>
      <c r="GY19">
        <v>24.167100000000001</v>
      </c>
      <c r="GZ19">
        <v>23.584</v>
      </c>
      <c r="HA19">
        <v>23.955100000000002</v>
      </c>
      <c r="HB19">
        <v>0</v>
      </c>
      <c r="HC19">
        <v>23.580100000000002</v>
      </c>
      <c r="HD19">
        <v>24.238199999999999</v>
      </c>
      <c r="HE19">
        <v>23.58</v>
      </c>
      <c r="HF19">
        <v>23.3629</v>
      </c>
      <c r="HG19">
        <v>23.410399999999999</v>
      </c>
      <c r="HH19">
        <v>24.005400000000002</v>
      </c>
      <c r="HI19">
        <v>24.092500000000001</v>
      </c>
      <c r="HJ19">
        <v>23.635100000000001</v>
      </c>
      <c r="HK19">
        <v>26.2423</v>
      </c>
      <c r="HL19">
        <v>24.0518</v>
      </c>
      <c r="HM19">
        <v>23.390699999999999</v>
      </c>
      <c r="HN19">
        <v>23.5869</v>
      </c>
      <c r="HO19">
        <v>23.4358</v>
      </c>
      <c r="HP19">
        <v>23.3766</v>
      </c>
      <c r="HQ19">
        <v>23.954499999999999</v>
      </c>
      <c r="HR19">
        <v>23.394500000000001</v>
      </c>
      <c r="HS19">
        <v>23.474399999999999</v>
      </c>
      <c r="HT19">
        <v>23.3764</v>
      </c>
      <c r="HU19">
        <v>22.909600000000001</v>
      </c>
      <c r="HV19">
        <v>22.042999999999999</v>
      </c>
      <c r="HW19">
        <v>25.8322</v>
      </c>
      <c r="HX19">
        <v>25.896799999999999</v>
      </c>
      <c r="HY19">
        <v>26.713899999999999</v>
      </c>
      <c r="HZ19">
        <v>23.581499999999998</v>
      </c>
      <c r="IA19">
        <v>24.377099999999999</v>
      </c>
      <c r="IB19">
        <v>23.562000000000001</v>
      </c>
      <c r="IC19">
        <v>23.965199999999999</v>
      </c>
      <c r="ID19">
        <v>24.032499999999999</v>
      </c>
    </row>
    <row r="20" spans="1:238" x14ac:dyDescent="0.25">
      <c r="A20">
        <v>19</v>
      </c>
      <c r="B20">
        <v>25.1965</v>
      </c>
      <c r="C20">
        <v>24.412199999999999</v>
      </c>
      <c r="D20">
        <v>24.479299999999999</v>
      </c>
      <c r="E20">
        <v>23.919899999999998</v>
      </c>
      <c r="F20">
        <v>23.046299999999999</v>
      </c>
      <c r="G20">
        <v>23.042300000000001</v>
      </c>
      <c r="H20">
        <v>22.943100000000001</v>
      </c>
      <c r="I20">
        <v>25.6554</v>
      </c>
      <c r="J20">
        <v>24.690300000000001</v>
      </c>
      <c r="K20">
        <v>26.513200000000001</v>
      </c>
      <c r="L20">
        <v>25.527999999999999</v>
      </c>
      <c r="M20">
        <v>26.355</v>
      </c>
      <c r="N20">
        <v>25.024699999999999</v>
      </c>
      <c r="O20">
        <v>24.164999999999999</v>
      </c>
      <c r="P20">
        <v>23.542200000000001</v>
      </c>
      <c r="Q20">
        <v>23.464400000000001</v>
      </c>
      <c r="R20">
        <v>24.4146</v>
      </c>
      <c r="S20">
        <v>24.4908</v>
      </c>
      <c r="T20">
        <v>24.013400000000001</v>
      </c>
      <c r="U20">
        <v>24.495799999999999</v>
      </c>
      <c r="V20">
        <v>23.4361</v>
      </c>
      <c r="W20">
        <v>22.9161</v>
      </c>
      <c r="X20">
        <v>23.134599999999999</v>
      </c>
      <c r="Y20">
        <v>23.627099999999999</v>
      </c>
      <c r="Z20">
        <v>23.047599999999999</v>
      </c>
      <c r="AA20">
        <v>23.376300000000001</v>
      </c>
      <c r="AB20">
        <v>23.430199999999999</v>
      </c>
      <c r="AC20">
        <v>24.2727</v>
      </c>
      <c r="AD20">
        <v>26.743500000000001</v>
      </c>
      <c r="AE20">
        <v>24.371700000000001</v>
      </c>
      <c r="AF20">
        <v>24.515899999999998</v>
      </c>
      <c r="AG20">
        <v>24.6143</v>
      </c>
      <c r="AH20">
        <v>26.942599999999999</v>
      </c>
      <c r="AI20">
        <v>25.0748</v>
      </c>
      <c r="AJ20">
        <v>24.917000000000002</v>
      </c>
      <c r="AK20">
        <v>25.934200000000001</v>
      </c>
      <c r="AL20">
        <v>24.6252</v>
      </c>
      <c r="AM20">
        <v>24.2317</v>
      </c>
      <c r="AN20">
        <v>24.584</v>
      </c>
      <c r="AO20">
        <v>25.267199999999999</v>
      </c>
      <c r="AP20">
        <v>26.672699999999999</v>
      </c>
      <c r="AQ20">
        <v>24.178100000000001</v>
      </c>
      <c r="AR20">
        <v>25.601299999999998</v>
      </c>
      <c r="AS20">
        <v>26.799299999999999</v>
      </c>
      <c r="AT20">
        <v>27.5398</v>
      </c>
      <c r="AU20">
        <v>23.698399999999999</v>
      </c>
      <c r="AV20">
        <v>24.8626</v>
      </c>
      <c r="AW20">
        <v>24.8078</v>
      </c>
      <c r="AX20">
        <v>23.1004</v>
      </c>
      <c r="AY20">
        <v>23.964400000000001</v>
      </c>
      <c r="AZ20">
        <v>23.461500000000001</v>
      </c>
      <c r="BA20">
        <v>24.5212</v>
      </c>
      <c r="BB20">
        <v>24.7302</v>
      </c>
      <c r="BC20">
        <v>24.430399999999999</v>
      </c>
      <c r="BD20">
        <v>24.7882</v>
      </c>
      <c r="BE20">
        <v>24.651599999999998</v>
      </c>
      <c r="BF20">
        <v>24.506900000000002</v>
      </c>
      <c r="BG20">
        <v>24.084499999999998</v>
      </c>
      <c r="BH20">
        <v>23.302199999999999</v>
      </c>
      <c r="BI20">
        <v>24.012799999999999</v>
      </c>
      <c r="BJ20">
        <v>24.499700000000001</v>
      </c>
      <c r="BK20">
        <v>24.518699999999999</v>
      </c>
      <c r="BL20">
        <v>24.098199999999999</v>
      </c>
      <c r="BM20">
        <v>24.124700000000001</v>
      </c>
      <c r="BN20">
        <v>24.171399999999998</v>
      </c>
      <c r="BO20">
        <v>24.434899999999999</v>
      </c>
      <c r="BP20">
        <v>24.459399999999999</v>
      </c>
      <c r="BQ20">
        <v>25.010899999999999</v>
      </c>
      <c r="BR20">
        <v>24.648099999999999</v>
      </c>
      <c r="BS20">
        <v>24.730599999999999</v>
      </c>
      <c r="BT20">
        <v>24.896899999999999</v>
      </c>
      <c r="BU20">
        <v>24.853100000000001</v>
      </c>
      <c r="BV20">
        <v>24.114999999999998</v>
      </c>
      <c r="BW20">
        <v>24.503799999999998</v>
      </c>
      <c r="BX20">
        <v>23.8599</v>
      </c>
      <c r="BY20">
        <v>24.026499999999999</v>
      </c>
      <c r="BZ20">
        <v>24.406099999999999</v>
      </c>
      <c r="CA20">
        <v>26.788699999999999</v>
      </c>
      <c r="CB20">
        <v>26.425899999999999</v>
      </c>
      <c r="CC20">
        <v>24.192599999999999</v>
      </c>
      <c r="CD20">
        <v>24.209800000000001</v>
      </c>
      <c r="CE20">
        <v>24.635300000000001</v>
      </c>
      <c r="CF20">
        <v>24.633400000000002</v>
      </c>
      <c r="CG20">
        <v>24.6633</v>
      </c>
      <c r="CH20">
        <v>24.724900000000002</v>
      </c>
      <c r="CI20">
        <v>24.770700000000001</v>
      </c>
      <c r="CJ20">
        <v>24.858599999999999</v>
      </c>
      <c r="CK20">
        <v>24.8325</v>
      </c>
      <c r="CL20">
        <v>24.721299999999999</v>
      </c>
      <c r="CM20">
        <v>25.6602</v>
      </c>
      <c r="CN20">
        <v>24.6479</v>
      </c>
      <c r="CO20">
        <v>24.5702</v>
      </c>
      <c r="CP20">
        <v>24.5032</v>
      </c>
      <c r="CQ20">
        <v>24.288699999999999</v>
      </c>
      <c r="CR20">
        <v>24.026499999999999</v>
      </c>
      <c r="CS20">
        <v>24.4392</v>
      </c>
      <c r="CT20">
        <v>24.7331</v>
      </c>
      <c r="CU20">
        <v>24.229700000000001</v>
      </c>
      <c r="CV20">
        <v>0</v>
      </c>
      <c r="CW20">
        <v>25.514800000000001</v>
      </c>
      <c r="CX20">
        <v>25.873000000000001</v>
      </c>
      <c r="CY20">
        <v>24.678699999999999</v>
      </c>
      <c r="CZ20">
        <v>23.698499999999999</v>
      </c>
      <c r="DA20">
        <v>24.831099999999999</v>
      </c>
      <c r="DB20">
        <v>24.014700000000001</v>
      </c>
      <c r="DC20">
        <v>24.015499999999999</v>
      </c>
      <c r="DD20">
        <v>23.9985</v>
      </c>
      <c r="DE20">
        <v>24.444099999999999</v>
      </c>
      <c r="DF20">
        <v>24.459700000000002</v>
      </c>
      <c r="DG20">
        <v>24.090699999999998</v>
      </c>
      <c r="DH20">
        <v>24.767199999999999</v>
      </c>
      <c r="DI20">
        <v>24.753499999999999</v>
      </c>
      <c r="DJ20">
        <v>26.410900000000002</v>
      </c>
      <c r="DK20">
        <v>24.832100000000001</v>
      </c>
      <c r="DL20">
        <v>22.952200000000001</v>
      </c>
      <c r="DM20">
        <v>22.7181</v>
      </c>
      <c r="DN20">
        <v>25.8401</v>
      </c>
      <c r="DO20">
        <v>24.5107</v>
      </c>
      <c r="DP20">
        <v>24.504000000000001</v>
      </c>
      <c r="DQ20">
        <v>24.6282</v>
      </c>
      <c r="DR20">
        <v>24.668199999999999</v>
      </c>
      <c r="DS20">
        <v>24.6906</v>
      </c>
      <c r="DT20">
        <v>24.7773</v>
      </c>
      <c r="DU20">
        <v>24.291799999999999</v>
      </c>
      <c r="DV20">
        <v>23.5245</v>
      </c>
      <c r="DW20">
        <v>24.386500000000002</v>
      </c>
      <c r="DX20">
        <v>26.488299999999999</v>
      </c>
      <c r="DY20">
        <v>23.9877</v>
      </c>
      <c r="DZ20">
        <v>23.323899999999998</v>
      </c>
      <c r="EA20">
        <v>23.329899999999999</v>
      </c>
      <c r="EB20">
        <v>24.2136</v>
      </c>
      <c r="EC20">
        <v>23.145600000000002</v>
      </c>
      <c r="ED20">
        <v>21.701899999999998</v>
      </c>
      <c r="EE20">
        <v>25.1693</v>
      </c>
      <c r="EF20">
        <v>24.567499999999999</v>
      </c>
      <c r="EG20">
        <v>24.5227</v>
      </c>
      <c r="EH20">
        <v>24.6983</v>
      </c>
      <c r="EI20">
        <v>24.7788</v>
      </c>
      <c r="EJ20">
        <v>24.8353</v>
      </c>
      <c r="EK20">
        <v>23.817900000000002</v>
      </c>
      <c r="EL20">
        <v>22.5441</v>
      </c>
      <c r="EM20">
        <v>22.725899999999999</v>
      </c>
      <c r="EN20">
        <v>23.724699999999999</v>
      </c>
      <c r="EO20">
        <v>23.504999999999999</v>
      </c>
      <c r="EP20">
        <v>24.667000000000002</v>
      </c>
      <c r="EQ20">
        <v>23.7013</v>
      </c>
      <c r="ER20">
        <v>23.582999999999998</v>
      </c>
      <c r="ES20">
        <v>23.3598</v>
      </c>
      <c r="ET20">
        <v>24.392399999999999</v>
      </c>
      <c r="EU20">
        <v>24.4299</v>
      </c>
      <c r="EV20">
        <v>26.4284</v>
      </c>
      <c r="EW20">
        <v>26.4284</v>
      </c>
      <c r="EX20">
        <v>26.079699999999999</v>
      </c>
      <c r="EY20">
        <v>24.480799999999999</v>
      </c>
      <c r="EZ20">
        <v>25.3657</v>
      </c>
      <c r="FA20">
        <v>22.996500000000001</v>
      </c>
      <c r="FB20">
        <v>23.9621</v>
      </c>
      <c r="FC20">
        <v>23.7194</v>
      </c>
      <c r="FD20">
        <v>24.374300000000002</v>
      </c>
      <c r="FE20">
        <v>24.416399999999999</v>
      </c>
      <c r="FF20">
        <v>23.988199999999999</v>
      </c>
      <c r="FG20">
        <v>0</v>
      </c>
      <c r="FH20">
        <v>24.482700000000001</v>
      </c>
      <c r="FI20">
        <v>23.9269</v>
      </c>
      <c r="FJ20">
        <v>23.4846</v>
      </c>
      <c r="FK20">
        <v>23.690899999999999</v>
      </c>
      <c r="FL20">
        <v>24.447600000000001</v>
      </c>
      <c r="FM20">
        <v>24.423999999999999</v>
      </c>
      <c r="FN20">
        <v>26.523700000000002</v>
      </c>
      <c r="FO20">
        <v>25.0228</v>
      </c>
      <c r="FP20">
        <v>24.656500000000001</v>
      </c>
      <c r="FQ20">
        <v>22.316199999999998</v>
      </c>
      <c r="FR20">
        <v>20.7117</v>
      </c>
      <c r="FS20">
        <v>24.087499999999999</v>
      </c>
      <c r="FT20">
        <v>20.735399999999998</v>
      </c>
      <c r="FU20">
        <v>23.026199999999999</v>
      </c>
      <c r="FV20">
        <v>24.240100000000002</v>
      </c>
      <c r="FW20">
        <v>25.601500000000001</v>
      </c>
      <c r="FX20">
        <v>27.753599999999999</v>
      </c>
      <c r="FY20">
        <v>27.998999999999999</v>
      </c>
      <c r="FZ20">
        <v>26.955300000000001</v>
      </c>
      <c r="GA20">
        <v>25.313199999999998</v>
      </c>
      <c r="GB20">
        <v>23.5565</v>
      </c>
      <c r="GC20">
        <v>24.0581</v>
      </c>
      <c r="GD20">
        <v>24.0029</v>
      </c>
      <c r="GE20">
        <v>24.3155</v>
      </c>
      <c r="GF20">
        <v>21.4527</v>
      </c>
      <c r="GG20">
        <v>24.427</v>
      </c>
      <c r="GH20">
        <v>22.98</v>
      </c>
      <c r="GI20">
        <v>23.441700000000001</v>
      </c>
      <c r="GJ20">
        <v>23.380199999999999</v>
      </c>
      <c r="GK20">
        <v>26.696400000000001</v>
      </c>
      <c r="GL20">
        <v>27.606200000000001</v>
      </c>
      <c r="GM20">
        <v>23.102900000000002</v>
      </c>
      <c r="GN20">
        <v>24.858599999999999</v>
      </c>
      <c r="GO20">
        <v>24.956700000000001</v>
      </c>
      <c r="GP20">
        <v>24.965199999999999</v>
      </c>
      <c r="GQ20">
        <v>24.870699999999999</v>
      </c>
      <c r="GR20">
        <v>24.5535</v>
      </c>
      <c r="GS20">
        <v>24.953299999999999</v>
      </c>
      <c r="GT20">
        <v>24.924600000000002</v>
      </c>
      <c r="GU20">
        <v>25.0519</v>
      </c>
      <c r="GV20">
        <v>24.9666</v>
      </c>
      <c r="GW20">
        <v>24.9542</v>
      </c>
      <c r="GX20">
        <v>24.380199999999999</v>
      </c>
      <c r="GY20">
        <v>24.6479</v>
      </c>
      <c r="GZ20">
        <v>24.0261</v>
      </c>
      <c r="HA20">
        <v>24.416599999999999</v>
      </c>
      <c r="HB20">
        <v>0</v>
      </c>
      <c r="HC20">
        <v>23.9955</v>
      </c>
      <c r="HD20">
        <v>24.694700000000001</v>
      </c>
      <c r="HE20">
        <v>23.9955</v>
      </c>
      <c r="HF20">
        <v>23.810500000000001</v>
      </c>
      <c r="HG20">
        <v>23.8582</v>
      </c>
      <c r="HH20">
        <v>24.474299999999999</v>
      </c>
      <c r="HI20">
        <v>24.544799999999999</v>
      </c>
      <c r="HJ20">
        <v>24.0547</v>
      </c>
      <c r="HK20">
        <v>26.950299999999999</v>
      </c>
      <c r="HL20">
        <v>24.515599999999999</v>
      </c>
      <c r="HM20">
        <v>23.796299999999999</v>
      </c>
      <c r="HN20">
        <v>24.0108</v>
      </c>
      <c r="HO20">
        <v>23.8414</v>
      </c>
      <c r="HP20">
        <v>23.778199999999998</v>
      </c>
      <c r="HQ20">
        <v>24.430099999999999</v>
      </c>
      <c r="HR20">
        <v>23.655200000000001</v>
      </c>
      <c r="HS20">
        <v>23.916699999999999</v>
      </c>
      <c r="HT20">
        <v>23.777999999999999</v>
      </c>
      <c r="HU20">
        <v>23.3978</v>
      </c>
      <c r="HV20">
        <v>22.457899999999999</v>
      </c>
      <c r="HW20">
        <v>26.497</v>
      </c>
      <c r="HX20">
        <v>26.572399999999998</v>
      </c>
      <c r="HY20">
        <v>27.446400000000001</v>
      </c>
      <c r="HZ20">
        <v>23.9832</v>
      </c>
      <c r="IA20">
        <v>24.8049</v>
      </c>
      <c r="IB20">
        <v>23.9617</v>
      </c>
      <c r="IC20">
        <v>24.378499999999999</v>
      </c>
      <c r="ID20">
        <v>24.451599999999999</v>
      </c>
    </row>
    <row r="21" spans="1:238" x14ac:dyDescent="0.25">
      <c r="A21">
        <v>20</v>
      </c>
      <c r="B21">
        <v>25.299299999999999</v>
      </c>
      <c r="C21">
        <v>24.4282</v>
      </c>
      <c r="D21">
        <v>24.497599999999998</v>
      </c>
      <c r="E21">
        <v>23.9221</v>
      </c>
      <c r="F21">
        <v>23.0395</v>
      </c>
      <c r="G21">
        <v>23.064499999999999</v>
      </c>
      <c r="H21">
        <v>22.961500000000001</v>
      </c>
      <c r="I21">
        <v>25.7043</v>
      </c>
      <c r="J21">
        <v>24.6934</v>
      </c>
      <c r="K21">
        <v>26.561199999999999</v>
      </c>
      <c r="L21">
        <v>25.5625</v>
      </c>
      <c r="M21">
        <v>26.3874</v>
      </c>
      <c r="N21">
        <v>25.020600000000002</v>
      </c>
      <c r="O21">
        <v>24.189299999999999</v>
      </c>
      <c r="P21">
        <v>23.538499999999999</v>
      </c>
      <c r="Q21">
        <v>23.4618</v>
      </c>
      <c r="R21">
        <v>24.397099999999998</v>
      </c>
      <c r="S21">
        <v>24.486000000000001</v>
      </c>
      <c r="T21">
        <v>23.965499999999999</v>
      </c>
      <c r="U21">
        <v>24.5259</v>
      </c>
      <c r="V21">
        <v>23.448399999999999</v>
      </c>
      <c r="W21">
        <v>22.9284</v>
      </c>
      <c r="X21">
        <v>23.149000000000001</v>
      </c>
      <c r="Y21">
        <v>23.634</v>
      </c>
      <c r="Z21">
        <v>23.0731</v>
      </c>
      <c r="AA21">
        <v>23.398399999999999</v>
      </c>
      <c r="AB21">
        <v>23.4512</v>
      </c>
      <c r="AC21">
        <v>24.301200000000001</v>
      </c>
      <c r="AD21">
        <v>26.769300000000001</v>
      </c>
      <c r="AE21">
        <v>24.386500000000002</v>
      </c>
      <c r="AF21">
        <v>24.524799999999999</v>
      </c>
      <c r="AG21">
        <v>24.622699999999998</v>
      </c>
      <c r="AH21">
        <v>26.976400000000002</v>
      </c>
      <c r="AI21">
        <v>25.1739</v>
      </c>
      <c r="AJ21">
        <v>25.006399999999999</v>
      </c>
      <c r="AK21">
        <v>25.968699999999998</v>
      </c>
      <c r="AL21">
        <v>24.6252</v>
      </c>
      <c r="AM21">
        <v>24.277200000000001</v>
      </c>
      <c r="AN21">
        <v>24.593599999999999</v>
      </c>
      <c r="AO21">
        <v>25.3733</v>
      </c>
      <c r="AP21">
        <v>26.8475</v>
      </c>
      <c r="AQ21">
        <v>24.2179</v>
      </c>
      <c r="AR21">
        <v>25.641300000000001</v>
      </c>
      <c r="AS21">
        <v>26.980399999999999</v>
      </c>
      <c r="AT21">
        <v>27.5884</v>
      </c>
      <c r="AU21">
        <v>23.69</v>
      </c>
      <c r="AV21">
        <v>24.792300000000001</v>
      </c>
      <c r="AW21">
        <v>24.736899999999999</v>
      </c>
      <c r="AX21">
        <v>23.093399999999999</v>
      </c>
      <c r="AY21">
        <v>23.9315</v>
      </c>
      <c r="AZ21">
        <v>23.433199999999999</v>
      </c>
      <c r="BA21">
        <v>24.516400000000001</v>
      </c>
      <c r="BB21">
        <v>24.687799999999999</v>
      </c>
      <c r="BC21">
        <v>24.338699999999999</v>
      </c>
      <c r="BD21">
        <v>24.767299999999999</v>
      </c>
      <c r="BE21">
        <v>24.647600000000001</v>
      </c>
      <c r="BF21">
        <v>24.508299999999998</v>
      </c>
      <c r="BG21">
        <v>24.044</v>
      </c>
      <c r="BH21">
        <v>23.287800000000001</v>
      </c>
      <c r="BI21">
        <v>23.709499999999998</v>
      </c>
      <c r="BJ21">
        <v>24.433700000000002</v>
      </c>
      <c r="BK21">
        <v>24.4528</v>
      </c>
      <c r="BL21">
        <v>24.053799999999999</v>
      </c>
      <c r="BM21">
        <v>24.080100000000002</v>
      </c>
      <c r="BN21">
        <v>24.123999999999999</v>
      </c>
      <c r="BO21">
        <v>24.3734</v>
      </c>
      <c r="BP21">
        <v>24.394600000000001</v>
      </c>
      <c r="BQ21">
        <v>24.946400000000001</v>
      </c>
      <c r="BR21">
        <v>24.582699999999999</v>
      </c>
      <c r="BS21">
        <v>24.6661</v>
      </c>
      <c r="BT21">
        <v>24.851600000000001</v>
      </c>
      <c r="BU21">
        <v>24.7821</v>
      </c>
      <c r="BV21">
        <v>23.918199999999999</v>
      </c>
      <c r="BW21">
        <v>24.437999999999999</v>
      </c>
      <c r="BX21">
        <v>23.839200000000002</v>
      </c>
      <c r="BY21">
        <v>24.036899999999999</v>
      </c>
      <c r="BZ21">
        <v>24.4163</v>
      </c>
      <c r="CA21">
        <v>26.811399999999999</v>
      </c>
      <c r="CB21">
        <v>26.459599999999998</v>
      </c>
      <c r="CC21">
        <v>24.231000000000002</v>
      </c>
      <c r="CD21">
        <v>24.178100000000001</v>
      </c>
      <c r="CE21">
        <v>24.631599999999999</v>
      </c>
      <c r="CF21">
        <v>24.633700000000001</v>
      </c>
      <c r="CG21">
        <v>24.664999999999999</v>
      </c>
      <c r="CH21">
        <v>24.727900000000002</v>
      </c>
      <c r="CI21">
        <v>24.7745</v>
      </c>
      <c r="CJ21">
        <v>24.868300000000001</v>
      </c>
      <c r="CK21">
        <v>24.841999999999999</v>
      </c>
      <c r="CL21">
        <v>24.724</v>
      </c>
      <c r="CM21">
        <v>25.708400000000001</v>
      </c>
      <c r="CN21">
        <v>24.6599</v>
      </c>
      <c r="CO21">
        <v>24.5806</v>
      </c>
      <c r="CP21">
        <v>24.511900000000001</v>
      </c>
      <c r="CQ21">
        <v>24.293600000000001</v>
      </c>
      <c r="CR21">
        <v>24.036899999999999</v>
      </c>
      <c r="CS21">
        <v>24.476199999999999</v>
      </c>
      <c r="CT21">
        <v>24.7758</v>
      </c>
      <c r="CU21">
        <v>24.2563</v>
      </c>
      <c r="CV21">
        <v>0</v>
      </c>
      <c r="CW21">
        <v>25.546199999999999</v>
      </c>
      <c r="CX21">
        <v>25.906700000000001</v>
      </c>
      <c r="CY21">
        <v>24.69</v>
      </c>
      <c r="CZ21">
        <v>23.706900000000001</v>
      </c>
      <c r="DA21">
        <v>24.921099999999999</v>
      </c>
      <c r="DB21">
        <v>23.975000000000001</v>
      </c>
      <c r="DC21">
        <v>23.978100000000001</v>
      </c>
      <c r="DD21">
        <v>23.9419</v>
      </c>
      <c r="DE21">
        <v>24.379000000000001</v>
      </c>
      <c r="DF21">
        <v>24.393799999999999</v>
      </c>
      <c r="DG21">
        <v>24.097200000000001</v>
      </c>
      <c r="DH21">
        <v>24.7806</v>
      </c>
      <c r="DI21">
        <v>24.706600000000002</v>
      </c>
      <c r="DJ21">
        <v>26.442900000000002</v>
      </c>
      <c r="DK21">
        <v>24.8443</v>
      </c>
      <c r="DL21">
        <v>22.976299999999998</v>
      </c>
      <c r="DM21">
        <v>22.7226</v>
      </c>
      <c r="DN21">
        <v>25.859500000000001</v>
      </c>
      <c r="DO21">
        <v>24.582699999999999</v>
      </c>
      <c r="DP21">
        <v>24.5046</v>
      </c>
      <c r="DQ21">
        <v>24.621099999999998</v>
      </c>
      <c r="DR21">
        <v>24.598400000000002</v>
      </c>
      <c r="DS21">
        <v>24.706900000000001</v>
      </c>
      <c r="DT21">
        <v>24.796199999999999</v>
      </c>
      <c r="DU21">
        <v>24.305700000000002</v>
      </c>
      <c r="DV21">
        <v>23.513200000000001</v>
      </c>
      <c r="DW21">
        <v>24.406600000000001</v>
      </c>
      <c r="DX21">
        <v>26.533799999999999</v>
      </c>
      <c r="DY21">
        <v>23.922599999999999</v>
      </c>
      <c r="DZ21">
        <v>23.3094</v>
      </c>
      <c r="EA21">
        <v>23.3154</v>
      </c>
      <c r="EB21">
        <v>24.226099999999999</v>
      </c>
      <c r="EC21">
        <v>23.136600000000001</v>
      </c>
      <c r="ED21">
        <v>21.725899999999999</v>
      </c>
      <c r="EE21">
        <v>25.213699999999999</v>
      </c>
      <c r="EF21">
        <v>24.578399999999998</v>
      </c>
      <c r="EG21">
        <v>24.552600000000002</v>
      </c>
      <c r="EH21">
        <v>24.703700000000001</v>
      </c>
      <c r="EI21">
        <v>24.8002</v>
      </c>
      <c r="EJ21">
        <v>24.860900000000001</v>
      </c>
      <c r="EK21">
        <v>23.812799999999999</v>
      </c>
      <c r="EL21">
        <v>22.567299999999999</v>
      </c>
      <c r="EM21">
        <v>22.7484</v>
      </c>
      <c r="EN21">
        <v>23.722899999999999</v>
      </c>
      <c r="EO21">
        <v>23.5032</v>
      </c>
      <c r="EP21">
        <v>24.596599999999999</v>
      </c>
      <c r="EQ21">
        <v>23.703399999999998</v>
      </c>
      <c r="ER21">
        <v>23.572299999999998</v>
      </c>
      <c r="ES21">
        <v>23.3507</v>
      </c>
      <c r="ET21">
        <v>24.331299999999999</v>
      </c>
      <c r="EU21">
        <v>24.368600000000001</v>
      </c>
      <c r="EV21">
        <v>26.509</v>
      </c>
      <c r="EW21">
        <v>26.509</v>
      </c>
      <c r="EX21">
        <v>26.1462</v>
      </c>
      <c r="EY21">
        <v>24.491199999999999</v>
      </c>
      <c r="EZ21">
        <v>25.395600000000002</v>
      </c>
      <c r="FA21">
        <v>22.968399999999999</v>
      </c>
      <c r="FB21">
        <v>23.980799999999999</v>
      </c>
      <c r="FC21">
        <v>23.723299999999998</v>
      </c>
      <c r="FD21">
        <v>24.379899999999999</v>
      </c>
      <c r="FE21">
        <v>24.416399999999999</v>
      </c>
      <c r="FF21">
        <v>23.920300000000001</v>
      </c>
      <c r="FG21">
        <v>0</v>
      </c>
      <c r="FH21">
        <v>24.434699999999999</v>
      </c>
      <c r="FI21">
        <v>23.928999999999998</v>
      </c>
      <c r="FJ21">
        <v>23.454999999999998</v>
      </c>
      <c r="FK21">
        <v>23.655000000000001</v>
      </c>
      <c r="FL21">
        <v>24.447800000000001</v>
      </c>
      <c r="FM21">
        <v>24.420100000000001</v>
      </c>
      <c r="FN21">
        <v>26.566099999999999</v>
      </c>
      <c r="FO21">
        <v>25.0442</v>
      </c>
      <c r="FP21">
        <v>24.668700000000001</v>
      </c>
      <c r="FQ21">
        <v>22.325500000000002</v>
      </c>
      <c r="FR21">
        <v>20.757899999999999</v>
      </c>
      <c r="FS21">
        <v>24.0395</v>
      </c>
      <c r="FT21">
        <v>20.779599999999999</v>
      </c>
      <c r="FU21">
        <v>23.282800000000002</v>
      </c>
      <c r="FV21">
        <v>24.2668</v>
      </c>
      <c r="FW21">
        <v>25.713999999999999</v>
      </c>
      <c r="FX21">
        <v>27.952000000000002</v>
      </c>
      <c r="FY21">
        <v>28.1373</v>
      </c>
      <c r="FZ21">
        <v>26.989699999999999</v>
      </c>
      <c r="GA21">
        <v>25.358599999999999</v>
      </c>
      <c r="GB21">
        <v>23.555199999999999</v>
      </c>
      <c r="GC21">
        <v>24.015899999999998</v>
      </c>
      <c r="GD21">
        <v>23.961600000000001</v>
      </c>
      <c r="GE21">
        <v>24.260400000000001</v>
      </c>
      <c r="GF21">
        <v>21.592400000000001</v>
      </c>
      <c r="GG21">
        <v>24.369399999999999</v>
      </c>
      <c r="GH21">
        <v>22.9986</v>
      </c>
      <c r="GI21">
        <v>23.462299999999999</v>
      </c>
      <c r="GJ21">
        <v>23.4023</v>
      </c>
      <c r="GK21">
        <v>26.849299999999999</v>
      </c>
      <c r="GL21">
        <v>27.797899999999998</v>
      </c>
      <c r="GM21">
        <v>23.129200000000001</v>
      </c>
      <c r="GN21">
        <v>24.797899999999998</v>
      </c>
      <c r="GO21">
        <v>24.886600000000001</v>
      </c>
      <c r="GP21">
        <v>24.895099999999999</v>
      </c>
      <c r="GQ21">
        <v>24.800599999999999</v>
      </c>
      <c r="GR21">
        <v>24.475899999999999</v>
      </c>
      <c r="GS21">
        <v>24.883099999999999</v>
      </c>
      <c r="GT21">
        <v>24.859100000000002</v>
      </c>
      <c r="GU21">
        <v>24.987300000000001</v>
      </c>
      <c r="GV21">
        <v>24.8965</v>
      </c>
      <c r="GW21">
        <v>24.8857</v>
      </c>
      <c r="GX21">
        <v>24.306100000000001</v>
      </c>
      <c r="GY21">
        <v>24.6599</v>
      </c>
      <c r="GZ21">
        <v>24.0365</v>
      </c>
      <c r="HA21">
        <v>24.416599999999999</v>
      </c>
      <c r="HB21">
        <v>0</v>
      </c>
      <c r="HC21">
        <v>23.9437</v>
      </c>
      <c r="HD21">
        <v>24.698</v>
      </c>
      <c r="HE21">
        <v>23.9436</v>
      </c>
      <c r="HF21">
        <v>23.8079</v>
      </c>
      <c r="HG21">
        <v>23.855699999999999</v>
      </c>
      <c r="HH21">
        <v>24.482500000000002</v>
      </c>
      <c r="HI21">
        <v>24.5444</v>
      </c>
      <c r="HJ21">
        <v>24.005700000000001</v>
      </c>
      <c r="HK21">
        <v>26.981300000000001</v>
      </c>
      <c r="HL21">
        <v>24.5245</v>
      </c>
      <c r="HM21">
        <v>23.739100000000001</v>
      </c>
      <c r="HN21">
        <v>23.9709</v>
      </c>
      <c r="HO21">
        <v>23.783899999999999</v>
      </c>
      <c r="HP21">
        <v>23.709299999999999</v>
      </c>
      <c r="HQ21">
        <v>24.4451</v>
      </c>
      <c r="HR21">
        <v>23.362500000000001</v>
      </c>
      <c r="HS21">
        <v>23.912600000000001</v>
      </c>
      <c r="HT21">
        <v>23.709099999999999</v>
      </c>
      <c r="HU21">
        <v>23.427199999999999</v>
      </c>
      <c r="HV21">
        <v>22.4238</v>
      </c>
      <c r="HW21">
        <v>26.5276</v>
      </c>
      <c r="HX21">
        <v>26.601099999999999</v>
      </c>
      <c r="HY21">
        <v>27.492699999999999</v>
      </c>
      <c r="HZ21">
        <v>23.915299999999998</v>
      </c>
      <c r="IA21">
        <v>24.7422</v>
      </c>
      <c r="IB21">
        <v>23.8917</v>
      </c>
      <c r="IC21">
        <v>24.313700000000001</v>
      </c>
      <c r="ID21">
        <v>24.389199999999999</v>
      </c>
    </row>
    <row r="22" spans="1:238" x14ac:dyDescent="0.25">
      <c r="A22">
        <v>21</v>
      </c>
      <c r="B22">
        <v>25.582999999999998</v>
      </c>
      <c r="C22">
        <v>24.6356</v>
      </c>
      <c r="D22">
        <v>24.709099999999999</v>
      </c>
      <c r="E22">
        <v>24.102499999999999</v>
      </c>
      <c r="F22">
        <v>23.1965</v>
      </c>
      <c r="G22">
        <v>23.267700000000001</v>
      </c>
      <c r="H22">
        <v>23.161999999999999</v>
      </c>
      <c r="I22">
        <v>25.983599999999999</v>
      </c>
      <c r="J22">
        <v>24.892199999999999</v>
      </c>
      <c r="K22">
        <v>26.8507</v>
      </c>
      <c r="L22">
        <v>25.816600000000001</v>
      </c>
      <c r="M22">
        <v>26.660900000000002</v>
      </c>
      <c r="N22">
        <v>25.1812</v>
      </c>
      <c r="O22">
        <v>24.418099999999999</v>
      </c>
      <c r="P22">
        <v>23.7089</v>
      </c>
      <c r="Q22">
        <v>23.639299999999999</v>
      </c>
      <c r="R22">
        <v>24.552299999999999</v>
      </c>
      <c r="S22">
        <v>24.659199999999998</v>
      </c>
      <c r="T22">
        <v>24.086600000000001</v>
      </c>
      <c r="U22">
        <v>24.746400000000001</v>
      </c>
      <c r="V22">
        <v>23.639800000000001</v>
      </c>
      <c r="W22">
        <v>23.118500000000001</v>
      </c>
      <c r="X22">
        <v>23.339400000000001</v>
      </c>
      <c r="Y22">
        <v>23.820499999999999</v>
      </c>
      <c r="Z22">
        <v>23.280799999999999</v>
      </c>
      <c r="AA22">
        <v>23.6097</v>
      </c>
      <c r="AB22">
        <v>23.662299999999998</v>
      </c>
      <c r="AC22">
        <v>24.538599999999999</v>
      </c>
      <c r="AD22">
        <v>27.068899999999999</v>
      </c>
      <c r="AE22">
        <v>24.5916</v>
      </c>
      <c r="AF22">
        <v>24.721</v>
      </c>
      <c r="AG22">
        <v>24.8245</v>
      </c>
      <c r="AH22">
        <v>27.288900000000002</v>
      </c>
      <c r="AI22">
        <v>25.450900000000001</v>
      </c>
      <c r="AJ22">
        <v>25.2775</v>
      </c>
      <c r="AK22">
        <v>26.237500000000001</v>
      </c>
      <c r="AL22">
        <v>24.8232</v>
      </c>
      <c r="AM22">
        <v>24.514900000000001</v>
      </c>
      <c r="AN22">
        <v>24.797999999999998</v>
      </c>
      <c r="AO22">
        <v>25.660699999999999</v>
      </c>
      <c r="AP22">
        <v>27.209599999999998</v>
      </c>
      <c r="AQ22">
        <v>24.464400000000001</v>
      </c>
      <c r="AR22">
        <v>25.898800000000001</v>
      </c>
      <c r="AS22">
        <v>27.3492</v>
      </c>
      <c r="AT22">
        <v>27.925699999999999</v>
      </c>
      <c r="AU22">
        <v>23.8385</v>
      </c>
      <c r="AV22">
        <v>24.869299999999999</v>
      </c>
      <c r="AW22">
        <v>24.809899999999999</v>
      </c>
      <c r="AX22">
        <v>23.259599999999999</v>
      </c>
      <c r="AY22">
        <v>24.05</v>
      </c>
      <c r="AZ22">
        <v>23.552199999999999</v>
      </c>
      <c r="BA22">
        <v>24.668299999999999</v>
      </c>
      <c r="BB22">
        <v>24.797899999999998</v>
      </c>
      <c r="BC22">
        <v>24.413599999999999</v>
      </c>
      <c r="BD22">
        <v>24.904499999999999</v>
      </c>
      <c r="BE22">
        <v>24.799800000000001</v>
      </c>
      <c r="BF22">
        <v>24.686699999999998</v>
      </c>
      <c r="BG22">
        <v>24.154399999999999</v>
      </c>
      <c r="BH22">
        <v>23.431699999999999</v>
      </c>
      <c r="BI22">
        <v>23.608499999999999</v>
      </c>
      <c r="BJ22">
        <v>24.526199999999999</v>
      </c>
      <c r="BK22">
        <v>24.543099999999999</v>
      </c>
      <c r="BL22">
        <v>24.161100000000001</v>
      </c>
      <c r="BM22">
        <v>24.186800000000002</v>
      </c>
      <c r="BN22">
        <v>24.215599999999998</v>
      </c>
      <c r="BO22">
        <v>24.474799999999998</v>
      </c>
      <c r="BP22">
        <v>24.4922</v>
      </c>
      <c r="BQ22">
        <v>25.037299999999998</v>
      </c>
      <c r="BR22">
        <v>24.6785</v>
      </c>
      <c r="BS22">
        <v>24.7666</v>
      </c>
      <c r="BT22">
        <v>24.9695</v>
      </c>
      <c r="BU22">
        <v>24.855499999999999</v>
      </c>
      <c r="BV22">
        <v>23.903099999999998</v>
      </c>
      <c r="BW22">
        <v>24.5306</v>
      </c>
      <c r="BX22">
        <v>23.985299999999999</v>
      </c>
      <c r="BY22">
        <v>24.234200000000001</v>
      </c>
      <c r="BZ22">
        <v>24.604700000000001</v>
      </c>
      <c r="CA22">
        <v>27.1127</v>
      </c>
      <c r="CB22">
        <v>26.745699999999999</v>
      </c>
      <c r="CC22">
        <v>24.468499999999999</v>
      </c>
      <c r="CD22">
        <v>24.276</v>
      </c>
      <c r="CE22">
        <v>24.806699999999999</v>
      </c>
      <c r="CF22">
        <v>24.832100000000001</v>
      </c>
      <c r="CG22">
        <v>24.863199999999999</v>
      </c>
      <c r="CH22">
        <v>24.927700000000002</v>
      </c>
      <c r="CI22">
        <v>24.976299999999998</v>
      </c>
      <c r="CJ22">
        <v>25.073699999999999</v>
      </c>
      <c r="CK22">
        <v>25.0471</v>
      </c>
      <c r="CL22">
        <v>24.924199999999999</v>
      </c>
      <c r="CM22">
        <v>25.984000000000002</v>
      </c>
      <c r="CN22">
        <v>24.872800000000002</v>
      </c>
      <c r="CO22">
        <v>24.784600000000001</v>
      </c>
      <c r="CP22">
        <v>24.712800000000001</v>
      </c>
      <c r="CQ22">
        <v>24.487100000000002</v>
      </c>
      <c r="CR22">
        <v>24.234200000000001</v>
      </c>
      <c r="CS22">
        <v>24.725300000000001</v>
      </c>
      <c r="CT22">
        <v>25.030899999999999</v>
      </c>
      <c r="CU22">
        <v>24.498200000000001</v>
      </c>
      <c r="CV22">
        <v>0</v>
      </c>
      <c r="CW22">
        <v>25.798500000000001</v>
      </c>
      <c r="CX22">
        <v>26.172999999999998</v>
      </c>
      <c r="CY22">
        <v>24.895299999999999</v>
      </c>
      <c r="CZ22">
        <v>23.8962</v>
      </c>
      <c r="DA22">
        <v>25.1904</v>
      </c>
      <c r="DB22">
        <v>24.106200000000001</v>
      </c>
      <c r="DC22">
        <v>24.112100000000002</v>
      </c>
      <c r="DD22">
        <v>24.0535</v>
      </c>
      <c r="DE22">
        <v>24.4739</v>
      </c>
      <c r="DF22">
        <v>24.487300000000001</v>
      </c>
      <c r="DG22">
        <v>24.292100000000001</v>
      </c>
      <c r="DH22">
        <v>25.001100000000001</v>
      </c>
      <c r="DI22">
        <v>24.822299999999998</v>
      </c>
      <c r="DJ22">
        <v>26.729099999999999</v>
      </c>
      <c r="DK22">
        <v>25.069099999999999</v>
      </c>
      <c r="DL22">
        <v>23.185300000000002</v>
      </c>
      <c r="DM22">
        <v>22.92</v>
      </c>
      <c r="DN22">
        <v>26.0444</v>
      </c>
      <c r="DO22">
        <v>24.8384</v>
      </c>
      <c r="DP22">
        <v>24.689299999999999</v>
      </c>
      <c r="DQ22">
        <v>24.771000000000001</v>
      </c>
      <c r="DR22">
        <v>24.684000000000001</v>
      </c>
      <c r="DS22">
        <v>24.915400000000002</v>
      </c>
      <c r="DT22">
        <v>25.005800000000001</v>
      </c>
      <c r="DU22">
        <v>24.5092</v>
      </c>
      <c r="DV22">
        <v>23.659600000000001</v>
      </c>
      <c r="DW22">
        <v>24.629300000000001</v>
      </c>
      <c r="DX22">
        <v>26.820799999999998</v>
      </c>
      <c r="DY22">
        <v>24.0245</v>
      </c>
      <c r="DZ22">
        <v>23.453399999999998</v>
      </c>
      <c r="EA22">
        <v>23.459499999999998</v>
      </c>
      <c r="EB22">
        <v>24.4222</v>
      </c>
      <c r="EC22">
        <v>23.3004</v>
      </c>
      <c r="ED22">
        <v>21.921500000000002</v>
      </c>
      <c r="EE22">
        <v>25.4787</v>
      </c>
      <c r="EF22">
        <v>24.775400000000001</v>
      </c>
      <c r="EG22">
        <v>24.794599999999999</v>
      </c>
      <c r="EH22">
        <v>24.9053</v>
      </c>
      <c r="EI22">
        <v>25.013500000000001</v>
      </c>
      <c r="EJ22">
        <v>25.078099999999999</v>
      </c>
      <c r="EK22">
        <v>23.9636</v>
      </c>
      <c r="EL22">
        <v>22.7651</v>
      </c>
      <c r="EM22">
        <v>22.948399999999999</v>
      </c>
      <c r="EN22">
        <v>23.901</v>
      </c>
      <c r="EO22">
        <v>23.6797</v>
      </c>
      <c r="EP22">
        <v>24.682300000000001</v>
      </c>
      <c r="EQ22">
        <v>23.881900000000002</v>
      </c>
      <c r="ER22">
        <v>23.737200000000001</v>
      </c>
      <c r="ES22">
        <v>23.515999999999998</v>
      </c>
      <c r="ET22">
        <v>24.432099999999998</v>
      </c>
      <c r="EU22">
        <v>24.470199999999998</v>
      </c>
      <c r="EV22">
        <v>26.826799999999999</v>
      </c>
      <c r="EW22">
        <v>26.826799999999999</v>
      </c>
      <c r="EX22">
        <v>26.4438</v>
      </c>
      <c r="EY22">
        <v>24.689499999999999</v>
      </c>
      <c r="EZ22">
        <v>25.6493</v>
      </c>
      <c r="FA22">
        <v>23.1294</v>
      </c>
      <c r="FB22">
        <v>24.162400000000002</v>
      </c>
      <c r="FC22">
        <v>23.898299999999999</v>
      </c>
      <c r="FD22">
        <v>24.573899999999998</v>
      </c>
      <c r="FE22">
        <v>24.597100000000001</v>
      </c>
      <c r="FF22">
        <v>24.018899999999999</v>
      </c>
      <c r="FG22">
        <v>0</v>
      </c>
      <c r="FH22">
        <v>24.54</v>
      </c>
      <c r="FI22">
        <v>24.109300000000001</v>
      </c>
      <c r="FJ22">
        <v>23.5732</v>
      </c>
      <c r="FK22">
        <v>23.769300000000001</v>
      </c>
      <c r="FL22">
        <v>24.628299999999999</v>
      </c>
      <c r="FM22">
        <v>24.588899999999999</v>
      </c>
      <c r="FN22">
        <v>26.854099999999999</v>
      </c>
      <c r="FO22">
        <v>25.282</v>
      </c>
      <c r="FP22">
        <v>24.881900000000002</v>
      </c>
      <c r="FQ22">
        <v>22.468</v>
      </c>
      <c r="FR22">
        <v>20.898399999999999</v>
      </c>
      <c r="FS22">
        <v>24.158999999999999</v>
      </c>
      <c r="FT22">
        <v>20.919899999999998</v>
      </c>
      <c r="FU22">
        <v>23.573699999999999</v>
      </c>
      <c r="FV22">
        <v>24.501300000000001</v>
      </c>
      <c r="FW22">
        <v>26.007899999999999</v>
      </c>
      <c r="FX22">
        <v>28.331900000000001</v>
      </c>
      <c r="FY22">
        <v>28.5319</v>
      </c>
      <c r="FZ22">
        <v>27.303000000000001</v>
      </c>
      <c r="GA22">
        <v>25.626799999999999</v>
      </c>
      <c r="GB22">
        <v>23.735199999999999</v>
      </c>
      <c r="GC22">
        <v>24.1249</v>
      </c>
      <c r="GD22">
        <v>24.071200000000001</v>
      </c>
      <c r="GE22">
        <v>24.3598</v>
      </c>
      <c r="GF22">
        <v>21.775099999999998</v>
      </c>
      <c r="GG22">
        <v>24.466699999999999</v>
      </c>
      <c r="GH22">
        <v>23.200700000000001</v>
      </c>
      <c r="GI22">
        <v>23.672599999999999</v>
      </c>
      <c r="GJ22">
        <v>23.613600000000002</v>
      </c>
      <c r="GK22">
        <v>27.188199999999998</v>
      </c>
      <c r="GL22">
        <v>28.1723</v>
      </c>
      <c r="GM22">
        <v>23.336200000000002</v>
      </c>
      <c r="GN22">
        <v>24.8629</v>
      </c>
      <c r="GO22">
        <v>24.964500000000001</v>
      </c>
      <c r="GP22">
        <v>24.973500000000001</v>
      </c>
      <c r="GQ22">
        <v>24.884899999999998</v>
      </c>
      <c r="GR22">
        <v>24.5549</v>
      </c>
      <c r="GS22">
        <v>24.961099999999998</v>
      </c>
      <c r="GT22">
        <v>24.949000000000002</v>
      </c>
      <c r="GU22">
        <v>25.078499999999998</v>
      </c>
      <c r="GV22">
        <v>24.974799999999998</v>
      </c>
      <c r="GW22">
        <v>24.9617</v>
      </c>
      <c r="GX22">
        <v>24.3901</v>
      </c>
      <c r="GY22">
        <v>24.872800000000002</v>
      </c>
      <c r="GZ22">
        <v>24.233899999999998</v>
      </c>
      <c r="HA22">
        <v>24.5974</v>
      </c>
      <c r="HB22">
        <v>0</v>
      </c>
      <c r="HC22">
        <v>24.0563</v>
      </c>
      <c r="HD22">
        <v>24.896999999999998</v>
      </c>
      <c r="HE22">
        <v>24.0562</v>
      </c>
      <c r="HF22">
        <v>23.985900000000001</v>
      </c>
      <c r="HG22">
        <v>24.033899999999999</v>
      </c>
      <c r="HH22">
        <v>24.683800000000002</v>
      </c>
      <c r="HI22">
        <v>24.721499999999999</v>
      </c>
      <c r="HJ22">
        <v>24.125499999999999</v>
      </c>
      <c r="HK22">
        <v>27.290299999999998</v>
      </c>
      <c r="HL22">
        <v>24.720700000000001</v>
      </c>
      <c r="HM22">
        <v>23.851600000000001</v>
      </c>
      <c r="HN22">
        <v>24.101900000000001</v>
      </c>
      <c r="HO22">
        <v>23.895700000000001</v>
      </c>
      <c r="HP22">
        <v>23.799600000000002</v>
      </c>
      <c r="HQ22">
        <v>24.6586</v>
      </c>
      <c r="HR22">
        <v>23.2607</v>
      </c>
      <c r="HS22">
        <v>24.084099999999999</v>
      </c>
      <c r="HT22">
        <v>23.799499999999998</v>
      </c>
      <c r="HU22">
        <v>23.643799999999999</v>
      </c>
      <c r="HV22">
        <v>22.5321</v>
      </c>
      <c r="HW22">
        <v>26.8172</v>
      </c>
      <c r="HX22">
        <v>26.893799999999999</v>
      </c>
      <c r="HY22">
        <v>27.8262</v>
      </c>
      <c r="HZ22">
        <v>24.013999999999999</v>
      </c>
      <c r="IA22">
        <v>24.811800000000002</v>
      </c>
      <c r="IB22">
        <v>23.9879</v>
      </c>
      <c r="IC22">
        <v>24.415199999999999</v>
      </c>
      <c r="ID22">
        <v>24.490600000000001</v>
      </c>
    </row>
    <row r="23" spans="1:238" x14ac:dyDescent="0.25">
      <c r="A23">
        <v>22</v>
      </c>
      <c r="B23">
        <v>25.7423</v>
      </c>
      <c r="C23">
        <v>24.715699999999998</v>
      </c>
      <c r="D23">
        <v>24.791799999999999</v>
      </c>
      <c r="E23">
        <v>24.164400000000001</v>
      </c>
      <c r="F23">
        <v>23.245100000000001</v>
      </c>
      <c r="G23">
        <v>23.342300000000002</v>
      </c>
      <c r="H23">
        <v>23.231000000000002</v>
      </c>
      <c r="I23">
        <v>26.098099999999999</v>
      </c>
      <c r="J23">
        <v>24.9682</v>
      </c>
      <c r="K23">
        <v>26.967199999999998</v>
      </c>
      <c r="L23">
        <v>25.913499999999999</v>
      </c>
      <c r="M23">
        <v>26.761199999999999</v>
      </c>
      <c r="N23">
        <v>25.243099999999998</v>
      </c>
      <c r="O23">
        <v>24.501999999999999</v>
      </c>
      <c r="P23">
        <v>23.764299999999999</v>
      </c>
      <c r="Q23">
        <v>23.702300000000001</v>
      </c>
      <c r="R23">
        <v>24.578399999999998</v>
      </c>
      <c r="S23">
        <v>24.706800000000001</v>
      </c>
      <c r="T23">
        <v>24.119299999999999</v>
      </c>
      <c r="U23">
        <v>24.832699999999999</v>
      </c>
      <c r="V23">
        <v>23.7042</v>
      </c>
      <c r="W23">
        <v>23.1663</v>
      </c>
      <c r="X23">
        <v>23.393000000000001</v>
      </c>
      <c r="Y23">
        <v>23.8855</v>
      </c>
      <c r="Z23">
        <v>23.359400000000001</v>
      </c>
      <c r="AA23">
        <v>23.692900000000002</v>
      </c>
      <c r="AB23">
        <v>23.7471</v>
      </c>
      <c r="AC23">
        <v>24.6248</v>
      </c>
      <c r="AD23">
        <v>27.190899999999999</v>
      </c>
      <c r="AE23">
        <v>24.670100000000001</v>
      </c>
      <c r="AF23">
        <v>24.793900000000001</v>
      </c>
      <c r="AG23">
        <v>24.900300000000001</v>
      </c>
      <c r="AH23">
        <v>27.4208</v>
      </c>
      <c r="AI23">
        <v>25.6099</v>
      </c>
      <c r="AJ23">
        <v>25.424399999999999</v>
      </c>
      <c r="AK23">
        <v>26.341200000000001</v>
      </c>
      <c r="AL23">
        <v>24.899799999999999</v>
      </c>
      <c r="AM23">
        <v>24.617699999999999</v>
      </c>
      <c r="AN23">
        <v>24.874400000000001</v>
      </c>
      <c r="AO23">
        <v>25.8231</v>
      </c>
      <c r="AP23">
        <v>27.434999999999999</v>
      </c>
      <c r="AQ23">
        <v>24.560500000000001</v>
      </c>
      <c r="AR23">
        <v>25.9971</v>
      </c>
      <c r="AS23">
        <v>27.580300000000001</v>
      </c>
      <c r="AT23">
        <v>28.078499999999998</v>
      </c>
      <c r="AU23">
        <v>23.9129</v>
      </c>
      <c r="AV23">
        <v>24.903400000000001</v>
      </c>
      <c r="AW23">
        <v>24.842600000000001</v>
      </c>
      <c r="AX23">
        <v>23.316299999999998</v>
      </c>
      <c r="AY23">
        <v>24.082799999999999</v>
      </c>
      <c r="AZ23">
        <v>23.582699999999999</v>
      </c>
      <c r="BA23">
        <v>24.753499999999999</v>
      </c>
      <c r="BB23">
        <v>24.844899999999999</v>
      </c>
      <c r="BC23">
        <v>24.432500000000001</v>
      </c>
      <c r="BD23">
        <v>24.9727</v>
      </c>
      <c r="BE23">
        <v>24.887599999999999</v>
      </c>
      <c r="BF23">
        <v>24.741700000000002</v>
      </c>
      <c r="BG23">
        <v>24.192399999999999</v>
      </c>
      <c r="BH23">
        <v>23.497900000000001</v>
      </c>
      <c r="BI23">
        <v>23.5335</v>
      </c>
      <c r="BJ23">
        <v>24.561499999999999</v>
      </c>
      <c r="BK23">
        <v>24.5778</v>
      </c>
      <c r="BL23">
        <v>24.197600000000001</v>
      </c>
      <c r="BM23">
        <v>24.2239</v>
      </c>
      <c r="BN23">
        <v>24.258099999999999</v>
      </c>
      <c r="BO23">
        <v>24.506799999999998</v>
      </c>
      <c r="BP23">
        <v>24.5228</v>
      </c>
      <c r="BQ23">
        <v>25.075700000000001</v>
      </c>
      <c r="BR23">
        <v>24.718299999999999</v>
      </c>
      <c r="BS23">
        <v>24.810099999999998</v>
      </c>
      <c r="BT23">
        <v>25.008800000000001</v>
      </c>
      <c r="BU23">
        <v>24.919799999999999</v>
      </c>
      <c r="BV23">
        <v>23.874099999999999</v>
      </c>
      <c r="BW23">
        <v>24.565999999999999</v>
      </c>
      <c r="BX23">
        <v>24.044599999999999</v>
      </c>
      <c r="BY23">
        <v>24.307300000000001</v>
      </c>
      <c r="BZ23">
        <v>24.667300000000001</v>
      </c>
      <c r="CA23">
        <v>27.235399999999998</v>
      </c>
      <c r="CB23">
        <v>26.860299999999999</v>
      </c>
      <c r="CC23">
        <v>24.564499999999999</v>
      </c>
      <c r="CD23">
        <v>24.276</v>
      </c>
      <c r="CE23">
        <v>24.857700000000001</v>
      </c>
      <c r="CF23">
        <v>24.908799999999999</v>
      </c>
      <c r="CG23">
        <v>24.940200000000001</v>
      </c>
      <c r="CH23">
        <v>25.0047</v>
      </c>
      <c r="CI23">
        <v>25.054600000000001</v>
      </c>
      <c r="CJ23">
        <v>25.153099999999998</v>
      </c>
      <c r="CK23">
        <v>25.125900000000001</v>
      </c>
      <c r="CL23">
        <v>25.001999999999999</v>
      </c>
      <c r="CM23">
        <v>26.099900000000002</v>
      </c>
      <c r="CN23">
        <v>24.951899999999998</v>
      </c>
      <c r="CO23">
        <v>24.860299999999999</v>
      </c>
      <c r="CP23">
        <v>24.786100000000001</v>
      </c>
      <c r="CQ23">
        <v>24.556999999999999</v>
      </c>
      <c r="CR23">
        <v>24.307300000000001</v>
      </c>
      <c r="CS23">
        <v>24.824999999999999</v>
      </c>
      <c r="CT23">
        <v>25.134399999999999</v>
      </c>
      <c r="CU23">
        <v>24.5792</v>
      </c>
      <c r="CV23">
        <v>0</v>
      </c>
      <c r="CW23">
        <v>25.894600000000001</v>
      </c>
      <c r="CX23">
        <v>26.2759</v>
      </c>
      <c r="CY23">
        <v>24.972999999999999</v>
      </c>
      <c r="CZ23">
        <v>23.964200000000002</v>
      </c>
      <c r="DA23">
        <v>25.339700000000001</v>
      </c>
      <c r="DB23">
        <v>24.145499999999998</v>
      </c>
      <c r="DC23">
        <v>24.153099999999998</v>
      </c>
      <c r="DD23">
        <v>24.084499999999998</v>
      </c>
      <c r="DE23">
        <v>24.508400000000002</v>
      </c>
      <c r="DF23">
        <v>24.522300000000001</v>
      </c>
      <c r="DG23">
        <v>24.363499999999998</v>
      </c>
      <c r="DH23">
        <v>25.083500000000001</v>
      </c>
      <c r="DI23">
        <v>24.859500000000001</v>
      </c>
      <c r="DJ23">
        <v>26.843499999999999</v>
      </c>
      <c r="DK23">
        <v>25.1538</v>
      </c>
      <c r="DL23">
        <v>23.245799999999999</v>
      </c>
      <c r="DM23">
        <v>22.9682</v>
      </c>
      <c r="DN23">
        <v>26.118600000000001</v>
      </c>
      <c r="DO23">
        <v>24.9693</v>
      </c>
      <c r="DP23">
        <v>24.754000000000001</v>
      </c>
      <c r="DQ23">
        <v>24.858000000000001</v>
      </c>
      <c r="DR23">
        <v>24.717600000000001</v>
      </c>
      <c r="DS23">
        <v>24.992999999999999</v>
      </c>
      <c r="DT23">
        <v>25.084299999999999</v>
      </c>
      <c r="DU23">
        <v>24.586300000000001</v>
      </c>
      <c r="DV23">
        <v>23.729900000000001</v>
      </c>
      <c r="DW23">
        <v>24.709599999999998</v>
      </c>
      <c r="DX23">
        <v>26.934699999999999</v>
      </c>
      <c r="DY23">
        <v>24.050999999999998</v>
      </c>
      <c r="DZ23">
        <v>23.519500000000001</v>
      </c>
      <c r="EA23">
        <v>23.525600000000001</v>
      </c>
      <c r="EB23">
        <v>24.4925</v>
      </c>
      <c r="EC23">
        <v>23.356200000000001</v>
      </c>
      <c r="ED23">
        <v>21.9955</v>
      </c>
      <c r="EE23">
        <v>25.588699999999999</v>
      </c>
      <c r="EF23">
        <v>24.849699999999999</v>
      </c>
      <c r="EG23">
        <v>24.874099999999999</v>
      </c>
      <c r="EH23">
        <v>24.983000000000001</v>
      </c>
      <c r="EI23">
        <v>25.092300000000002</v>
      </c>
      <c r="EJ23">
        <v>25.157699999999998</v>
      </c>
      <c r="EK23">
        <v>24.041499999999999</v>
      </c>
      <c r="EL23">
        <v>22.839600000000001</v>
      </c>
      <c r="EM23">
        <v>23.022600000000001</v>
      </c>
      <c r="EN23">
        <v>23.963200000000001</v>
      </c>
      <c r="EO23">
        <v>23.741299999999999</v>
      </c>
      <c r="EP23">
        <v>24.715900000000001</v>
      </c>
      <c r="EQ23">
        <v>23.943200000000001</v>
      </c>
      <c r="ER23">
        <v>23.793299999999999</v>
      </c>
      <c r="ES23">
        <v>23.572299999999998</v>
      </c>
      <c r="ET23">
        <v>24.466100000000001</v>
      </c>
      <c r="EU23">
        <v>24.502500000000001</v>
      </c>
      <c r="EV23">
        <v>26.9756</v>
      </c>
      <c r="EW23">
        <v>26.9756</v>
      </c>
      <c r="EX23">
        <v>26.576899999999998</v>
      </c>
      <c r="EY23">
        <v>24.7638</v>
      </c>
      <c r="EZ23">
        <v>25.749199999999998</v>
      </c>
      <c r="FA23">
        <v>23.1753</v>
      </c>
      <c r="FB23">
        <v>24.225000000000001</v>
      </c>
      <c r="FC23">
        <v>23.955500000000001</v>
      </c>
      <c r="FD23">
        <v>24.6435</v>
      </c>
      <c r="FE23">
        <v>24.658799999999999</v>
      </c>
      <c r="FF23">
        <v>24.044</v>
      </c>
      <c r="FG23">
        <v>0</v>
      </c>
      <c r="FH23">
        <v>24.580300000000001</v>
      </c>
      <c r="FI23">
        <v>24.171099999999999</v>
      </c>
      <c r="FJ23">
        <v>23.604099999999999</v>
      </c>
      <c r="FK23">
        <v>23.802900000000001</v>
      </c>
      <c r="FL23">
        <v>24.690200000000001</v>
      </c>
      <c r="FM23">
        <v>24.646000000000001</v>
      </c>
      <c r="FN23">
        <v>26.970800000000001</v>
      </c>
      <c r="FO23">
        <v>25.373200000000001</v>
      </c>
      <c r="FP23">
        <v>24.961300000000001</v>
      </c>
      <c r="FQ23">
        <v>22.479500000000002</v>
      </c>
      <c r="FR23">
        <v>20.922999999999998</v>
      </c>
      <c r="FS23">
        <v>24.193000000000001</v>
      </c>
      <c r="FT23">
        <v>20.9438</v>
      </c>
      <c r="FU23">
        <v>23.6633</v>
      </c>
      <c r="FV23">
        <v>24.586500000000001</v>
      </c>
      <c r="FW23">
        <v>26.187000000000001</v>
      </c>
      <c r="FX23">
        <v>28.6007</v>
      </c>
      <c r="FY23">
        <v>28.747199999999999</v>
      </c>
      <c r="FZ23">
        <v>27.435500000000001</v>
      </c>
      <c r="GA23">
        <v>25.738600000000002</v>
      </c>
      <c r="GB23">
        <v>23.799499999999998</v>
      </c>
      <c r="GC23">
        <v>24.162099999999999</v>
      </c>
      <c r="GD23">
        <v>24.107399999999998</v>
      </c>
      <c r="GE23">
        <v>24.3962</v>
      </c>
      <c r="GF23">
        <v>21.8247</v>
      </c>
      <c r="GG23">
        <v>24.502400000000002</v>
      </c>
      <c r="GH23">
        <v>23.268899999999999</v>
      </c>
      <c r="GI23">
        <v>23.749500000000001</v>
      </c>
      <c r="GJ23">
        <v>23.6967</v>
      </c>
      <c r="GK23">
        <v>27.411300000000001</v>
      </c>
      <c r="GL23">
        <v>28.4346</v>
      </c>
      <c r="GM23">
        <v>23.415099999999999</v>
      </c>
      <c r="GN23">
        <v>24.890799999999999</v>
      </c>
      <c r="GO23">
        <v>24.998100000000001</v>
      </c>
      <c r="GP23">
        <v>25.007200000000001</v>
      </c>
      <c r="GQ23">
        <v>24.921299999999999</v>
      </c>
      <c r="GR23">
        <v>24.583300000000001</v>
      </c>
      <c r="GS23">
        <v>24.994700000000002</v>
      </c>
      <c r="GT23">
        <v>24.986699999999999</v>
      </c>
      <c r="GU23">
        <v>25.117000000000001</v>
      </c>
      <c r="GV23">
        <v>25.008400000000002</v>
      </c>
      <c r="GW23">
        <v>24.993600000000001</v>
      </c>
      <c r="GX23">
        <v>24.422499999999999</v>
      </c>
      <c r="GY23">
        <v>24.951899999999998</v>
      </c>
      <c r="GZ23">
        <v>24.306899999999999</v>
      </c>
      <c r="HA23">
        <v>24.658999999999999</v>
      </c>
      <c r="HB23">
        <v>0</v>
      </c>
      <c r="HC23">
        <v>24.0367</v>
      </c>
      <c r="HD23">
        <v>24.973099999999999</v>
      </c>
      <c r="HE23">
        <v>24.0367</v>
      </c>
      <c r="HF23">
        <v>24.048100000000002</v>
      </c>
      <c r="HG23">
        <v>24.0962</v>
      </c>
      <c r="HH23">
        <v>24.757400000000001</v>
      </c>
      <c r="HI23">
        <v>24.773700000000002</v>
      </c>
      <c r="HJ23">
        <v>24.1386</v>
      </c>
      <c r="HK23">
        <v>27.418500000000002</v>
      </c>
      <c r="HL23">
        <v>24.793600000000001</v>
      </c>
      <c r="HM23">
        <v>23.883400000000002</v>
      </c>
      <c r="HN23">
        <v>24.140899999999998</v>
      </c>
      <c r="HO23">
        <v>23.924399999999999</v>
      </c>
      <c r="HP23">
        <v>23.748699999999999</v>
      </c>
      <c r="HQ23">
        <v>24.7377</v>
      </c>
      <c r="HR23">
        <v>23.192</v>
      </c>
      <c r="HS23">
        <v>24.136399999999998</v>
      </c>
      <c r="HT23">
        <v>23.7485</v>
      </c>
      <c r="HU23">
        <v>23.727699999999999</v>
      </c>
      <c r="HV23">
        <v>22.564</v>
      </c>
      <c r="HW23">
        <v>26.933599999999998</v>
      </c>
      <c r="HX23">
        <v>27.011900000000001</v>
      </c>
      <c r="HY23">
        <v>27.9758</v>
      </c>
      <c r="HZ23">
        <v>24.039100000000001</v>
      </c>
      <c r="IA23">
        <v>24.842600000000001</v>
      </c>
      <c r="IB23">
        <v>24.011600000000001</v>
      </c>
      <c r="IC23">
        <v>24.443200000000001</v>
      </c>
      <c r="ID23">
        <v>24.520499999999998</v>
      </c>
    </row>
    <row r="24" spans="1:238" x14ac:dyDescent="0.25">
      <c r="A24">
        <v>23</v>
      </c>
      <c r="B24">
        <v>26.767199999999999</v>
      </c>
      <c r="C24">
        <v>25.660499999999999</v>
      </c>
      <c r="D24">
        <v>25.738800000000001</v>
      </c>
      <c r="E24">
        <v>25.096499999999999</v>
      </c>
      <c r="F24">
        <v>24.1401</v>
      </c>
      <c r="G24">
        <v>24.247499999999999</v>
      </c>
      <c r="H24">
        <v>24.129300000000001</v>
      </c>
      <c r="I24">
        <v>27.142099999999999</v>
      </c>
      <c r="J24">
        <v>25.943100000000001</v>
      </c>
      <c r="K24">
        <v>28.052900000000001</v>
      </c>
      <c r="L24">
        <v>26.942299999999999</v>
      </c>
      <c r="M24">
        <v>27.819500000000001</v>
      </c>
      <c r="N24">
        <v>26.232399999999998</v>
      </c>
      <c r="O24">
        <v>25.463100000000001</v>
      </c>
      <c r="P24">
        <v>24.664300000000001</v>
      </c>
      <c r="Q24">
        <v>24.604500000000002</v>
      </c>
      <c r="R24">
        <v>25.479800000000001</v>
      </c>
      <c r="S24">
        <v>25.63</v>
      </c>
      <c r="T24">
        <v>25.003499999999999</v>
      </c>
      <c r="U24">
        <v>25.7912</v>
      </c>
      <c r="V24">
        <v>24.6173</v>
      </c>
      <c r="W24">
        <v>24.0624</v>
      </c>
      <c r="X24">
        <v>24.2956</v>
      </c>
      <c r="Y24">
        <v>24.802700000000002</v>
      </c>
      <c r="Z24">
        <v>24.267399999999999</v>
      </c>
      <c r="AA24">
        <v>24.614000000000001</v>
      </c>
      <c r="AB24">
        <v>24.671500000000002</v>
      </c>
      <c r="AC24">
        <v>25.591999999999999</v>
      </c>
      <c r="AD24">
        <v>28.3095</v>
      </c>
      <c r="AE24">
        <v>25.613</v>
      </c>
      <c r="AF24">
        <v>25.7514</v>
      </c>
      <c r="AG24">
        <v>25.864799999999999</v>
      </c>
      <c r="AH24">
        <v>28.552199999999999</v>
      </c>
      <c r="AI24">
        <v>26.629200000000001</v>
      </c>
      <c r="AJ24">
        <v>26.433199999999999</v>
      </c>
      <c r="AK24">
        <v>27.393899999999999</v>
      </c>
      <c r="AL24">
        <v>25.873100000000001</v>
      </c>
      <c r="AM24">
        <v>25.5822</v>
      </c>
      <c r="AN24">
        <v>25.847799999999999</v>
      </c>
      <c r="AO24">
        <v>26.851500000000001</v>
      </c>
      <c r="AP24">
        <v>28.533799999999999</v>
      </c>
      <c r="AQ24">
        <v>25.529</v>
      </c>
      <c r="AR24">
        <v>27.029199999999999</v>
      </c>
      <c r="AS24">
        <v>28.685400000000001</v>
      </c>
      <c r="AT24">
        <v>29.240100000000002</v>
      </c>
      <c r="AU24">
        <v>24.7865</v>
      </c>
      <c r="AV24">
        <v>25.811299999999999</v>
      </c>
      <c r="AW24">
        <v>25.7483</v>
      </c>
      <c r="AX24">
        <v>24.1998</v>
      </c>
      <c r="AY24">
        <v>24.947199999999999</v>
      </c>
      <c r="AZ24">
        <v>24.426300000000001</v>
      </c>
      <c r="BA24">
        <v>25.6677</v>
      </c>
      <c r="BB24">
        <v>25.712499999999999</v>
      </c>
      <c r="BC24">
        <v>25.3141</v>
      </c>
      <c r="BD24">
        <v>25.878699999999998</v>
      </c>
      <c r="BE24">
        <v>25.806999999999999</v>
      </c>
      <c r="BF24">
        <v>25.678100000000001</v>
      </c>
      <c r="BG24">
        <v>25.0685</v>
      </c>
      <c r="BH24">
        <v>24.356200000000001</v>
      </c>
      <c r="BI24">
        <v>24.371099999999998</v>
      </c>
      <c r="BJ24">
        <v>25.456600000000002</v>
      </c>
      <c r="BK24">
        <v>25.473600000000001</v>
      </c>
      <c r="BL24">
        <v>25.072900000000001</v>
      </c>
      <c r="BM24">
        <v>25.1007</v>
      </c>
      <c r="BN24">
        <v>25.0991</v>
      </c>
      <c r="BO24">
        <v>25.396699999999999</v>
      </c>
      <c r="BP24">
        <v>25.411300000000001</v>
      </c>
      <c r="BQ24">
        <v>25.984999999999999</v>
      </c>
      <c r="BR24">
        <v>25.617599999999999</v>
      </c>
      <c r="BS24">
        <v>25.7117</v>
      </c>
      <c r="BT24">
        <v>25.907299999999999</v>
      </c>
      <c r="BU24">
        <v>25.8111</v>
      </c>
      <c r="BV24">
        <v>24.7211</v>
      </c>
      <c r="BW24">
        <v>25.461300000000001</v>
      </c>
      <c r="BX24">
        <v>24.9194</v>
      </c>
      <c r="BY24">
        <v>25.226199999999999</v>
      </c>
      <c r="BZ24">
        <v>25.595400000000001</v>
      </c>
      <c r="CA24">
        <v>28.359300000000001</v>
      </c>
      <c r="CB24">
        <v>27.950099999999999</v>
      </c>
      <c r="CC24">
        <v>25.527999999999999</v>
      </c>
      <c r="CD24">
        <v>25.1768</v>
      </c>
      <c r="CE24">
        <v>25.787700000000001</v>
      </c>
      <c r="CF24">
        <v>25.8825</v>
      </c>
      <c r="CG24">
        <v>25.914899999999999</v>
      </c>
      <c r="CH24">
        <v>25.981000000000002</v>
      </c>
      <c r="CI24">
        <v>26.033100000000001</v>
      </c>
      <c r="CJ24">
        <v>26.136199999999999</v>
      </c>
      <c r="CK24">
        <v>26.108699999999999</v>
      </c>
      <c r="CL24">
        <v>25.978899999999999</v>
      </c>
      <c r="CM24">
        <v>27.139800000000001</v>
      </c>
      <c r="CN24">
        <v>25.927</v>
      </c>
      <c r="CO24">
        <v>25.8325</v>
      </c>
      <c r="CP24">
        <v>25.749700000000001</v>
      </c>
      <c r="CQ24">
        <v>25.513400000000001</v>
      </c>
      <c r="CR24">
        <v>25.226199999999999</v>
      </c>
      <c r="CS24">
        <v>25.800599999999999</v>
      </c>
      <c r="CT24">
        <v>26.125800000000002</v>
      </c>
      <c r="CU24">
        <v>25.5457</v>
      </c>
      <c r="CV24">
        <v>0</v>
      </c>
      <c r="CW24">
        <v>26.9221</v>
      </c>
      <c r="CX24">
        <v>27.325700000000001</v>
      </c>
      <c r="CY24">
        <v>25.9526</v>
      </c>
      <c r="CZ24">
        <v>24.8826</v>
      </c>
      <c r="DA24">
        <v>26.345199999999998</v>
      </c>
      <c r="DB24">
        <v>25.038399999999999</v>
      </c>
      <c r="DC24">
        <v>25.047799999999999</v>
      </c>
      <c r="DD24">
        <v>24.9682</v>
      </c>
      <c r="DE24">
        <v>25.401199999999999</v>
      </c>
      <c r="DF24">
        <v>25.416499999999999</v>
      </c>
      <c r="DG24">
        <v>25.308900000000001</v>
      </c>
      <c r="DH24">
        <v>26.063800000000001</v>
      </c>
      <c r="DI24">
        <v>25.754000000000001</v>
      </c>
      <c r="DJ24">
        <v>27.933299999999999</v>
      </c>
      <c r="DK24">
        <v>26.1358</v>
      </c>
      <c r="DL24">
        <v>24.143000000000001</v>
      </c>
      <c r="DM24">
        <v>23.865300000000001</v>
      </c>
      <c r="DN24">
        <v>27.146699999999999</v>
      </c>
      <c r="DO24">
        <v>25.954499999999999</v>
      </c>
      <c r="DP24">
        <v>25.712900000000001</v>
      </c>
      <c r="DQ24">
        <v>25.775300000000001</v>
      </c>
      <c r="DR24">
        <v>25.616299999999999</v>
      </c>
      <c r="DS24">
        <v>25.970300000000002</v>
      </c>
      <c r="DT24">
        <v>26.064900000000002</v>
      </c>
      <c r="DU24">
        <v>25.522300000000001</v>
      </c>
      <c r="DV24">
        <v>24.596499999999999</v>
      </c>
      <c r="DW24">
        <v>25.68</v>
      </c>
      <c r="DX24">
        <v>28.015999999999998</v>
      </c>
      <c r="DY24">
        <v>24.929099999999998</v>
      </c>
      <c r="DZ24">
        <v>24.378399999999999</v>
      </c>
      <c r="EA24">
        <v>24.384699999999999</v>
      </c>
      <c r="EB24">
        <v>25.416599999999999</v>
      </c>
      <c r="EC24">
        <v>24.241</v>
      </c>
      <c r="ED24">
        <v>22.8505</v>
      </c>
      <c r="EE24">
        <v>26.603100000000001</v>
      </c>
      <c r="EF24">
        <v>25.810600000000001</v>
      </c>
      <c r="EG24">
        <v>25.859400000000001</v>
      </c>
      <c r="EH24">
        <v>25.9604</v>
      </c>
      <c r="EI24">
        <v>26.075700000000001</v>
      </c>
      <c r="EJ24">
        <v>26.1462</v>
      </c>
      <c r="EK24">
        <v>24.918099999999999</v>
      </c>
      <c r="EL24">
        <v>23.725100000000001</v>
      </c>
      <c r="EM24">
        <v>23.915299999999998</v>
      </c>
      <c r="EN24">
        <v>24.882300000000001</v>
      </c>
      <c r="EO24">
        <v>24.651900000000001</v>
      </c>
      <c r="EP24">
        <v>25.6144</v>
      </c>
      <c r="EQ24">
        <v>24.866900000000001</v>
      </c>
      <c r="ER24">
        <v>24.694800000000001</v>
      </c>
      <c r="ES24">
        <v>24.465399999999999</v>
      </c>
      <c r="ET24">
        <v>25.3567</v>
      </c>
      <c r="EU24">
        <v>25.392800000000001</v>
      </c>
      <c r="EV24">
        <v>28.064299999999999</v>
      </c>
      <c r="EW24">
        <v>28.064299999999999</v>
      </c>
      <c r="EX24">
        <v>27.643799999999999</v>
      </c>
      <c r="EY24">
        <v>25.717700000000001</v>
      </c>
      <c r="EZ24">
        <v>26.772500000000001</v>
      </c>
      <c r="FA24">
        <v>24.035399999999999</v>
      </c>
      <c r="FB24">
        <v>25.164999999999999</v>
      </c>
      <c r="FC24">
        <v>24.871099999999998</v>
      </c>
      <c r="FD24">
        <v>25.598099999999999</v>
      </c>
      <c r="FE24">
        <v>25.612200000000001</v>
      </c>
      <c r="FF24">
        <v>24.921199999999999</v>
      </c>
      <c r="FG24">
        <v>0</v>
      </c>
      <c r="FH24">
        <v>25.477499999999999</v>
      </c>
      <c r="FI24">
        <v>25.1036</v>
      </c>
      <c r="FJ24">
        <v>24.449100000000001</v>
      </c>
      <c r="FK24">
        <v>24.658100000000001</v>
      </c>
      <c r="FL24">
        <v>25.645499999999998</v>
      </c>
      <c r="FM24">
        <v>25.597799999999999</v>
      </c>
      <c r="FN24">
        <v>28.063600000000001</v>
      </c>
      <c r="FO24">
        <v>26.3749</v>
      </c>
      <c r="FP24">
        <v>25.936900000000001</v>
      </c>
      <c r="FQ24">
        <v>23.285900000000002</v>
      </c>
      <c r="FR24">
        <v>21.6631</v>
      </c>
      <c r="FS24">
        <v>25.0794</v>
      </c>
      <c r="FT24">
        <v>21.685199999999998</v>
      </c>
      <c r="FU24">
        <v>24.498699999999999</v>
      </c>
      <c r="FV24">
        <v>25.552</v>
      </c>
      <c r="FW24">
        <v>27.239000000000001</v>
      </c>
      <c r="FX24">
        <v>29.787299999999998</v>
      </c>
      <c r="FY24">
        <v>29.961500000000001</v>
      </c>
      <c r="FZ24">
        <v>28.567799999999998</v>
      </c>
      <c r="GA24">
        <v>26.7605</v>
      </c>
      <c r="GB24">
        <v>24.707999999999998</v>
      </c>
      <c r="GC24">
        <v>25.0365</v>
      </c>
      <c r="GD24">
        <v>24.978100000000001</v>
      </c>
      <c r="GE24">
        <v>25.2818</v>
      </c>
      <c r="GF24">
        <v>22.589700000000001</v>
      </c>
      <c r="GG24">
        <v>25.3781</v>
      </c>
      <c r="GH24">
        <v>24.1691</v>
      </c>
      <c r="GI24">
        <v>24.670200000000001</v>
      </c>
      <c r="GJ24">
        <v>24.617799999999999</v>
      </c>
      <c r="GK24">
        <v>28.533999999999999</v>
      </c>
      <c r="GL24">
        <v>29.613</v>
      </c>
      <c r="GM24">
        <v>24.326599999999999</v>
      </c>
      <c r="GN24">
        <v>25.797799999999999</v>
      </c>
      <c r="GO24">
        <v>25.910399999999999</v>
      </c>
      <c r="GP24">
        <v>25.919799999999999</v>
      </c>
      <c r="GQ24">
        <v>25.824400000000001</v>
      </c>
      <c r="GR24">
        <v>25.473600000000001</v>
      </c>
      <c r="GS24">
        <v>25.9069</v>
      </c>
      <c r="GT24">
        <v>25.894200000000001</v>
      </c>
      <c r="GU24">
        <v>26.027699999999999</v>
      </c>
      <c r="GV24">
        <v>25.921099999999999</v>
      </c>
      <c r="GW24">
        <v>25.906500000000001</v>
      </c>
      <c r="GX24">
        <v>25.3124</v>
      </c>
      <c r="GY24">
        <v>25.927</v>
      </c>
      <c r="GZ24">
        <v>25.225899999999999</v>
      </c>
      <c r="HA24">
        <v>25.612400000000001</v>
      </c>
      <c r="HB24">
        <v>0</v>
      </c>
      <c r="HC24">
        <v>24.8719</v>
      </c>
      <c r="HD24">
        <v>25.948399999999999</v>
      </c>
      <c r="HE24">
        <v>24.8719</v>
      </c>
      <c r="HF24">
        <v>24.970099999999999</v>
      </c>
      <c r="HG24">
        <v>25.018699999999999</v>
      </c>
      <c r="HH24">
        <v>25.7212</v>
      </c>
      <c r="HI24">
        <v>25.7073</v>
      </c>
      <c r="HJ24">
        <v>25.0108</v>
      </c>
      <c r="HK24">
        <v>28.549499999999998</v>
      </c>
      <c r="HL24">
        <v>25.751100000000001</v>
      </c>
      <c r="HM24">
        <v>24.758299999999998</v>
      </c>
      <c r="HN24">
        <v>25.032900000000001</v>
      </c>
      <c r="HO24">
        <v>24.797899999999998</v>
      </c>
      <c r="HP24">
        <v>24.541499999999999</v>
      </c>
      <c r="HQ24">
        <v>25.706600000000002</v>
      </c>
      <c r="HR24">
        <v>24.0108</v>
      </c>
      <c r="HS24">
        <v>25.0456</v>
      </c>
      <c r="HT24">
        <v>24.541399999999999</v>
      </c>
      <c r="HU24">
        <v>24.6526</v>
      </c>
      <c r="HV24">
        <v>23.374700000000001</v>
      </c>
      <c r="HW24">
        <v>28.0307</v>
      </c>
      <c r="HX24">
        <v>28.1158</v>
      </c>
      <c r="HY24">
        <v>29.1327</v>
      </c>
      <c r="HZ24">
        <v>24.9161</v>
      </c>
      <c r="IA24">
        <v>25.747499999999999</v>
      </c>
      <c r="IB24">
        <v>24.887499999999999</v>
      </c>
      <c r="IC24">
        <v>25.329699999999999</v>
      </c>
      <c r="ID24">
        <v>25.4102</v>
      </c>
    </row>
    <row r="25" spans="1:238" x14ac:dyDescent="0.25">
      <c r="A25">
        <v>24</v>
      </c>
      <c r="B25">
        <v>26.010100000000001</v>
      </c>
      <c r="C25">
        <v>24.993200000000002</v>
      </c>
      <c r="D25">
        <v>25.0703</v>
      </c>
      <c r="E25">
        <v>24.4344</v>
      </c>
      <c r="F25">
        <v>23.502199999999998</v>
      </c>
      <c r="G25">
        <v>23.599499999999999</v>
      </c>
      <c r="H25">
        <v>23.4832</v>
      </c>
      <c r="I25">
        <v>26.431799999999999</v>
      </c>
      <c r="J25">
        <v>25.2608</v>
      </c>
      <c r="K25">
        <v>27.322199999999999</v>
      </c>
      <c r="L25">
        <v>26.239000000000001</v>
      </c>
      <c r="M25">
        <v>27.082699999999999</v>
      </c>
      <c r="N25">
        <v>25.507300000000001</v>
      </c>
      <c r="O25">
        <v>24.787500000000001</v>
      </c>
      <c r="P25">
        <v>23.997399999999999</v>
      </c>
      <c r="Q25">
        <v>23.9542</v>
      </c>
      <c r="R25">
        <v>24.750900000000001</v>
      </c>
      <c r="S25">
        <v>24.916499999999999</v>
      </c>
      <c r="T25">
        <v>24.325800000000001</v>
      </c>
      <c r="U25">
        <v>25.1069</v>
      </c>
      <c r="V25">
        <v>23.9648</v>
      </c>
      <c r="W25">
        <v>23.423400000000001</v>
      </c>
      <c r="X25">
        <v>23.651800000000001</v>
      </c>
      <c r="Y25">
        <v>24.147099999999998</v>
      </c>
      <c r="Z25">
        <v>23.617599999999999</v>
      </c>
      <c r="AA25">
        <v>23.956</v>
      </c>
      <c r="AB25">
        <v>24.0136</v>
      </c>
      <c r="AC25">
        <v>24.912600000000001</v>
      </c>
      <c r="AD25">
        <v>27.588799999999999</v>
      </c>
      <c r="AE25">
        <v>24.9465</v>
      </c>
      <c r="AF25">
        <v>25.077400000000001</v>
      </c>
      <c r="AG25">
        <v>25.19</v>
      </c>
      <c r="AH25">
        <v>27.831399999999999</v>
      </c>
      <c r="AI25">
        <v>25.887699999999999</v>
      </c>
      <c r="AJ25">
        <v>25.697199999999999</v>
      </c>
      <c r="AK25">
        <v>26.676600000000001</v>
      </c>
      <c r="AL25">
        <v>25.192699999999999</v>
      </c>
      <c r="AM25">
        <v>24.891200000000001</v>
      </c>
      <c r="AN25">
        <v>25.167200000000001</v>
      </c>
      <c r="AO25">
        <v>26.089400000000001</v>
      </c>
      <c r="AP25">
        <v>27.6693</v>
      </c>
      <c r="AQ25">
        <v>24.855399999999999</v>
      </c>
      <c r="AR25">
        <v>26.3249</v>
      </c>
      <c r="AS25">
        <v>27.811699999999998</v>
      </c>
      <c r="AT25">
        <v>28.5168</v>
      </c>
      <c r="AU25">
        <v>24.1343</v>
      </c>
      <c r="AV25">
        <v>25.1724</v>
      </c>
      <c r="AW25">
        <v>25.111499999999999</v>
      </c>
      <c r="AX25">
        <v>23.558900000000001</v>
      </c>
      <c r="AY25">
        <v>24.308499999999999</v>
      </c>
      <c r="AZ25">
        <v>23.801300000000001</v>
      </c>
      <c r="BA25">
        <v>24.996400000000001</v>
      </c>
      <c r="BB25">
        <v>25.063800000000001</v>
      </c>
      <c r="BC25">
        <v>24.671099999999999</v>
      </c>
      <c r="BD25">
        <v>25.219100000000001</v>
      </c>
      <c r="BE25">
        <v>25.133500000000002</v>
      </c>
      <c r="BF25">
        <v>24.975899999999999</v>
      </c>
      <c r="BG25">
        <v>24.43</v>
      </c>
      <c r="BH25">
        <v>23.718800000000002</v>
      </c>
      <c r="BI25">
        <v>23.724799999999998</v>
      </c>
      <c r="BJ25">
        <v>24.8277</v>
      </c>
      <c r="BK25">
        <v>24.845700000000001</v>
      </c>
      <c r="BL25">
        <v>24.438800000000001</v>
      </c>
      <c r="BM25">
        <v>24.466200000000001</v>
      </c>
      <c r="BN25">
        <v>24.478300000000001</v>
      </c>
      <c r="BO25">
        <v>24.755800000000001</v>
      </c>
      <c r="BP25">
        <v>24.770399999999999</v>
      </c>
      <c r="BQ25">
        <v>25.337900000000001</v>
      </c>
      <c r="BR25">
        <v>24.985800000000001</v>
      </c>
      <c r="BS25">
        <v>25.0776</v>
      </c>
      <c r="BT25">
        <v>25.247800000000002</v>
      </c>
      <c r="BU25">
        <v>25.181799999999999</v>
      </c>
      <c r="BV25">
        <v>24.077100000000002</v>
      </c>
      <c r="BW25">
        <v>24.8323</v>
      </c>
      <c r="BX25">
        <v>24.268000000000001</v>
      </c>
      <c r="BY25">
        <v>24.571999999999999</v>
      </c>
      <c r="BZ25">
        <v>24.902699999999999</v>
      </c>
      <c r="CA25">
        <v>27.639099999999999</v>
      </c>
      <c r="CB25">
        <v>27.228300000000001</v>
      </c>
      <c r="CC25">
        <v>24.844899999999999</v>
      </c>
      <c r="CD25">
        <v>24.5139</v>
      </c>
      <c r="CE25">
        <v>25.064800000000002</v>
      </c>
      <c r="CF25">
        <v>25.201899999999998</v>
      </c>
      <c r="CG25">
        <v>25.2347</v>
      </c>
      <c r="CH25">
        <v>25.297999999999998</v>
      </c>
      <c r="CI25">
        <v>25.3489</v>
      </c>
      <c r="CJ25">
        <v>25.448</v>
      </c>
      <c r="CK25">
        <v>25.4221</v>
      </c>
      <c r="CL25">
        <v>25.296500000000002</v>
      </c>
      <c r="CM25">
        <v>26.424900000000001</v>
      </c>
      <c r="CN25">
        <v>25.247499999999999</v>
      </c>
      <c r="CO25">
        <v>25.152699999999999</v>
      </c>
      <c r="CP25">
        <v>25.073499999999999</v>
      </c>
      <c r="CQ25">
        <v>24.844799999999999</v>
      </c>
      <c r="CR25">
        <v>24.571999999999999</v>
      </c>
      <c r="CS25">
        <v>25.116499999999998</v>
      </c>
      <c r="CT25">
        <v>25.433900000000001</v>
      </c>
      <c r="CU25">
        <v>24.868400000000001</v>
      </c>
      <c r="CV25">
        <v>0</v>
      </c>
      <c r="CW25">
        <v>26.218699999999998</v>
      </c>
      <c r="CX25">
        <v>26.612200000000001</v>
      </c>
      <c r="CY25">
        <v>25.267900000000001</v>
      </c>
      <c r="CZ25">
        <v>24.2254</v>
      </c>
      <c r="DA25">
        <v>25.618400000000001</v>
      </c>
      <c r="DB25">
        <v>24.3718</v>
      </c>
      <c r="DC25">
        <v>24.384699999999999</v>
      </c>
      <c r="DD25">
        <v>24.3249</v>
      </c>
      <c r="DE25">
        <v>24.771699999999999</v>
      </c>
      <c r="DF25">
        <v>24.788799999999998</v>
      </c>
      <c r="DG25">
        <v>24.642099999999999</v>
      </c>
      <c r="DH25">
        <v>25.380299999999998</v>
      </c>
      <c r="DI25">
        <v>25.098299999999998</v>
      </c>
      <c r="DJ25">
        <v>27.212800000000001</v>
      </c>
      <c r="DK25">
        <v>25.449400000000001</v>
      </c>
      <c r="DL25">
        <v>23.489699999999999</v>
      </c>
      <c r="DM25">
        <v>23.2239</v>
      </c>
      <c r="DN25">
        <v>26.377400000000002</v>
      </c>
      <c r="DO25">
        <v>25.251200000000001</v>
      </c>
      <c r="DP25">
        <v>25.035900000000002</v>
      </c>
      <c r="DQ25">
        <v>25.1035</v>
      </c>
      <c r="DR25">
        <v>24.9816</v>
      </c>
      <c r="DS25">
        <v>25.286799999999999</v>
      </c>
      <c r="DT25">
        <v>25.3766</v>
      </c>
      <c r="DU25">
        <v>24.858000000000001</v>
      </c>
      <c r="DV25">
        <v>23.950900000000001</v>
      </c>
      <c r="DW25">
        <v>24.9968</v>
      </c>
      <c r="DX25">
        <v>27.284300000000002</v>
      </c>
      <c r="DY25">
        <v>24.294799999999999</v>
      </c>
      <c r="DZ25">
        <v>23.740300000000001</v>
      </c>
      <c r="EA25">
        <v>23.746500000000001</v>
      </c>
      <c r="EB25">
        <v>24.746500000000001</v>
      </c>
      <c r="EC25">
        <v>23.600300000000001</v>
      </c>
      <c r="ED25">
        <v>22.238600000000002</v>
      </c>
      <c r="EE25">
        <v>25.900500000000001</v>
      </c>
      <c r="EF25">
        <v>25.135000000000002</v>
      </c>
      <c r="EG25">
        <v>25.154599999999999</v>
      </c>
      <c r="EH25">
        <v>25.2775</v>
      </c>
      <c r="EI25">
        <v>25.390999999999998</v>
      </c>
      <c r="EJ25">
        <v>25.461400000000001</v>
      </c>
      <c r="EK25">
        <v>24.259799999999998</v>
      </c>
      <c r="EL25">
        <v>23.0914</v>
      </c>
      <c r="EM25">
        <v>23.276299999999999</v>
      </c>
      <c r="EN25">
        <v>24.226400000000002</v>
      </c>
      <c r="EO25">
        <v>24.001999999999999</v>
      </c>
      <c r="EP25">
        <v>24.9785</v>
      </c>
      <c r="EQ25">
        <v>24.210799999999999</v>
      </c>
      <c r="ER25">
        <v>24.042999999999999</v>
      </c>
      <c r="ES25">
        <v>23.8187</v>
      </c>
      <c r="ET25">
        <v>24.719899999999999</v>
      </c>
      <c r="EU25">
        <v>24.751899999999999</v>
      </c>
      <c r="EV25">
        <v>27.3142</v>
      </c>
      <c r="EW25">
        <v>27.3142</v>
      </c>
      <c r="EX25">
        <v>26.9101</v>
      </c>
      <c r="EY25">
        <v>25.045500000000001</v>
      </c>
      <c r="EZ25">
        <v>26.069700000000001</v>
      </c>
      <c r="FA25">
        <v>23.434699999999999</v>
      </c>
      <c r="FB25">
        <v>24.4527</v>
      </c>
      <c r="FC25">
        <v>24.1889</v>
      </c>
      <c r="FD25">
        <v>24.925799999999999</v>
      </c>
      <c r="FE25">
        <v>24.937799999999999</v>
      </c>
      <c r="FF25">
        <v>24.2895</v>
      </c>
      <c r="FG25">
        <v>0</v>
      </c>
      <c r="FH25">
        <v>24.777100000000001</v>
      </c>
      <c r="FI25">
        <v>24.441299999999998</v>
      </c>
      <c r="FJ25">
        <v>23.823899999999998</v>
      </c>
      <c r="FK25">
        <v>24.029399999999999</v>
      </c>
      <c r="FL25">
        <v>24.968699999999998</v>
      </c>
      <c r="FM25">
        <v>24.9176</v>
      </c>
      <c r="FN25">
        <v>27.3337</v>
      </c>
      <c r="FO25">
        <v>25.685300000000002</v>
      </c>
      <c r="FP25">
        <v>25.257200000000001</v>
      </c>
      <c r="FQ25">
        <v>22.679500000000001</v>
      </c>
      <c r="FR25">
        <v>21.108599999999999</v>
      </c>
      <c r="FS25">
        <v>24.3978</v>
      </c>
      <c r="FT25">
        <v>21.1296</v>
      </c>
      <c r="FU25">
        <v>23.869900000000001</v>
      </c>
      <c r="FV25">
        <v>24.873799999999999</v>
      </c>
      <c r="FW25">
        <v>26.481200000000001</v>
      </c>
      <c r="FX25">
        <v>28.9541</v>
      </c>
      <c r="FY25">
        <v>29.115500000000001</v>
      </c>
      <c r="FZ25">
        <v>27.8474</v>
      </c>
      <c r="GA25">
        <v>26.054400000000001</v>
      </c>
      <c r="GB25">
        <v>24.055299999999999</v>
      </c>
      <c r="GC25">
        <v>24.4008</v>
      </c>
      <c r="GD25">
        <v>24.344200000000001</v>
      </c>
      <c r="GE25">
        <v>24.649799999999999</v>
      </c>
      <c r="GF25">
        <v>22.021100000000001</v>
      </c>
      <c r="GG25">
        <v>24.743200000000002</v>
      </c>
      <c r="GH25">
        <v>23.521100000000001</v>
      </c>
      <c r="GI25">
        <v>24.008700000000001</v>
      </c>
      <c r="GJ25">
        <v>23.959599999999998</v>
      </c>
      <c r="GK25">
        <v>27.736000000000001</v>
      </c>
      <c r="GL25">
        <v>28.785399999999999</v>
      </c>
      <c r="GM25">
        <v>23.6737</v>
      </c>
      <c r="GN25">
        <v>25.1798</v>
      </c>
      <c r="GO25">
        <v>25.268699999999999</v>
      </c>
      <c r="GP25">
        <v>25.277799999999999</v>
      </c>
      <c r="GQ25">
        <v>25.182600000000001</v>
      </c>
      <c r="GR25">
        <v>24.839200000000002</v>
      </c>
      <c r="GS25">
        <v>25.2654</v>
      </c>
      <c r="GT25">
        <v>25.2501</v>
      </c>
      <c r="GU25">
        <v>25.3794</v>
      </c>
      <c r="GV25">
        <v>25.2791</v>
      </c>
      <c r="GW25">
        <v>25.2666</v>
      </c>
      <c r="GX25">
        <v>24.6904</v>
      </c>
      <c r="GY25">
        <v>25.247499999999999</v>
      </c>
      <c r="GZ25">
        <v>24.5717</v>
      </c>
      <c r="HA25">
        <v>24.937999999999999</v>
      </c>
      <c r="HB25">
        <v>0</v>
      </c>
      <c r="HC25">
        <v>24.126999999999999</v>
      </c>
      <c r="HD25">
        <v>25.265899999999998</v>
      </c>
      <c r="HE25">
        <v>24.126999999999999</v>
      </c>
      <c r="HF25">
        <v>24.312100000000001</v>
      </c>
      <c r="HG25">
        <v>24.3597</v>
      </c>
      <c r="HH25">
        <v>25.046299999999999</v>
      </c>
      <c r="HI25">
        <v>24.997</v>
      </c>
      <c r="HJ25">
        <v>24.3094</v>
      </c>
      <c r="HK25">
        <v>27.827100000000002</v>
      </c>
      <c r="HL25">
        <v>25.077100000000002</v>
      </c>
      <c r="HM25">
        <v>24.085899999999999</v>
      </c>
      <c r="HN25">
        <v>24.3657</v>
      </c>
      <c r="HO25">
        <v>24.122699999999998</v>
      </c>
      <c r="HP25">
        <v>23.776</v>
      </c>
      <c r="HQ25">
        <v>25.027899999999999</v>
      </c>
      <c r="HR25">
        <v>23.3752</v>
      </c>
      <c r="HS25">
        <v>24.360499999999998</v>
      </c>
      <c r="HT25">
        <v>23.7759</v>
      </c>
      <c r="HU25">
        <v>23.9925</v>
      </c>
      <c r="HV25">
        <v>22.778700000000001</v>
      </c>
      <c r="HW25">
        <v>27.31</v>
      </c>
      <c r="HX25">
        <v>27.395399999999999</v>
      </c>
      <c r="HY25">
        <v>28.4099</v>
      </c>
      <c r="HZ25">
        <v>24.284500000000001</v>
      </c>
      <c r="IA25">
        <v>25.127099999999999</v>
      </c>
      <c r="IB25">
        <v>24.257899999999999</v>
      </c>
      <c r="IC25">
        <v>24.690200000000001</v>
      </c>
      <c r="ID25">
        <v>24.7685</v>
      </c>
    </row>
    <row r="26" spans="1:238" x14ac:dyDescent="0.25">
      <c r="A26">
        <v>25</v>
      </c>
      <c r="B26">
        <v>25.906400000000001</v>
      </c>
      <c r="C26">
        <v>24.994399999999999</v>
      </c>
      <c r="D26">
        <v>25.072299999999998</v>
      </c>
      <c r="E26">
        <v>24.43</v>
      </c>
      <c r="F26">
        <v>23.495200000000001</v>
      </c>
      <c r="G26">
        <v>23.584399999999999</v>
      </c>
      <c r="H26">
        <v>23.472200000000001</v>
      </c>
      <c r="I26">
        <v>26.424399999999999</v>
      </c>
      <c r="J26">
        <v>25.2575</v>
      </c>
      <c r="K26">
        <v>27.3201</v>
      </c>
      <c r="L26">
        <v>26.240300000000001</v>
      </c>
      <c r="M26">
        <v>27.066600000000001</v>
      </c>
      <c r="N26">
        <v>25.4785</v>
      </c>
      <c r="O26">
        <v>24.7746</v>
      </c>
      <c r="P26">
        <v>23.9833</v>
      </c>
      <c r="Q26">
        <v>23.949100000000001</v>
      </c>
      <c r="R26">
        <v>24.703199999999999</v>
      </c>
      <c r="S26">
        <v>24.8889</v>
      </c>
      <c r="T26">
        <v>24.299399999999999</v>
      </c>
      <c r="U26">
        <v>25.113099999999999</v>
      </c>
      <c r="V26">
        <v>23.9556</v>
      </c>
      <c r="W26">
        <v>23.4177</v>
      </c>
      <c r="X26">
        <v>23.643799999999999</v>
      </c>
      <c r="Y26">
        <v>24.1402</v>
      </c>
      <c r="Z26">
        <v>23.6006</v>
      </c>
      <c r="AA26">
        <v>23.9404</v>
      </c>
      <c r="AB26">
        <v>23.998200000000001</v>
      </c>
      <c r="AC26">
        <v>24.897500000000001</v>
      </c>
      <c r="AD26">
        <v>27.618300000000001</v>
      </c>
      <c r="AE26">
        <v>24.947299999999998</v>
      </c>
      <c r="AF26">
        <v>25.081399999999999</v>
      </c>
      <c r="AG26">
        <v>25.194700000000001</v>
      </c>
      <c r="AH26">
        <v>27.8688</v>
      </c>
      <c r="AI26">
        <v>25.794799999999999</v>
      </c>
      <c r="AJ26">
        <v>25.613199999999999</v>
      </c>
      <c r="AK26">
        <v>26.675699999999999</v>
      </c>
      <c r="AL26">
        <v>25.1892</v>
      </c>
      <c r="AM26">
        <v>24.861799999999999</v>
      </c>
      <c r="AN26">
        <v>25.1631</v>
      </c>
      <c r="AO26">
        <v>25.980499999999999</v>
      </c>
      <c r="AP26">
        <v>27.455100000000002</v>
      </c>
      <c r="AQ26">
        <v>24.853000000000002</v>
      </c>
      <c r="AR26">
        <v>26.325800000000001</v>
      </c>
      <c r="AS26">
        <v>27.588000000000001</v>
      </c>
      <c r="AT26">
        <v>28.560500000000001</v>
      </c>
      <c r="AU26">
        <v>24.1235</v>
      </c>
      <c r="AV26">
        <v>25.192799999999998</v>
      </c>
      <c r="AW26">
        <v>25.132100000000001</v>
      </c>
      <c r="AX26">
        <v>23.5503</v>
      </c>
      <c r="AY26">
        <v>24.3081</v>
      </c>
      <c r="AZ26">
        <v>23.802700000000002</v>
      </c>
      <c r="BA26">
        <v>24.985900000000001</v>
      </c>
      <c r="BB26">
        <v>25.0625</v>
      </c>
      <c r="BC26">
        <v>24.676500000000001</v>
      </c>
      <c r="BD26">
        <v>25.198699999999999</v>
      </c>
      <c r="BE26">
        <v>25.1235</v>
      </c>
      <c r="BF26">
        <v>24.955200000000001</v>
      </c>
      <c r="BG26">
        <v>24.422499999999999</v>
      </c>
      <c r="BH26">
        <v>23.713699999999999</v>
      </c>
      <c r="BI26">
        <v>23.724399999999999</v>
      </c>
      <c r="BJ26">
        <v>24.8386</v>
      </c>
      <c r="BK26">
        <v>24.857099999999999</v>
      </c>
      <c r="BL26">
        <v>24.4373</v>
      </c>
      <c r="BM26">
        <v>24.463699999999999</v>
      </c>
      <c r="BN26">
        <v>24.4727</v>
      </c>
      <c r="BO26">
        <v>24.7621</v>
      </c>
      <c r="BP26">
        <v>24.7761</v>
      </c>
      <c r="BQ26">
        <v>25.354600000000001</v>
      </c>
      <c r="BR26">
        <v>24.997900000000001</v>
      </c>
      <c r="BS26">
        <v>25.0899</v>
      </c>
      <c r="BT26">
        <v>25.251899999999999</v>
      </c>
      <c r="BU26">
        <v>25.196200000000001</v>
      </c>
      <c r="BV26">
        <v>24.081199999999999</v>
      </c>
      <c r="BW26">
        <v>24.843399999999999</v>
      </c>
      <c r="BX26">
        <v>24.266200000000001</v>
      </c>
      <c r="BY26">
        <v>24.571999999999999</v>
      </c>
      <c r="BZ26">
        <v>24.889600000000002</v>
      </c>
      <c r="CA26">
        <v>27.671700000000001</v>
      </c>
      <c r="CB26">
        <v>27.241</v>
      </c>
      <c r="CC26">
        <v>24.825099999999999</v>
      </c>
      <c r="CD26">
        <v>24.511500000000002</v>
      </c>
      <c r="CE26">
        <v>25.0383</v>
      </c>
      <c r="CF26">
        <v>25.198399999999999</v>
      </c>
      <c r="CG26">
        <v>25.231200000000001</v>
      </c>
      <c r="CH26">
        <v>25.294499999999999</v>
      </c>
      <c r="CI26">
        <v>25.345099999999999</v>
      </c>
      <c r="CJ26">
        <v>25.4466</v>
      </c>
      <c r="CK26">
        <v>25.419799999999999</v>
      </c>
      <c r="CL26">
        <v>25.2928</v>
      </c>
      <c r="CM26">
        <v>26.417100000000001</v>
      </c>
      <c r="CN26">
        <v>25.245100000000001</v>
      </c>
      <c r="CO26">
        <v>25.149000000000001</v>
      </c>
      <c r="CP26">
        <v>25.070499999999999</v>
      </c>
      <c r="CQ26">
        <v>24.8416</v>
      </c>
      <c r="CR26">
        <v>24.571999999999999</v>
      </c>
      <c r="CS26">
        <v>25.1144</v>
      </c>
      <c r="CT26">
        <v>25.426300000000001</v>
      </c>
      <c r="CU26">
        <v>24.852699999999999</v>
      </c>
      <c r="CV26">
        <v>0</v>
      </c>
      <c r="CW26">
        <v>26.2195</v>
      </c>
      <c r="CX26">
        <v>26.613900000000001</v>
      </c>
      <c r="CY26">
        <v>25.263100000000001</v>
      </c>
      <c r="CZ26">
        <v>24.2193</v>
      </c>
      <c r="DA26">
        <v>25.5383</v>
      </c>
      <c r="DB26">
        <v>24.353300000000001</v>
      </c>
      <c r="DC26">
        <v>24.369499999999999</v>
      </c>
      <c r="DD26">
        <v>24.323599999999999</v>
      </c>
      <c r="DE26">
        <v>24.781300000000002</v>
      </c>
      <c r="DF26">
        <v>24.7989</v>
      </c>
      <c r="DG26">
        <v>24.638000000000002</v>
      </c>
      <c r="DH26">
        <v>25.3781</v>
      </c>
      <c r="DI26">
        <v>25.102900000000002</v>
      </c>
      <c r="DJ26">
        <v>27.227399999999999</v>
      </c>
      <c r="DK26">
        <v>25.446100000000001</v>
      </c>
      <c r="DL26">
        <v>23.477499999999999</v>
      </c>
      <c r="DM26">
        <v>23.222799999999999</v>
      </c>
      <c r="DN26">
        <v>26.348299999999998</v>
      </c>
      <c r="DO26">
        <v>25.1967</v>
      </c>
      <c r="DP26">
        <v>25.0335</v>
      </c>
      <c r="DQ26">
        <v>25.091899999999999</v>
      </c>
      <c r="DR26">
        <v>24.995999999999999</v>
      </c>
      <c r="DS26">
        <v>25.2837</v>
      </c>
      <c r="DT26">
        <v>25.374600000000001</v>
      </c>
      <c r="DU26">
        <v>24.857700000000001</v>
      </c>
      <c r="DV26">
        <v>23.942799999999998</v>
      </c>
      <c r="DW26">
        <v>24.988199999999999</v>
      </c>
      <c r="DX26">
        <v>27.28</v>
      </c>
      <c r="DY26">
        <v>24.3001</v>
      </c>
      <c r="DZ26">
        <v>23.735199999999999</v>
      </c>
      <c r="EA26">
        <v>23.741399999999999</v>
      </c>
      <c r="EB26">
        <v>24.7408</v>
      </c>
      <c r="EC26">
        <v>23.591999999999999</v>
      </c>
      <c r="ED26">
        <v>22.2226</v>
      </c>
      <c r="EE26">
        <v>25.892800000000001</v>
      </c>
      <c r="EF26">
        <v>25.143999999999998</v>
      </c>
      <c r="EG26">
        <v>25.147400000000001</v>
      </c>
      <c r="EH26">
        <v>25.273399999999999</v>
      </c>
      <c r="EI26">
        <v>25.3874</v>
      </c>
      <c r="EJ26">
        <v>25.456800000000001</v>
      </c>
      <c r="EK26">
        <v>24.245200000000001</v>
      </c>
      <c r="EL26">
        <v>23.073599999999999</v>
      </c>
      <c r="EM26">
        <v>23.260100000000001</v>
      </c>
      <c r="EN26">
        <v>24.220099999999999</v>
      </c>
      <c r="EO26">
        <v>23.995799999999999</v>
      </c>
      <c r="EP26">
        <v>24.993099999999998</v>
      </c>
      <c r="EQ26">
        <v>24.206499999999998</v>
      </c>
      <c r="ER26">
        <v>24.034700000000001</v>
      </c>
      <c r="ES26">
        <v>23.810400000000001</v>
      </c>
      <c r="ET26">
        <v>24.726500000000001</v>
      </c>
      <c r="EU26">
        <v>24.758099999999999</v>
      </c>
      <c r="EV26">
        <v>27.285399999999999</v>
      </c>
      <c r="EW26">
        <v>27.285399999999999</v>
      </c>
      <c r="EX26">
        <v>26.891400000000001</v>
      </c>
      <c r="EY26">
        <v>25.0488</v>
      </c>
      <c r="EZ26">
        <v>26.065799999999999</v>
      </c>
      <c r="FA26">
        <v>23.432500000000001</v>
      </c>
      <c r="FB26">
        <v>24.430299999999999</v>
      </c>
      <c r="FC26">
        <v>24.171900000000001</v>
      </c>
      <c r="FD26">
        <v>24.922599999999999</v>
      </c>
      <c r="FE26">
        <v>24.935400000000001</v>
      </c>
      <c r="FF26">
        <v>24.296399999999998</v>
      </c>
      <c r="FG26">
        <v>0</v>
      </c>
      <c r="FH26">
        <v>24.753799999999998</v>
      </c>
      <c r="FI26">
        <v>24.436900000000001</v>
      </c>
      <c r="FJ26">
        <v>23.825299999999999</v>
      </c>
      <c r="FK26">
        <v>24.029699999999998</v>
      </c>
      <c r="FL26">
        <v>24.9648</v>
      </c>
      <c r="FM26">
        <v>24.9102</v>
      </c>
      <c r="FN26">
        <v>27.337900000000001</v>
      </c>
      <c r="FO26">
        <v>25.683599999999998</v>
      </c>
      <c r="FP26">
        <v>25.2547</v>
      </c>
      <c r="FQ26">
        <v>22.673200000000001</v>
      </c>
      <c r="FR26">
        <v>21.0853</v>
      </c>
      <c r="FS26">
        <v>24.3718</v>
      </c>
      <c r="FT26">
        <v>21.107199999999999</v>
      </c>
      <c r="FU26">
        <v>23.727499999999999</v>
      </c>
      <c r="FV26">
        <v>24.859100000000002</v>
      </c>
      <c r="FW26">
        <v>26.3657</v>
      </c>
      <c r="FX26">
        <v>28.755199999999999</v>
      </c>
      <c r="FY26">
        <v>29.054200000000002</v>
      </c>
      <c r="FZ26">
        <v>27.885000000000002</v>
      </c>
      <c r="GA26">
        <v>26.046600000000002</v>
      </c>
      <c r="GB26">
        <v>24.0503</v>
      </c>
      <c r="GC26">
        <v>24.3964</v>
      </c>
      <c r="GD26">
        <v>24.341799999999999</v>
      </c>
      <c r="GE26">
        <v>24.654599999999999</v>
      </c>
      <c r="GF26">
        <v>21.967500000000001</v>
      </c>
      <c r="GG26">
        <v>24.7453</v>
      </c>
      <c r="GH26">
        <v>23.510200000000001</v>
      </c>
      <c r="GI26">
        <v>23.9968</v>
      </c>
      <c r="GJ26">
        <v>23.944099999999999</v>
      </c>
      <c r="GK26">
        <v>27.580100000000002</v>
      </c>
      <c r="GL26">
        <v>28.592700000000001</v>
      </c>
      <c r="GM26">
        <v>23.6557</v>
      </c>
      <c r="GN26">
        <v>25.1861</v>
      </c>
      <c r="GO26">
        <v>25.290099999999999</v>
      </c>
      <c r="GP26">
        <v>25.298999999999999</v>
      </c>
      <c r="GQ26">
        <v>25.203700000000001</v>
      </c>
      <c r="GR26">
        <v>24.8523</v>
      </c>
      <c r="GS26">
        <v>25.2867</v>
      </c>
      <c r="GT26">
        <v>25.265899999999998</v>
      </c>
      <c r="GU26">
        <v>25.3964</v>
      </c>
      <c r="GV26">
        <v>25.3004</v>
      </c>
      <c r="GW26">
        <v>25.286000000000001</v>
      </c>
      <c r="GX26">
        <v>24.715299999999999</v>
      </c>
      <c r="GY26">
        <v>25.245100000000001</v>
      </c>
      <c r="GZ26">
        <v>24.5717</v>
      </c>
      <c r="HA26">
        <v>24.935600000000001</v>
      </c>
      <c r="HB26">
        <v>0</v>
      </c>
      <c r="HC26">
        <v>24.045500000000001</v>
      </c>
      <c r="HD26">
        <v>25.262599999999999</v>
      </c>
      <c r="HE26">
        <v>24.045400000000001</v>
      </c>
      <c r="HF26">
        <v>24.305900000000001</v>
      </c>
      <c r="HG26">
        <v>24.3537</v>
      </c>
      <c r="HH26">
        <v>25.043299999999999</v>
      </c>
      <c r="HI26">
        <v>24.971800000000002</v>
      </c>
      <c r="HJ26">
        <v>24.2653</v>
      </c>
      <c r="HK26">
        <v>27.860399999999998</v>
      </c>
      <c r="HL26">
        <v>25.081099999999999</v>
      </c>
      <c r="HM26">
        <v>24.057400000000001</v>
      </c>
      <c r="HN26">
        <v>24.3462</v>
      </c>
      <c r="HO26">
        <v>24.0931</v>
      </c>
      <c r="HP26">
        <v>23.667400000000001</v>
      </c>
      <c r="HQ26">
        <v>25.020499999999998</v>
      </c>
      <c r="HR26">
        <v>23.3733</v>
      </c>
      <c r="HS26">
        <v>24.341000000000001</v>
      </c>
      <c r="HT26">
        <v>23.667300000000001</v>
      </c>
      <c r="HU26">
        <v>23.974699999999999</v>
      </c>
      <c r="HV26">
        <v>22.779</v>
      </c>
      <c r="HW26">
        <v>27.328299999999999</v>
      </c>
      <c r="HX26">
        <v>27.4175</v>
      </c>
      <c r="HY26">
        <v>28.4526</v>
      </c>
      <c r="HZ26">
        <v>24.291499999999999</v>
      </c>
      <c r="IA26">
        <v>25.133800000000001</v>
      </c>
      <c r="IB26">
        <v>24.265499999999999</v>
      </c>
      <c r="IC26">
        <v>24.6997</v>
      </c>
      <c r="ID26">
        <v>24.777200000000001</v>
      </c>
    </row>
    <row r="27" spans="1:238" x14ac:dyDescent="0.25">
      <c r="A27">
        <v>26</v>
      </c>
      <c r="B27">
        <v>25.427800000000001</v>
      </c>
      <c r="C27">
        <v>24.859200000000001</v>
      </c>
      <c r="D27">
        <v>24.928799999999999</v>
      </c>
      <c r="E27">
        <v>24.060400000000001</v>
      </c>
      <c r="F27">
        <v>23.1709</v>
      </c>
      <c r="G27">
        <v>23.198899999999998</v>
      </c>
      <c r="H27">
        <v>23.0883</v>
      </c>
      <c r="I27">
        <v>25.782699999999998</v>
      </c>
      <c r="J27">
        <v>24.813400000000001</v>
      </c>
      <c r="K27">
        <v>26.6373</v>
      </c>
      <c r="L27">
        <v>25.633500000000002</v>
      </c>
      <c r="M27">
        <v>26.391400000000001</v>
      </c>
      <c r="N27">
        <v>25.034400000000002</v>
      </c>
      <c r="O27">
        <v>24.279199999999999</v>
      </c>
      <c r="P27">
        <v>24.244599999999998</v>
      </c>
      <c r="Q27">
        <v>23.581299999999999</v>
      </c>
      <c r="R27">
        <v>28.073499999999999</v>
      </c>
      <c r="S27">
        <v>26.858000000000001</v>
      </c>
      <c r="T27">
        <v>21.344100000000001</v>
      </c>
      <c r="U27">
        <v>24.817799999999998</v>
      </c>
      <c r="V27">
        <v>23.5839</v>
      </c>
      <c r="W27">
        <v>23.052199999999999</v>
      </c>
      <c r="X27">
        <v>23.2761</v>
      </c>
      <c r="Y27">
        <v>23.771699999999999</v>
      </c>
      <c r="Z27">
        <v>23.203399999999998</v>
      </c>
      <c r="AA27">
        <v>23.5382</v>
      </c>
      <c r="AB27">
        <v>23.5947</v>
      </c>
      <c r="AC27">
        <v>24.396100000000001</v>
      </c>
      <c r="AD27">
        <v>26.936399999999999</v>
      </c>
      <c r="AE27">
        <v>24.8139</v>
      </c>
      <c r="AF27">
        <v>24.8062</v>
      </c>
      <c r="AG27">
        <v>24.895199999999999</v>
      </c>
      <c r="AH27">
        <v>27.179400000000001</v>
      </c>
      <c r="AI27">
        <v>25.313400000000001</v>
      </c>
      <c r="AJ27">
        <v>25.1356</v>
      </c>
      <c r="AK27">
        <v>26.0443</v>
      </c>
      <c r="AL27">
        <v>24.735600000000002</v>
      </c>
      <c r="AM27">
        <v>24.3934</v>
      </c>
      <c r="AN27">
        <v>24.6753</v>
      </c>
      <c r="AO27">
        <v>25.501300000000001</v>
      </c>
      <c r="AP27">
        <v>26.964099999999998</v>
      </c>
      <c r="AQ27">
        <v>24.295400000000001</v>
      </c>
      <c r="AR27">
        <v>25.718900000000001</v>
      </c>
      <c r="AS27">
        <v>27.0959</v>
      </c>
      <c r="AT27">
        <v>27.854299999999999</v>
      </c>
      <c r="AU27">
        <v>23.005700000000001</v>
      </c>
      <c r="AV27">
        <v>23.696100000000001</v>
      </c>
      <c r="AW27">
        <v>23.640599999999999</v>
      </c>
      <c r="AX27">
        <v>23.223600000000001</v>
      </c>
      <c r="AY27">
        <v>22.8827</v>
      </c>
      <c r="AZ27">
        <v>22.3919</v>
      </c>
      <c r="BA27">
        <v>23.745999999999999</v>
      </c>
      <c r="BB27">
        <v>23.616599999999998</v>
      </c>
      <c r="BC27">
        <v>23.2501</v>
      </c>
      <c r="BD27">
        <v>23.842300000000002</v>
      </c>
      <c r="BE27">
        <v>23.864599999999999</v>
      </c>
      <c r="BF27">
        <v>26.2515</v>
      </c>
      <c r="BG27">
        <v>22.973700000000001</v>
      </c>
      <c r="BH27">
        <v>22.606300000000001</v>
      </c>
      <c r="BI27">
        <v>22.363199999999999</v>
      </c>
      <c r="BJ27">
        <v>23.354099999999999</v>
      </c>
      <c r="BK27">
        <v>23.372900000000001</v>
      </c>
      <c r="BL27">
        <v>22.988199999999999</v>
      </c>
      <c r="BM27">
        <v>23.015999999999998</v>
      </c>
      <c r="BN27">
        <v>23.0547</v>
      </c>
      <c r="BO27">
        <v>23.3264</v>
      </c>
      <c r="BP27">
        <v>23.340800000000002</v>
      </c>
      <c r="BQ27">
        <v>23.840699999999998</v>
      </c>
      <c r="BR27">
        <v>23.5014</v>
      </c>
      <c r="BS27">
        <v>23.585999999999999</v>
      </c>
      <c r="BT27">
        <v>23.800899999999999</v>
      </c>
      <c r="BU27">
        <v>23.695499999999999</v>
      </c>
      <c r="BV27">
        <v>22.698599999999999</v>
      </c>
      <c r="BW27">
        <v>23.358599999999999</v>
      </c>
      <c r="BX27">
        <v>23.161300000000001</v>
      </c>
      <c r="BY27">
        <v>24.571999999999999</v>
      </c>
      <c r="BZ27">
        <v>25.886900000000001</v>
      </c>
      <c r="CA27">
        <v>26.985600000000002</v>
      </c>
      <c r="CB27">
        <v>26.578099999999999</v>
      </c>
      <c r="CC27">
        <v>24.340199999999999</v>
      </c>
      <c r="CD27">
        <v>24.276</v>
      </c>
      <c r="CE27">
        <v>27.019500000000001</v>
      </c>
      <c r="CF27">
        <v>24.744599999999998</v>
      </c>
      <c r="CG27">
        <v>24.776800000000001</v>
      </c>
      <c r="CH27">
        <v>24.848199999999999</v>
      </c>
      <c r="CI27">
        <v>24.8947</v>
      </c>
      <c r="CJ27">
        <v>24.990300000000001</v>
      </c>
      <c r="CK27">
        <v>24.9693</v>
      </c>
      <c r="CL27">
        <v>24.8398</v>
      </c>
      <c r="CM27">
        <v>25.7956</v>
      </c>
      <c r="CN27">
        <v>24.690899999999999</v>
      </c>
      <c r="CO27">
        <v>24.652000000000001</v>
      </c>
      <c r="CP27">
        <v>24.516999999999999</v>
      </c>
      <c r="CQ27">
        <v>24.284400000000002</v>
      </c>
      <c r="CR27">
        <v>24.571999999999999</v>
      </c>
      <c r="CS27">
        <v>24.5565</v>
      </c>
      <c r="CT27">
        <v>24.871600000000001</v>
      </c>
      <c r="CU27">
        <v>24.353400000000001</v>
      </c>
      <c r="CV27">
        <v>0</v>
      </c>
      <c r="CW27">
        <v>25.609100000000002</v>
      </c>
      <c r="CX27">
        <v>25.983499999999999</v>
      </c>
      <c r="CY27">
        <v>24.780799999999999</v>
      </c>
      <c r="CZ27">
        <v>23.8887</v>
      </c>
      <c r="DA27">
        <v>25.066099999999999</v>
      </c>
      <c r="DB27">
        <v>22.1478</v>
      </c>
      <c r="DC27">
        <v>22.777899999999999</v>
      </c>
      <c r="DD27">
        <v>22.810400000000001</v>
      </c>
      <c r="DE27">
        <v>23.286100000000001</v>
      </c>
      <c r="DF27">
        <v>23.312999999999999</v>
      </c>
      <c r="DG27">
        <v>24.182700000000001</v>
      </c>
      <c r="DH27">
        <v>24.819800000000001</v>
      </c>
      <c r="DI27">
        <v>23.643899999999999</v>
      </c>
      <c r="DJ27">
        <v>26.564800000000002</v>
      </c>
      <c r="DK27">
        <v>24.885000000000002</v>
      </c>
      <c r="DL27">
        <v>23.092300000000002</v>
      </c>
      <c r="DM27">
        <v>22.854600000000001</v>
      </c>
      <c r="DN27">
        <v>25.8748</v>
      </c>
      <c r="DO27">
        <v>24.7394</v>
      </c>
      <c r="DP27">
        <v>24.642700000000001</v>
      </c>
      <c r="DQ27">
        <v>23.828399999999998</v>
      </c>
      <c r="DR27">
        <v>23.504999999999999</v>
      </c>
      <c r="DS27">
        <v>24.7928</v>
      </c>
      <c r="DT27">
        <v>24.909600000000001</v>
      </c>
      <c r="DU27">
        <v>24.774699999999999</v>
      </c>
      <c r="DV27">
        <v>22.8322</v>
      </c>
      <c r="DW27">
        <v>24.494599999999998</v>
      </c>
      <c r="DX27">
        <v>26.598400000000002</v>
      </c>
      <c r="DY27">
        <v>22.802700000000002</v>
      </c>
      <c r="DZ27">
        <v>22.628900000000002</v>
      </c>
      <c r="EA27">
        <v>22.634699999999999</v>
      </c>
      <c r="EB27">
        <v>25.082699999999999</v>
      </c>
      <c r="EC27">
        <v>22.917899999999999</v>
      </c>
      <c r="ED27">
        <v>21.848600000000001</v>
      </c>
      <c r="EE27">
        <v>25.305099999999999</v>
      </c>
      <c r="EF27">
        <v>24.867799999999999</v>
      </c>
      <c r="EG27">
        <v>24.6478</v>
      </c>
      <c r="EH27">
        <v>24.810600000000001</v>
      </c>
      <c r="EI27">
        <v>24.896999999999998</v>
      </c>
      <c r="EJ27">
        <v>24.971800000000002</v>
      </c>
      <c r="EK27">
        <v>23.142399999999999</v>
      </c>
      <c r="EL27">
        <v>22.695399999999999</v>
      </c>
      <c r="EM27">
        <v>22.8795</v>
      </c>
      <c r="EN27">
        <v>23.573899999999998</v>
      </c>
      <c r="EO27">
        <v>23.355599999999999</v>
      </c>
      <c r="EP27">
        <v>23.501899999999999</v>
      </c>
      <c r="EQ27">
        <v>23.840399999999999</v>
      </c>
      <c r="ER27">
        <v>23.118200000000002</v>
      </c>
      <c r="ES27">
        <v>23.13</v>
      </c>
      <c r="ET27">
        <v>23.223099999999999</v>
      </c>
      <c r="EU27">
        <v>23.319400000000002</v>
      </c>
      <c r="EV27">
        <v>26.6311</v>
      </c>
      <c r="EW27">
        <v>26.6311</v>
      </c>
      <c r="EX27">
        <v>26.252199999999998</v>
      </c>
      <c r="EY27">
        <v>24.808</v>
      </c>
      <c r="EZ27">
        <v>25.533999999999999</v>
      </c>
      <c r="FA27">
        <v>23.305199999999999</v>
      </c>
      <c r="FB27">
        <v>24.504899999999999</v>
      </c>
      <c r="FC27">
        <v>24.378399999999999</v>
      </c>
      <c r="FD27">
        <v>24.3611</v>
      </c>
      <c r="FE27">
        <v>24.558599999999998</v>
      </c>
      <c r="FF27">
        <v>22.827500000000001</v>
      </c>
      <c r="FG27">
        <v>0</v>
      </c>
      <c r="FH27">
        <v>21.743400000000001</v>
      </c>
      <c r="FI27">
        <v>24.067399999999999</v>
      </c>
      <c r="FJ27">
        <v>22.414200000000001</v>
      </c>
      <c r="FK27">
        <v>22.610499999999998</v>
      </c>
      <c r="FL27">
        <v>24.5852</v>
      </c>
      <c r="FM27">
        <v>24.522200000000002</v>
      </c>
      <c r="FN27">
        <v>26.666799999999999</v>
      </c>
      <c r="FO27">
        <v>25.142199999999999</v>
      </c>
      <c r="FP27">
        <v>24.700399999999998</v>
      </c>
      <c r="FQ27">
        <v>21.286799999999999</v>
      </c>
      <c r="FR27">
        <v>19.762899999999998</v>
      </c>
      <c r="FS27">
        <v>21.407399999999999</v>
      </c>
      <c r="FT27">
        <v>19.7852</v>
      </c>
      <c r="FU27">
        <v>22.014600000000002</v>
      </c>
      <c r="FV27">
        <v>24.3599</v>
      </c>
      <c r="FW27">
        <v>25.863600000000002</v>
      </c>
      <c r="FX27">
        <v>28.1569</v>
      </c>
      <c r="FY27">
        <v>28.339500000000001</v>
      </c>
      <c r="FZ27">
        <v>27.195399999999999</v>
      </c>
      <c r="GA27">
        <v>25.448599999999999</v>
      </c>
      <c r="GB27">
        <v>23.669699999999999</v>
      </c>
      <c r="GC27">
        <v>22.9513</v>
      </c>
      <c r="GD27">
        <v>22.8993</v>
      </c>
      <c r="GE27">
        <v>23.186599999999999</v>
      </c>
      <c r="GF27">
        <v>20.5032</v>
      </c>
      <c r="GG27">
        <v>23.310099999999998</v>
      </c>
      <c r="GH27">
        <v>23.125499999999999</v>
      </c>
      <c r="GI27">
        <v>23.597999999999999</v>
      </c>
      <c r="GJ27">
        <v>23.542000000000002</v>
      </c>
      <c r="GK27">
        <v>27.028500000000001</v>
      </c>
      <c r="GL27">
        <v>28.000399999999999</v>
      </c>
      <c r="GM27">
        <v>23.257999999999999</v>
      </c>
      <c r="GN27">
        <v>23.687899999999999</v>
      </c>
      <c r="GO27">
        <v>23.7879</v>
      </c>
      <c r="GP27">
        <v>23.796099999999999</v>
      </c>
      <c r="GQ27">
        <v>23.705500000000001</v>
      </c>
      <c r="GR27">
        <v>23.3687</v>
      </c>
      <c r="GS27">
        <v>23.784600000000001</v>
      </c>
      <c r="GT27">
        <v>23.757200000000001</v>
      </c>
      <c r="GU27">
        <v>23.879899999999999</v>
      </c>
      <c r="GV27">
        <v>23.7974</v>
      </c>
      <c r="GW27">
        <v>23.781099999999999</v>
      </c>
      <c r="GX27">
        <v>23.255800000000001</v>
      </c>
      <c r="GY27">
        <v>24.690899999999999</v>
      </c>
      <c r="GZ27">
        <v>24.5717</v>
      </c>
      <c r="HA27">
        <v>24.558900000000001</v>
      </c>
      <c r="HB27">
        <v>0</v>
      </c>
      <c r="HC27">
        <v>15.2622</v>
      </c>
      <c r="HD27">
        <v>24.8184</v>
      </c>
      <c r="HE27">
        <v>15.263199999999999</v>
      </c>
      <c r="HF27">
        <v>23.624500000000001</v>
      </c>
      <c r="HG27">
        <v>23.611999999999998</v>
      </c>
      <c r="HH27">
        <v>24.486899999999999</v>
      </c>
      <c r="HI27">
        <v>26.562200000000001</v>
      </c>
      <c r="HJ27">
        <v>19.439900000000002</v>
      </c>
      <c r="HK27">
        <v>27.172000000000001</v>
      </c>
      <c r="HL27">
        <v>24.805900000000001</v>
      </c>
      <c r="HM27">
        <v>21.1267</v>
      </c>
      <c r="HN27">
        <v>22.140499999999999</v>
      </c>
      <c r="HO27">
        <v>21.1587</v>
      </c>
      <c r="HP27">
        <v>15.008699999999999</v>
      </c>
      <c r="HQ27">
        <v>24.529800000000002</v>
      </c>
      <c r="HR27">
        <v>22.029800000000002</v>
      </c>
      <c r="HS27">
        <v>25.273199999999999</v>
      </c>
      <c r="HT27">
        <v>15.008599999999999</v>
      </c>
      <c r="HU27">
        <v>23.550999999999998</v>
      </c>
      <c r="HV27">
        <v>21.433700000000002</v>
      </c>
      <c r="HW27">
        <v>26.660699999999999</v>
      </c>
      <c r="HX27">
        <v>26.745999999999999</v>
      </c>
      <c r="HY27">
        <v>27.749099999999999</v>
      </c>
      <c r="HZ27">
        <v>22.822900000000001</v>
      </c>
      <c r="IA27">
        <v>23.6373</v>
      </c>
      <c r="IB27">
        <v>22.798400000000001</v>
      </c>
      <c r="IC27">
        <v>23.2346</v>
      </c>
      <c r="ID27">
        <v>23.331199999999999</v>
      </c>
    </row>
    <row r="28" spans="1:238" x14ac:dyDescent="0.25">
      <c r="A28">
        <v>27</v>
      </c>
      <c r="B28">
        <v>25.3447</v>
      </c>
      <c r="C28">
        <v>25.238399999999999</v>
      </c>
      <c r="D28">
        <v>25.2928</v>
      </c>
      <c r="E28">
        <v>24.0261</v>
      </c>
      <c r="F28">
        <v>23.200800000000001</v>
      </c>
      <c r="G28">
        <v>23.143899999999999</v>
      </c>
      <c r="H28">
        <v>23.026700000000002</v>
      </c>
      <c r="I28">
        <v>25.456900000000001</v>
      </c>
      <c r="J28">
        <v>24.7102</v>
      </c>
      <c r="K28">
        <v>26.2746</v>
      </c>
      <c r="L28">
        <v>25.3139</v>
      </c>
      <c r="M28">
        <v>26.0291</v>
      </c>
      <c r="N28">
        <v>24.937899999999999</v>
      </c>
      <c r="O28">
        <v>24.086099999999998</v>
      </c>
      <c r="P28">
        <v>25.368099999999998</v>
      </c>
      <c r="Q28">
        <v>23.541599999999999</v>
      </c>
      <c r="R28">
        <v>34.928600000000003</v>
      </c>
      <c r="S28">
        <v>31.126999999999999</v>
      </c>
      <c r="T28">
        <v>16.666799999999999</v>
      </c>
      <c r="U28">
        <v>24.925999999999998</v>
      </c>
      <c r="V28">
        <v>23.542200000000001</v>
      </c>
      <c r="W28">
        <v>22.9956</v>
      </c>
      <c r="X28">
        <v>23.226500000000001</v>
      </c>
      <c r="Y28">
        <v>23.735800000000001</v>
      </c>
      <c r="Z28">
        <v>23.135100000000001</v>
      </c>
      <c r="AA28">
        <v>23.472999999999999</v>
      </c>
      <c r="AB28">
        <v>23.531600000000001</v>
      </c>
      <c r="AC28">
        <v>24.200399999999998</v>
      </c>
      <c r="AD28">
        <v>26.583300000000001</v>
      </c>
      <c r="AE28">
        <v>25.1953</v>
      </c>
      <c r="AF28">
        <v>24.945599999999999</v>
      </c>
      <c r="AG28">
        <v>24.988399999999999</v>
      </c>
      <c r="AH28">
        <v>26.8156</v>
      </c>
      <c r="AI28">
        <v>25.230599999999999</v>
      </c>
      <c r="AJ28">
        <v>25.0413</v>
      </c>
      <c r="AK28">
        <v>25.708200000000001</v>
      </c>
      <c r="AL28">
        <v>24.6252</v>
      </c>
      <c r="AM28">
        <v>24.2651</v>
      </c>
      <c r="AN28">
        <v>24.4818</v>
      </c>
      <c r="AO28">
        <v>25.421099999999999</v>
      </c>
      <c r="AP28">
        <v>26.944500000000001</v>
      </c>
      <c r="AQ28">
        <v>24.023900000000001</v>
      </c>
      <c r="AR28">
        <v>25.409199999999998</v>
      </c>
      <c r="AS28">
        <v>27.081800000000001</v>
      </c>
      <c r="AT28">
        <v>27.4664</v>
      </c>
      <c r="AU28">
        <v>21.520199999999999</v>
      </c>
      <c r="AV28">
        <v>21.676500000000001</v>
      </c>
      <c r="AW28">
        <v>21.623899999999999</v>
      </c>
      <c r="AX28">
        <v>23.239599999999999</v>
      </c>
      <c r="AY28">
        <v>21.044799999999999</v>
      </c>
      <c r="AZ28">
        <v>20.575399999999998</v>
      </c>
      <c r="BA28">
        <v>22.1968</v>
      </c>
      <c r="BB28">
        <v>21.729800000000001</v>
      </c>
      <c r="BC28">
        <v>21.376300000000001</v>
      </c>
      <c r="BD28">
        <v>22.1204</v>
      </c>
      <c r="BE28">
        <v>22.290199999999999</v>
      </c>
      <c r="BF28">
        <v>29.269200000000001</v>
      </c>
      <c r="BG28">
        <v>21.101299999999998</v>
      </c>
      <c r="BH28">
        <v>21.197900000000001</v>
      </c>
      <c r="BI28">
        <v>20.5914</v>
      </c>
      <c r="BJ28">
        <v>21.3797</v>
      </c>
      <c r="BK28">
        <v>21.396799999999999</v>
      </c>
      <c r="BL28">
        <v>21.1036</v>
      </c>
      <c r="BM28">
        <v>21.135000000000002</v>
      </c>
      <c r="BN28">
        <v>21.1952</v>
      </c>
      <c r="BO28">
        <v>21.4358</v>
      </c>
      <c r="BP28">
        <v>21.454000000000001</v>
      </c>
      <c r="BQ28">
        <v>21.822800000000001</v>
      </c>
      <c r="BR28">
        <v>21.512499999999999</v>
      </c>
      <c r="BS28">
        <v>21.592099999999999</v>
      </c>
      <c r="BT28">
        <v>21.921700000000001</v>
      </c>
      <c r="BU28">
        <v>21.702300000000001</v>
      </c>
      <c r="BV28">
        <v>20.892499999999998</v>
      </c>
      <c r="BW28">
        <v>21.383600000000001</v>
      </c>
      <c r="BX28">
        <v>21.7957</v>
      </c>
      <c r="BY28">
        <v>25.170300000000001</v>
      </c>
      <c r="BZ28">
        <v>28.3537</v>
      </c>
      <c r="CA28">
        <v>26.633099999999999</v>
      </c>
      <c r="CB28">
        <v>26.2286</v>
      </c>
      <c r="CC28">
        <v>24.181100000000001</v>
      </c>
      <c r="CD28">
        <v>24.366099999999999</v>
      </c>
      <c r="CE28">
        <v>31.315300000000001</v>
      </c>
      <c r="CF28">
        <v>24.633800000000001</v>
      </c>
      <c r="CG28">
        <v>24.664000000000001</v>
      </c>
      <c r="CH28">
        <v>24.741800000000001</v>
      </c>
      <c r="CI28">
        <v>24.781600000000001</v>
      </c>
      <c r="CJ28">
        <v>24.864100000000001</v>
      </c>
      <c r="CK28">
        <v>24.8566</v>
      </c>
      <c r="CL28">
        <v>24.726099999999999</v>
      </c>
      <c r="CM28">
        <v>25.493300000000001</v>
      </c>
      <c r="CN28">
        <v>24.355799999999999</v>
      </c>
      <c r="CO28">
        <v>24.435199999999998</v>
      </c>
      <c r="CP28">
        <v>24.180800000000001</v>
      </c>
      <c r="CQ28">
        <v>23.9193</v>
      </c>
      <c r="CR28">
        <v>25.170300000000001</v>
      </c>
      <c r="CS28">
        <v>24.290700000000001</v>
      </c>
      <c r="CT28">
        <v>24.632999999999999</v>
      </c>
      <c r="CU28">
        <v>24.1584</v>
      </c>
      <c r="CV28">
        <v>0</v>
      </c>
      <c r="CW28">
        <v>25.2774</v>
      </c>
      <c r="CX28">
        <v>25.6449</v>
      </c>
      <c r="CY28">
        <v>24.605799999999999</v>
      </c>
      <c r="CZ28">
        <v>23.921299999999999</v>
      </c>
      <c r="DA28">
        <v>24.9833</v>
      </c>
      <c r="DB28">
        <v>18.825800000000001</v>
      </c>
      <c r="DC28">
        <v>20.569900000000001</v>
      </c>
      <c r="DD28">
        <v>20.757000000000001</v>
      </c>
      <c r="DE28">
        <v>21.290400000000002</v>
      </c>
      <c r="DF28">
        <v>21.336300000000001</v>
      </c>
      <c r="DG28">
        <v>24.020299999999999</v>
      </c>
      <c r="DH28">
        <v>24.4819</v>
      </c>
      <c r="DI28">
        <v>21.745200000000001</v>
      </c>
      <c r="DJ28">
        <v>26.215399999999999</v>
      </c>
      <c r="DK28">
        <v>24.547699999999999</v>
      </c>
      <c r="DL28">
        <v>23.023599999999998</v>
      </c>
      <c r="DM28">
        <v>22.789200000000001</v>
      </c>
      <c r="DN28">
        <v>25.773599999999998</v>
      </c>
      <c r="DO28">
        <v>24.6553</v>
      </c>
      <c r="DP28">
        <v>24.5915</v>
      </c>
      <c r="DQ28">
        <v>22.248200000000001</v>
      </c>
      <c r="DR28">
        <v>21.512599999999999</v>
      </c>
      <c r="DS28">
        <v>24.588799999999999</v>
      </c>
      <c r="DT28">
        <v>24.757000000000001</v>
      </c>
      <c r="DU28">
        <v>25.240400000000001</v>
      </c>
      <c r="DV28">
        <v>21.3872</v>
      </c>
      <c r="DW28">
        <v>24.301400000000001</v>
      </c>
      <c r="DX28">
        <v>26.235700000000001</v>
      </c>
      <c r="DY28">
        <v>20.782900000000001</v>
      </c>
      <c r="DZ28">
        <v>21.221599999999999</v>
      </c>
      <c r="EA28">
        <v>21.2271</v>
      </c>
      <c r="EB28">
        <v>26.323599999999999</v>
      </c>
      <c r="EC28">
        <v>22.313300000000002</v>
      </c>
      <c r="ED28">
        <v>21.784199999999998</v>
      </c>
      <c r="EE28">
        <v>25.0379</v>
      </c>
      <c r="EF28">
        <v>25.006499999999999</v>
      </c>
      <c r="EG28">
        <v>24.454999999999998</v>
      </c>
      <c r="EH28">
        <v>24.677700000000002</v>
      </c>
      <c r="EI28">
        <v>24.700399999999998</v>
      </c>
      <c r="EJ28">
        <v>24.791699999999999</v>
      </c>
      <c r="EK28">
        <v>21.625900000000001</v>
      </c>
      <c r="EL28">
        <v>22.642399999999999</v>
      </c>
      <c r="EM28">
        <v>22.825600000000001</v>
      </c>
      <c r="EN28">
        <v>23.042100000000001</v>
      </c>
      <c r="EO28">
        <v>22.828700000000001</v>
      </c>
      <c r="EP28">
        <v>21.509</v>
      </c>
      <c r="EQ28">
        <v>23.8066</v>
      </c>
      <c r="ER28">
        <v>22.091999999999999</v>
      </c>
      <c r="ES28">
        <v>22.5198</v>
      </c>
      <c r="ET28">
        <v>21.206700000000001</v>
      </c>
      <c r="EU28">
        <v>21.423200000000001</v>
      </c>
      <c r="EV28">
        <v>26.315000000000001</v>
      </c>
      <c r="EW28">
        <v>26.315100000000001</v>
      </c>
      <c r="EX28">
        <v>25.94</v>
      </c>
      <c r="EY28">
        <v>25.0062</v>
      </c>
      <c r="EZ28">
        <v>25.2867</v>
      </c>
      <c r="FA28">
        <v>23.372199999999999</v>
      </c>
      <c r="FB28">
        <v>25.517199999999999</v>
      </c>
      <c r="FC28">
        <v>25.4649</v>
      </c>
      <c r="FD28">
        <v>23.9984</v>
      </c>
      <c r="FE28">
        <v>24.520600000000002</v>
      </c>
      <c r="FF28">
        <v>20.861799999999999</v>
      </c>
      <c r="FG28">
        <v>0</v>
      </c>
      <c r="FH28">
        <v>16.970300000000002</v>
      </c>
      <c r="FI28">
        <v>24.033200000000001</v>
      </c>
      <c r="FJ28">
        <v>20.596</v>
      </c>
      <c r="FK28">
        <v>20.7743</v>
      </c>
      <c r="FL28">
        <v>24.545200000000001</v>
      </c>
      <c r="FM28">
        <v>24.4681</v>
      </c>
      <c r="FN28">
        <v>26.308399999999999</v>
      </c>
      <c r="FO28">
        <v>24.854500000000002</v>
      </c>
      <c r="FP28">
        <v>24.3657</v>
      </c>
      <c r="FQ28">
        <v>19.536200000000001</v>
      </c>
      <c r="FR28">
        <v>18.099</v>
      </c>
      <c r="FS28">
        <v>16.715199999999999</v>
      </c>
      <c r="FT28">
        <v>18.121400000000001</v>
      </c>
      <c r="FU28">
        <v>19.949100000000001</v>
      </c>
      <c r="FV28">
        <v>24.165199999999999</v>
      </c>
      <c r="FW28">
        <v>25.777200000000001</v>
      </c>
      <c r="FX28">
        <v>28.044699999999999</v>
      </c>
      <c r="FY28">
        <v>27.9726</v>
      </c>
      <c r="FZ28">
        <v>26.8307</v>
      </c>
      <c r="GA28">
        <v>25.171500000000002</v>
      </c>
      <c r="GB28">
        <v>23.611999999999998</v>
      </c>
      <c r="GC28">
        <v>21.079000000000001</v>
      </c>
      <c r="GD28">
        <v>21.027899999999999</v>
      </c>
      <c r="GE28">
        <v>21.2559</v>
      </c>
      <c r="GF28">
        <v>18.6785</v>
      </c>
      <c r="GG28">
        <v>21.4268</v>
      </c>
      <c r="GH28">
        <v>23.062999999999999</v>
      </c>
      <c r="GI28">
        <v>23.532299999999999</v>
      </c>
      <c r="GJ28">
        <v>23.476800000000001</v>
      </c>
      <c r="GK28">
        <v>26.932500000000001</v>
      </c>
      <c r="GL28">
        <v>27.889600000000002</v>
      </c>
      <c r="GM28">
        <v>23.1906</v>
      </c>
      <c r="GN28">
        <v>21.670100000000001</v>
      </c>
      <c r="GO28">
        <v>21.759699999999999</v>
      </c>
      <c r="GP28">
        <v>21.767299999999999</v>
      </c>
      <c r="GQ28">
        <v>21.688099999999999</v>
      </c>
      <c r="GR28">
        <v>21.3873</v>
      </c>
      <c r="GS28">
        <v>21.756799999999998</v>
      </c>
      <c r="GT28">
        <v>21.7456</v>
      </c>
      <c r="GU28">
        <v>21.858499999999999</v>
      </c>
      <c r="GV28">
        <v>21.7684</v>
      </c>
      <c r="GW28">
        <v>21.747399999999999</v>
      </c>
      <c r="GX28">
        <v>21.305</v>
      </c>
      <c r="GY28">
        <v>24.355799999999999</v>
      </c>
      <c r="GZ28">
        <v>25.169899999999998</v>
      </c>
      <c r="HA28">
        <v>24.521000000000001</v>
      </c>
      <c r="HB28">
        <v>0</v>
      </c>
      <c r="HC28">
        <v>-1.5E-3</v>
      </c>
      <c r="HD28">
        <v>24.715</v>
      </c>
      <c r="HE28">
        <v>1.5E-3</v>
      </c>
      <c r="HF28">
        <v>23.031400000000001</v>
      </c>
      <c r="HG28">
        <v>22.908799999999999</v>
      </c>
      <c r="HH28">
        <v>24.138400000000001</v>
      </c>
      <c r="HI28">
        <v>30.130500000000001</v>
      </c>
      <c r="HJ28">
        <v>11.3698</v>
      </c>
      <c r="HK28">
        <v>26.811</v>
      </c>
      <c r="HL28">
        <v>24.945399999999999</v>
      </c>
      <c r="HM28">
        <v>16.494399999999999</v>
      </c>
      <c r="HN28">
        <v>18.818899999999999</v>
      </c>
      <c r="HO28">
        <v>16.519500000000001</v>
      </c>
      <c r="HP28">
        <v>0</v>
      </c>
      <c r="HQ28">
        <v>24.336400000000001</v>
      </c>
      <c r="HR28">
        <v>20.2807</v>
      </c>
      <c r="HS28">
        <v>27.632899999999999</v>
      </c>
      <c r="HT28">
        <v>0</v>
      </c>
      <c r="HU28">
        <v>23.455300000000001</v>
      </c>
      <c r="HV28">
        <v>19.693000000000001</v>
      </c>
      <c r="HW28">
        <v>26.310199999999998</v>
      </c>
      <c r="HX28">
        <v>26.395399999999999</v>
      </c>
      <c r="HY28">
        <v>27.364799999999999</v>
      </c>
      <c r="HZ28">
        <v>20.857700000000001</v>
      </c>
      <c r="IA28">
        <v>21.622599999999998</v>
      </c>
      <c r="IB28">
        <v>20.836300000000001</v>
      </c>
      <c r="IC28">
        <v>21.288499999999999</v>
      </c>
      <c r="ID28">
        <v>21.4221</v>
      </c>
    </row>
    <row r="29" spans="1:238" x14ac:dyDescent="0.25">
      <c r="A29">
        <v>28</v>
      </c>
      <c r="B29">
        <v>25.370899999999999</v>
      </c>
      <c r="C29">
        <v>25.222799999999999</v>
      </c>
      <c r="D29">
        <v>25.276</v>
      </c>
      <c r="E29">
        <v>24.013300000000001</v>
      </c>
      <c r="F29">
        <v>23.1889</v>
      </c>
      <c r="G29">
        <v>23.149000000000001</v>
      </c>
      <c r="H29">
        <v>23.028500000000001</v>
      </c>
      <c r="I29">
        <v>25.416</v>
      </c>
      <c r="J29">
        <v>24.705500000000001</v>
      </c>
      <c r="K29">
        <v>26.2178</v>
      </c>
      <c r="L29">
        <v>25.277200000000001</v>
      </c>
      <c r="M29">
        <v>25.976500000000001</v>
      </c>
      <c r="N29">
        <v>24.940999999999999</v>
      </c>
      <c r="O29">
        <v>24.074999999999999</v>
      </c>
      <c r="P29">
        <v>25.37</v>
      </c>
      <c r="Q29">
        <v>23.545300000000001</v>
      </c>
      <c r="R29">
        <v>34.902099999999997</v>
      </c>
      <c r="S29">
        <v>31.106999999999999</v>
      </c>
      <c r="T29">
        <v>16.6873</v>
      </c>
      <c r="U29">
        <v>24.902899999999999</v>
      </c>
      <c r="V29">
        <v>23.5474</v>
      </c>
      <c r="W29">
        <v>23.0228</v>
      </c>
      <c r="X29">
        <v>23.244499999999999</v>
      </c>
      <c r="Y29">
        <v>23.735499999999998</v>
      </c>
      <c r="Z29">
        <v>23.139800000000001</v>
      </c>
      <c r="AA29">
        <v>23.475100000000001</v>
      </c>
      <c r="AB29">
        <v>23.534400000000002</v>
      </c>
      <c r="AC29">
        <v>24.1877</v>
      </c>
      <c r="AD29">
        <v>26.507100000000001</v>
      </c>
      <c r="AE29">
        <v>25.180199999999999</v>
      </c>
      <c r="AF29">
        <v>24.927299999999999</v>
      </c>
      <c r="AG29">
        <v>24.968499999999999</v>
      </c>
      <c r="AH29">
        <v>26.732500000000002</v>
      </c>
      <c r="AI29">
        <v>25.2483</v>
      </c>
      <c r="AJ29">
        <v>25.059899999999999</v>
      </c>
      <c r="AK29">
        <v>25.667200000000001</v>
      </c>
      <c r="AL29">
        <v>24.6252</v>
      </c>
      <c r="AM29">
        <v>24.265899999999998</v>
      </c>
      <c r="AN29">
        <v>24.4755</v>
      </c>
      <c r="AO29">
        <v>25.448899999999998</v>
      </c>
      <c r="AP29">
        <v>27.005500000000001</v>
      </c>
      <c r="AQ29">
        <v>24.004100000000001</v>
      </c>
      <c r="AR29">
        <v>25.370100000000001</v>
      </c>
      <c r="AS29">
        <v>27.145700000000001</v>
      </c>
      <c r="AT29">
        <v>27.3767</v>
      </c>
      <c r="AU29">
        <v>21.567599999999999</v>
      </c>
      <c r="AV29">
        <v>21.7652</v>
      </c>
      <c r="AW29">
        <v>21.699200000000001</v>
      </c>
      <c r="AX29">
        <v>23.247399999999999</v>
      </c>
      <c r="AY29">
        <v>21.134599999999999</v>
      </c>
      <c r="AZ29">
        <v>20.665500000000002</v>
      </c>
      <c r="BA29">
        <v>22.252400000000002</v>
      </c>
      <c r="BB29">
        <v>21.843299999999999</v>
      </c>
      <c r="BC29">
        <v>21.467700000000001</v>
      </c>
      <c r="BD29">
        <v>22.1981</v>
      </c>
      <c r="BE29">
        <v>22.349799999999998</v>
      </c>
      <c r="BF29">
        <v>29.2501</v>
      </c>
      <c r="BG29">
        <v>21.1982</v>
      </c>
      <c r="BH29">
        <v>21.238900000000001</v>
      </c>
      <c r="BI29">
        <v>20.717500000000001</v>
      </c>
      <c r="BJ29">
        <v>21.470199999999998</v>
      </c>
      <c r="BK29">
        <v>21.489699999999999</v>
      </c>
      <c r="BL29">
        <v>21.1967</v>
      </c>
      <c r="BM29">
        <v>21.228100000000001</v>
      </c>
      <c r="BN29">
        <v>21.3127</v>
      </c>
      <c r="BO29">
        <v>21.514700000000001</v>
      </c>
      <c r="BP29">
        <v>21.536300000000001</v>
      </c>
      <c r="BQ29">
        <v>21.9224</v>
      </c>
      <c r="BR29">
        <v>21.600200000000001</v>
      </c>
      <c r="BS29">
        <v>21.678599999999999</v>
      </c>
      <c r="BT29">
        <v>22.010300000000001</v>
      </c>
      <c r="BU29">
        <v>21.777000000000001</v>
      </c>
      <c r="BV29">
        <v>21.0185</v>
      </c>
      <c r="BW29">
        <v>21.473700000000001</v>
      </c>
      <c r="BX29">
        <v>21.832799999999999</v>
      </c>
      <c r="BY29">
        <v>25.157699999999998</v>
      </c>
      <c r="BZ29">
        <v>28.331800000000001</v>
      </c>
      <c r="CA29">
        <v>26.5533</v>
      </c>
      <c r="CB29">
        <v>26.168299999999999</v>
      </c>
      <c r="CC29">
        <v>24.1752</v>
      </c>
      <c r="CD29">
        <v>24.276</v>
      </c>
      <c r="CE29">
        <v>31.291799999999999</v>
      </c>
      <c r="CF29">
        <v>24.633700000000001</v>
      </c>
      <c r="CG29">
        <v>24.663399999999999</v>
      </c>
      <c r="CH29">
        <v>24.736999999999998</v>
      </c>
      <c r="CI29">
        <v>24.776599999999998</v>
      </c>
      <c r="CJ29">
        <v>24.857399999999998</v>
      </c>
      <c r="CK29">
        <v>24.850100000000001</v>
      </c>
      <c r="CL29">
        <v>24.723400000000002</v>
      </c>
      <c r="CM29">
        <v>25.4605</v>
      </c>
      <c r="CN29">
        <v>24.341899999999999</v>
      </c>
      <c r="CO29">
        <v>24.427399999999999</v>
      </c>
      <c r="CP29">
        <v>24.168299999999999</v>
      </c>
      <c r="CQ29">
        <v>23.909099999999999</v>
      </c>
      <c r="CR29">
        <v>25.157599999999999</v>
      </c>
      <c r="CS29">
        <v>24.276499999999999</v>
      </c>
      <c r="CT29">
        <v>24.6142</v>
      </c>
      <c r="CU29">
        <v>24.1448</v>
      </c>
      <c r="CV29">
        <v>0</v>
      </c>
      <c r="CW29">
        <v>25.241900000000001</v>
      </c>
      <c r="CX29">
        <v>25.602900000000002</v>
      </c>
      <c r="CY29">
        <v>24.601800000000001</v>
      </c>
      <c r="CZ29">
        <v>23.9209</v>
      </c>
      <c r="DA29">
        <v>24.997299999999999</v>
      </c>
      <c r="DB29">
        <v>18.850100000000001</v>
      </c>
      <c r="DC29">
        <v>20.5959</v>
      </c>
      <c r="DD29">
        <v>20.815100000000001</v>
      </c>
      <c r="DE29">
        <v>21.377700000000001</v>
      </c>
      <c r="DF29">
        <v>21.4252</v>
      </c>
      <c r="DG29">
        <v>24.015999999999998</v>
      </c>
      <c r="DH29">
        <v>24.4663</v>
      </c>
      <c r="DI29">
        <v>21.832999999999998</v>
      </c>
      <c r="DJ29">
        <v>26.154599999999999</v>
      </c>
      <c r="DK29">
        <v>24.530899999999999</v>
      </c>
      <c r="DL29">
        <v>23.026</v>
      </c>
      <c r="DM29">
        <v>22.83</v>
      </c>
      <c r="DN29">
        <v>25.771699999999999</v>
      </c>
      <c r="DO29">
        <v>24.663399999999999</v>
      </c>
      <c r="DP29">
        <v>24.573899999999998</v>
      </c>
      <c r="DQ29">
        <v>22.3111</v>
      </c>
      <c r="DR29">
        <v>21.611000000000001</v>
      </c>
      <c r="DS29">
        <v>24.5807</v>
      </c>
      <c r="DT29">
        <v>24.7516</v>
      </c>
      <c r="DU29">
        <v>25.226600000000001</v>
      </c>
      <c r="DV29">
        <v>21.4316</v>
      </c>
      <c r="DW29">
        <v>24.292300000000001</v>
      </c>
      <c r="DX29">
        <v>26.179600000000001</v>
      </c>
      <c r="DY29">
        <v>20.855699999999999</v>
      </c>
      <c r="DZ29">
        <v>21.262599999999999</v>
      </c>
      <c r="EA29">
        <v>21.2682</v>
      </c>
      <c r="EB29">
        <v>26.3064</v>
      </c>
      <c r="EC29">
        <v>22.3203</v>
      </c>
      <c r="ED29">
        <v>21.788699999999999</v>
      </c>
      <c r="EE29">
        <v>25.012799999999999</v>
      </c>
      <c r="EF29">
        <v>24.9879</v>
      </c>
      <c r="EG29">
        <v>24.445399999999999</v>
      </c>
      <c r="EH29">
        <v>24.6753</v>
      </c>
      <c r="EI29">
        <v>24.6904</v>
      </c>
      <c r="EJ29">
        <v>24.7803</v>
      </c>
      <c r="EK29">
        <v>21.676400000000001</v>
      </c>
      <c r="EL29">
        <v>22.648599999999998</v>
      </c>
      <c r="EM29">
        <v>22.831099999999999</v>
      </c>
      <c r="EN29">
        <v>23.0411</v>
      </c>
      <c r="EO29">
        <v>22.8277</v>
      </c>
      <c r="EP29">
        <v>21.6067</v>
      </c>
      <c r="EQ29">
        <v>23.793700000000001</v>
      </c>
      <c r="ER29">
        <v>22.098600000000001</v>
      </c>
      <c r="ES29">
        <v>22.526900000000001</v>
      </c>
      <c r="ET29">
        <v>21.285599999999999</v>
      </c>
      <c r="EU29">
        <v>21.5015</v>
      </c>
      <c r="EV29">
        <v>26.286300000000001</v>
      </c>
      <c r="EW29">
        <v>26.286300000000001</v>
      </c>
      <c r="EX29">
        <v>25.909199999999998</v>
      </c>
      <c r="EY29">
        <v>24.988600000000002</v>
      </c>
      <c r="EZ29">
        <v>25.268699999999999</v>
      </c>
      <c r="FA29">
        <v>23.392199999999999</v>
      </c>
      <c r="FB29">
        <v>25.511700000000001</v>
      </c>
      <c r="FC29">
        <v>25.465399999999999</v>
      </c>
      <c r="FD29">
        <v>23.986000000000001</v>
      </c>
      <c r="FE29">
        <v>24.4999</v>
      </c>
      <c r="FF29">
        <v>20.9389</v>
      </c>
      <c r="FG29">
        <v>0</v>
      </c>
      <c r="FH29">
        <v>16.9937</v>
      </c>
      <c r="FI29">
        <v>24.020199999999999</v>
      </c>
      <c r="FJ29">
        <v>20.686</v>
      </c>
      <c r="FK29">
        <v>20.8645</v>
      </c>
      <c r="FL29">
        <v>24.525600000000001</v>
      </c>
      <c r="FM29">
        <v>24.451799999999999</v>
      </c>
      <c r="FN29">
        <v>26.249400000000001</v>
      </c>
      <c r="FO29">
        <v>24.837599999999998</v>
      </c>
      <c r="FP29">
        <v>24.351800000000001</v>
      </c>
      <c r="FQ29">
        <v>19.628299999999999</v>
      </c>
      <c r="FR29">
        <v>18.186699999999998</v>
      </c>
      <c r="FS29">
        <v>16.736499999999999</v>
      </c>
      <c r="FT29">
        <v>18.209099999999999</v>
      </c>
      <c r="FU29">
        <v>20.071899999999999</v>
      </c>
      <c r="FV29">
        <v>24.152999999999999</v>
      </c>
      <c r="FW29">
        <v>25.799099999999999</v>
      </c>
      <c r="FX29">
        <v>28.087</v>
      </c>
      <c r="FY29">
        <v>27.950600000000001</v>
      </c>
      <c r="FZ29">
        <v>26.7469</v>
      </c>
      <c r="GA29">
        <v>25.144200000000001</v>
      </c>
      <c r="GB29">
        <v>23.614599999999999</v>
      </c>
      <c r="GC29">
        <v>21.1737</v>
      </c>
      <c r="GD29">
        <v>21.121200000000002</v>
      </c>
      <c r="GE29">
        <v>21.3474</v>
      </c>
      <c r="GF29">
        <v>18.773199999999999</v>
      </c>
      <c r="GG29">
        <v>21.521000000000001</v>
      </c>
      <c r="GH29">
        <v>23.066299999999998</v>
      </c>
      <c r="GI29">
        <v>23.534300000000002</v>
      </c>
      <c r="GJ29">
        <v>23.478899999999999</v>
      </c>
      <c r="GK29">
        <v>26.9678</v>
      </c>
      <c r="GL29">
        <v>27.931000000000001</v>
      </c>
      <c r="GM29">
        <v>23.196999999999999</v>
      </c>
      <c r="GN29">
        <v>21.774000000000001</v>
      </c>
      <c r="GO29">
        <v>21.874600000000001</v>
      </c>
      <c r="GP29">
        <v>21.881699999999999</v>
      </c>
      <c r="GQ29">
        <v>21.7928</v>
      </c>
      <c r="GR29">
        <v>21.485499999999998</v>
      </c>
      <c r="GS29">
        <v>21.871300000000002</v>
      </c>
      <c r="GT29">
        <v>21.8443</v>
      </c>
      <c r="GU29">
        <v>21.958100000000002</v>
      </c>
      <c r="GV29">
        <v>21.882999999999999</v>
      </c>
      <c r="GW29">
        <v>21.867999999999999</v>
      </c>
      <c r="GX29">
        <v>21.425000000000001</v>
      </c>
      <c r="GY29">
        <v>24.341899999999999</v>
      </c>
      <c r="GZ29">
        <v>25.157299999999999</v>
      </c>
      <c r="HA29">
        <v>24.500299999999999</v>
      </c>
      <c r="HB29">
        <v>0</v>
      </c>
      <c r="HC29">
        <v>-1.5E-3</v>
      </c>
      <c r="HD29">
        <v>24.7103</v>
      </c>
      <c r="HE29">
        <v>1.5E-3</v>
      </c>
      <c r="HF29">
        <v>23.030200000000001</v>
      </c>
      <c r="HG29">
        <v>22.9069</v>
      </c>
      <c r="HH29">
        <v>24.126300000000001</v>
      </c>
      <c r="HI29">
        <v>30.111799999999999</v>
      </c>
      <c r="HJ29">
        <v>11.380599999999999</v>
      </c>
      <c r="HK29">
        <v>26.7315</v>
      </c>
      <c r="HL29">
        <v>24.927</v>
      </c>
      <c r="HM29">
        <v>16.5153</v>
      </c>
      <c r="HN29">
        <v>18.842600000000001</v>
      </c>
      <c r="HO29">
        <v>16.539100000000001</v>
      </c>
      <c r="HP29">
        <v>0</v>
      </c>
      <c r="HQ29">
        <v>24.328399999999998</v>
      </c>
      <c r="HR29">
        <v>20.408999999999999</v>
      </c>
      <c r="HS29">
        <v>27.626899999999999</v>
      </c>
      <c r="HT29">
        <v>0</v>
      </c>
      <c r="HU29">
        <v>23.456800000000001</v>
      </c>
      <c r="HV29">
        <v>19.778500000000001</v>
      </c>
      <c r="HW29">
        <v>26.2455</v>
      </c>
      <c r="HX29">
        <v>26.327000000000002</v>
      </c>
      <c r="HY29">
        <v>27.2761</v>
      </c>
      <c r="HZ29">
        <v>20.934799999999999</v>
      </c>
      <c r="IA29">
        <v>21.7288</v>
      </c>
      <c r="IB29">
        <v>20.915600000000001</v>
      </c>
      <c r="IC29">
        <v>21.366900000000001</v>
      </c>
      <c r="ID29">
        <v>21.500599999999999</v>
      </c>
    </row>
    <row r="30" spans="1:238" x14ac:dyDescent="0.25">
      <c r="A30">
        <v>29</v>
      </c>
      <c r="B30">
        <v>25.470600000000001</v>
      </c>
      <c r="C30">
        <v>25.289899999999999</v>
      </c>
      <c r="D30">
        <v>25.343900000000001</v>
      </c>
      <c r="E30">
        <v>24.061900000000001</v>
      </c>
      <c r="F30">
        <v>23.2242</v>
      </c>
      <c r="G30">
        <v>23.213899999999999</v>
      </c>
      <c r="H30">
        <v>23.094999999999999</v>
      </c>
      <c r="I30">
        <v>25.531099999999999</v>
      </c>
      <c r="J30">
        <v>24.715800000000002</v>
      </c>
      <c r="K30">
        <v>26.339099999999998</v>
      </c>
      <c r="L30">
        <v>25.3704</v>
      </c>
      <c r="M30">
        <v>26.090399999999999</v>
      </c>
      <c r="N30">
        <v>25.025099999999998</v>
      </c>
      <c r="O30">
        <v>24.132100000000001</v>
      </c>
      <c r="P30">
        <v>25.4544</v>
      </c>
      <c r="Q30">
        <v>23.6203</v>
      </c>
      <c r="R30">
        <v>34.998899999999999</v>
      </c>
      <c r="S30">
        <v>31.197199999999999</v>
      </c>
      <c r="T30">
        <v>16.7562</v>
      </c>
      <c r="U30">
        <v>24.965800000000002</v>
      </c>
      <c r="V30">
        <v>23.608799999999999</v>
      </c>
      <c r="W30">
        <v>23.084</v>
      </c>
      <c r="X30">
        <v>23.302800000000001</v>
      </c>
      <c r="Y30">
        <v>23.797499999999999</v>
      </c>
      <c r="Z30">
        <v>23.205200000000001</v>
      </c>
      <c r="AA30">
        <v>23.536899999999999</v>
      </c>
      <c r="AB30">
        <v>23.595700000000001</v>
      </c>
      <c r="AC30">
        <v>24.249300000000002</v>
      </c>
      <c r="AD30">
        <v>26.614899999999999</v>
      </c>
      <c r="AE30">
        <v>25.2468</v>
      </c>
      <c r="AF30">
        <v>24.981300000000001</v>
      </c>
      <c r="AG30">
        <v>25.0291</v>
      </c>
      <c r="AH30">
        <v>26.834199999999999</v>
      </c>
      <c r="AI30">
        <v>25.345300000000002</v>
      </c>
      <c r="AJ30">
        <v>25.153300000000002</v>
      </c>
      <c r="AK30">
        <v>25.767299999999999</v>
      </c>
      <c r="AL30">
        <v>24.6252</v>
      </c>
      <c r="AM30">
        <v>24.3428</v>
      </c>
      <c r="AN30">
        <v>24.517199999999999</v>
      </c>
      <c r="AO30">
        <v>25.5504</v>
      </c>
      <c r="AP30">
        <v>27.142499999999998</v>
      </c>
      <c r="AQ30">
        <v>24.096599999999999</v>
      </c>
      <c r="AR30">
        <v>25.466999999999999</v>
      </c>
      <c r="AS30">
        <v>27.286100000000001</v>
      </c>
      <c r="AT30">
        <v>27.475000000000001</v>
      </c>
      <c r="AU30">
        <v>21.700900000000001</v>
      </c>
      <c r="AV30">
        <v>21.929400000000001</v>
      </c>
      <c r="AW30">
        <v>21.863099999999999</v>
      </c>
      <c r="AX30">
        <v>23.328499999999998</v>
      </c>
      <c r="AY30">
        <v>21.297499999999999</v>
      </c>
      <c r="AZ30">
        <v>20.830100000000002</v>
      </c>
      <c r="BA30">
        <v>22.4055</v>
      </c>
      <c r="BB30">
        <v>22.014900000000001</v>
      </c>
      <c r="BC30">
        <v>21.623899999999999</v>
      </c>
      <c r="BD30">
        <v>22.360099999999999</v>
      </c>
      <c r="BE30">
        <v>22.5062</v>
      </c>
      <c r="BF30">
        <v>29.336099999999998</v>
      </c>
      <c r="BG30">
        <v>21.366399999999999</v>
      </c>
      <c r="BH30">
        <v>21.365300000000001</v>
      </c>
      <c r="BI30">
        <v>20.9084</v>
      </c>
      <c r="BJ30">
        <v>21.623100000000001</v>
      </c>
      <c r="BK30">
        <v>21.644300000000001</v>
      </c>
      <c r="BL30">
        <v>21.3596</v>
      </c>
      <c r="BM30">
        <v>21.390599999999999</v>
      </c>
      <c r="BN30">
        <v>21.484500000000001</v>
      </c>
      <c r="BO30">
        <v>21.6568</v>
      </c>
      <c r="BP30">
        <v>21.681799999999999</v>
      </c>
      <c r="BQ30">
        <v>22.086200000000002</v>
      </c>
      <c r="BR30">
        <v>21.7575</v>
      </c>
      <c r="BS30">
        <v>21.837599999999998</v>
      </c>
      <c r="BT30">
        <v>22.167899999999999</v>
      </c>
      <c r="BU30">
        <v>21.945399999999999</v>
      </c>
      <c r="BV30">
        <v>21.2148</v>
      </c>
      <c r="BW30">
        <v>21.626899999999999</v>
      </c>
      <c r="BX30">
        <v>21.956900000000001</v>
      </c>
      <c r="BY30">
        <v>25.226299999999998</v>
      </c>
      <c r="BZ30">
        <v>28.4145</v>
      </c>
      <c r="CA30">
        <v>26.662400000000002</v>
      </c>
      <c r="CB30">
        <v>26.275400000000001</v>
      </c>
      <c r="CC30">
        <v>24.250800000000002</v>
      </c>
      <c r="CD30">
        <v>24.276</v>
      </c>
      <c r="CE30">
        <v>31.381599999999999</v>
      </c>
      <c r="CF30">
        <v>24.6341</v>
      </c>
      <c r="CG30">
        <v>24.664100000000001</v>
      </c>
      <c r="CH30">
        <v>24.747599999999998</v>
      </c>
      <c r="CI30">
        <v>24.7898</v>
      </c>
      <c r="CJ30">
        <v>24.865300000000001</v>
      </c>
      <c r="CK30">
        <v>24.8611</v>
      </c>
      <c r="CL30">
        <v>24.730399999999999</v>
      </c>
      <c r="CM30">
        <v>25.566800000000001</v>
      </c>
      <c r="CN30">
        <v>24.407900000000001</v>
      </c>
      <c r="CO30">
        <v>24.476600000000001</v>
      </c>
      <c r="CP30">
        <v>24.2224</v>
      </c>
      <c r="CQ30">
        <v>23.968900000000001</v>
      </c>
      <c r="CR30">
        <v>25.226199999999999</v>
      </c>
      <c r="CS30">
        <v>24.366199999999999</v>
      </c>
      <c r="CT30">
        <v>24.707000000000001</v>
      </c>
      <c r="CU30">
        <v>24.2</v>
      </c>
      <c r="CV30">
        <v>0</v>
      </c>
      <c r="CW30">
        <v>25.331800000000001</v>
      </c>
      <c r="CX30">
        <v>25.700700000000001</v>
      </c>
      <c r="CY30">
        <v>24.644400000000001</v>
      </c>
      <c r="CZ30">
        <v>23.985399999999998</v>
      </c>
      <c r="DA30">
        <v>25.0886</v>
      </c>
      <c r="DB30">
        <v>18.9298</v>
      </c>
      <c r="DC30">
        <v>20.682300000000001</v>
      </c>
      <c r="DD30">
        <v>20.928599999999999</v>
      </c>
      <c r="DE30">
        <v>21.5275</v>
      </c>
      <c r="DF30">
        <v>21.576799999999999</v>
      </c>
      <c r="DG30">
        <v>24.072500000000002</v>
      </c>
      <c r="DH30">
        <v>24.535799999999998</v>
      </c>
      <c r="DI30">
        <v>21.989799999999999</v>
      </c>
      <c r="DJ30">
        <v>26.260400000000001</v>
      </c>
      <c r="DK30">
        <v>24.603000000000002</v>
      </c>
      <c r="DL30">
        <v>23.094000000000001</v>
      </c>
      <c r="DM30">
        <v>22.9087</v>
      </c>
      <c r="DN30">
        <v>25.862100000000002</v>
      </c>
      <c r="DO30">
        <v>24.7437</v>
      </c>
      <c r="DP30">
        <v>24.608799999999999</v>
      </c>
      <c r="DQ30">
        <v>22.468599999999999</v>
      </c>
      <c r="DR30">
        <v>21.770199999999999</v>
      </c>
      <c r="DS30">
        <v>24.634</v>
      </c>
      <c r="DT30">
        <v>24.802700000000002</v>
      </c>
      <c r="DU30">
        <v>25.2956</v>
      </c>
      <c r="DV30">
        <v>21.561800000000002</v>
      </c>
      <c r="DW30">
        <v>24.3461</v>
      </c>
      <c r="DX30">
        <v>26.299700000000001</v>
      </c>
      <c r="DY30">
        <v>20.9817</v>
      </c>
      <c r="DZ30">
        <v>21.389099999999999</v>
      </c>
      <c r="EA30">
        <v>21.394600000000001</v>
      </c>
      <c r="EB30">
        <v>26.381599999999999</v>
      </c>
      <c r="EC30">
        <v>22.394400000000001</v>
      </c>
      <c r="ED30">
        <v>21.850300000000001</v>
      </c>
      <c r="EE30">
        <v>25.1114</v>
      </c>
      <c r="EF30">
        <v>25.039200000000001</v>
      </c>
      <c r="EG30">
        <v>24.513200000000001</v>
      </c>
      <c r="EH30">
        <v>24.690899999999999</v>
      </c>
      <c r="EI30">
        <v>24.747599999999998</v>
      </c>
      <c r="EJ30">
        <v>24.843499999999999</v>
      </c>
      <c r="EK30">
        <v>21.811599999999999</v>
      </c>
      <c r="EL30">
        <v>22.713100000000001</v>
      </c>
      <c r="EM30">
        <v>22.895499999999998</v>
      </c>
      <c r="EN30">
        <v>23.104600000000001</v>
      </c>
      <c r="EO30">
        <v>22.890699999999999</v>
      </c>
      <c r="EP30">
        <v>21.7654</v>
      </c>
      <c r="EQ30">
        <v>23.8416</v>
      </c>
      <c r="ER30">
        <v>22.1693</v>
      </c>
      <c r="ES30">
        <v>22.601700000000001</v>
      </c>
      <c r="ET30">
        <v>21.427099999999999</v>
      </c>
      <c r="EU30">
        <v>21.643000000000001</v>
      </c>
      <c r="EV30">
        <v>26.411799999999999</v>
      </c>
      <c r="EW30">
        <v>26.411799999999999</v>
      </c>
      <c r="EX30">
        <v>26.026399999999999</v>
      </c>
      <c r="EY30">
        <v>25.0456</v>
      </c>
      <c r="EZ30">
        <v>25.369499999999999</v>
      </c>
      <c r="FA30">
        <v>23.505500000000001</v>
      </c>
      <c r="FB30">
        <v>25.582599999999999</v>
      </c>
      <c r="FC30">
        <v>25.548500000000001</v>
      </c>
      <c r="FD30">
        <v>24.039400000000001</v>
      </c>
      <c r="FE30">
        <v>24.541</v>
      </c>
      <c r="FF30">
        <v>21.0684</v>
      </c>
      <c r="FG30">
        <v>0</v>
      </c>
      <c r="FH30">
        <v>17.061800000000002</v>
      </c>
      <c r="FI30">
        <v>24.0685</v>
      </c>
      <c r="FJ30">
        <v>20.849900000000002</v>
      </c>
      <c r="FK30">
        <v>21.0261</v>
      </c>
      <c r="FL30">
        <v>24.569099999999999</v>
      </c>
      <c r="FM30">
        <v>24.493300000000001</v>
      </c>
      <c r="FN30">
        <v>26.364799999999999</v>
      </c>
      <c r="FO30">
        <v>24.921399999999998</v>
      </c>
      <c r="FP30">
        <v>24.418099999999999</v>
      </c>
      <c r="FQ30">
        <v>19.812899999999999</v>
      </c>
      <c r="FR30">
        <v>18.3828</v>
      </c>
      <c r="FS30">
        <v>16.805099999999999</v>
      </c>
      <c r="FT30">
        <v>18.4041</v>
      </c>
      <c r="FU30">
        <v>20.444800000000001</v>
      </c>
      <c r="FV30">
        <v>24.212900000000001</v>
      </c>
      <c r="FW30">
        <v>25.8993</v>
      </c>
      <c r="FX30">
        <v>28.2</v>
      </c>
      <c r="FY30">
        <v>28.114000000000001</v>
      </c>
      <c r="FZ30">
        <v>26.848199999999999</v>
      </c>
      <c r="GA30">
        <v>25.244900000000001</v>
      </c>
      <c r="GB30">
        <v>23.686900000000001</v>
      </c>
      <c r="GC30">
        <v>21.338899999999999</v>
      </c>
      <c r="GD30">
        <v>21.2849</v>
      </c>
      <c r="GE30">
        <v>21.505400000000002</v>
      </c>
      <c r="GF30">
        <v>19.0366</v>
      </c>
      <c r="GG30">
        <v>21.6768</v>
      </c>
      <c r="GH30">
        <v>23.133099999999999</v>
      </c>
      <c r="GI30">
        <v>23.598600000000001</v>
      </c>
      <c r="GJ30">
        <v>23.540800000000001</v>
      </c>
      <c r="GK30">
        <v>27.075199999999999</v>
      </c>
      <c r="GL30">
        <v>28.043800000000001</v>
      </c>
      <c r="GM30">
        <v>23.261199999999999</v>
      </c>
      <c r="GN30">
        <v>21.932200000000002</v>
      </c>
      <c r="GO30">
        <v>22.04</v>
      </c>
      <c r="GP30">
        <v>22.0471</v>
      </c>
      <c r="GQ30">
        <v>21.957799999999999</v>
      </c>
      <c r="GR30">
        <v>21.645199999999999</v>
      </c>
      <c r="GS30">
        <v>22.0367</v>
      </c>
      <c r="GT30">
        <v>22.007200000000001</v>
      </c>
      <c r="GU30">
        <v>22.1221</v>
      </c>
      <c r="GV30">
        <v>22.048400000000001</v>
      </c>
      <c r="GW30">
        <v>22.0334</v>
      </c>
      <c r="GX30">
        <v>21.603899999999999</v>
      </c>
      <c r="GY30">
        <v>24.407900000000001</v>
      </c>
      <c r="GZ30">
        <v>25.225899999999999</v>
      </c>
      <c r="HA30">
        <v>24.541399999999999</v>
      </c>
      <c r="HB30">
        <v>0</v>
      </c>
      <c r="HC30">
        <v>-1.5E-3</v>
      </c>
      <c r="HD30">
        <v>24.720600000000001</v>
      </c>
      <c r="HE30">
        <v>1.5E-3</v>
      </c>
      <c r="HF30">
        <v>23.093900000000001</v>
      </c>
      <c r="HG30">
        <v>22.9695</v>
      </c>
      <c r="HH30">
        <v>24.184999999999999</v>
      </c>
      <c r="HI30">
        <v>30.201499999999999</v>
      </c>
      <c r="HJ30">
        <v>11.4253</v>
      </c>
      <c r="HK30">
        <v>26.837800000000001</v>
      </c>
      <c r="HL30">
        <v>24.981000000000002</v>
      </c>
      <c r="HM30">
        <v>16.584</v>
      </c>
      <c r="HN30">
        <v>18.921900000000001</v>
      </c>
      <c r="HO30">
        <v>16.6069</v>
      </c>
      <c r="HP30">
        <v>0</v>
      </c>
      <c r="HQ30">
        <v>24.375800000000002</v>
      </c>
      <c r="HR30">
        <v>20.611799999999999</v>
      </c>
      <c r="HS30">
        <v>27.714099999999998</v>
      </c>
      <c r="HT30">
        <v>0</v>
      </c>
      <c r="HU30">
        <v>23.525300000000001</v>
      </c>
      <c r="HV30">
        <v>19.931699999999999</v>
      </c>
      <c r="HW30">
        <v>26.351900000000001</v>
      </c>
      <c r="HX30">
        <v>26.433599999999998</v>
      </c>
      <c r="HY30">
        <v>27.3749</v>
      </c>
      <c r="HZ30">
        <v>21.064599999999999</v>
      </c>
      <c r="IA30">
        <v>21.886399999999998</v>
      </c>
      <c r="IB30">
        <v>21.0458</v>
      </c>
      <c r="IC30">
        <v>21.5031</v>
      </c>
      <c r="ID30">
        <v>21.641300000000001</v>
      </c>
    </row>
    <row r="31" spans="1:238" x14ac:dyDescent="0.25">
      <c r="A31">
        <v>30</v>
      </c>
      <c r="B31">
        <v>25.4968</v>
      </c>
      <c r="C31">
        <v>25.2943</v>
      </c>
      <c r="D31">
        <v>25.3476</v>
      </c>
      <c r="E31">
        <v>24.075700000000001</v>
      </c>
      <c r="F31">
        <v>23.240400000000001</v>
      </c>
      <c r="G31">
        <v>23.232900000000001</v>
      </c>
      <c r="H31">
        <v>23.111499999999999</v>
      </c>
      <c r="I31">
        <v>25.539000000000001</v>
      </c>
      <c r="J31">
        <v>24.724399999999999</v>
      </c>
      <c r="K31">
        <v>26.340399999999999</v>
      </c>
      <c r="L31">
        <v>25.372800000000002</v>
      </c>
      <c r="M31">
        <v>26.0914</v>
      </c>
      <c r="N31">
        <v>25.036100000000001</v>
      </c>
      <c r="O31">
        <v>24.142700000000001</v>
      </c>
      <c r="P31">
        <v>25.489799999999999</v>
      </c>
      <c r="Q31">
        <v>23.6493</v>
      </c>
      <c r="R31">
        <v>35.034700000000001</v>
      </c>
      <c r="S31">
        <v>31.229299999999999</v>
      </c>
      <c r="T31">
        <v>16.805299999999999</v>
      </c>
      <c r="U31">
        <v>24.970500000000001</v>
      </c>
      <c r="V31">
        <v>23.630400000000002</v>
      </c>
      <c r="W31">
        <v>23.113</v>
      </c>
      <c r="X31">
        <v>23.330300000000001</v>
      </c>
      <c r="Y31">
        <v>23.817</v>
      </c>
      <c r="Z31">
        <v>23.223800000000001</v>
      </c>
      <c r="AA31">
        <v>23.555499999999999</v>
      </c>
      <c r="AB31">
        <v>23.614000000000001</v>
      </c>
      <c r="AC31">
        <v>24.259899999999998</v>
      </c>
      <c r="AD31">
        <v>26.616</v>
      </c>
      <c r="AE31">
        <v>25.251300000000001</v>
      </c>
      <c r="AF31">
        <v>24.988199999999999</v>
      </c>
      <c r="AG31">
        <v>25.033799999999999</v>
      </c>
      <c r="AH31">
        <v>26.832799999999999</v>
      </c>
      <c r="AI31">
        <v>25.367599999999999</v>
      </c>
      <c r="AJ31">
        <v>25.176200000000001</v>
      </c>
      <c r="AK31">
        <v>25.7683</v>
      </c>
      <c r="AL31">
        <v>24.634</v>
      </c>
      <c r="AM31">
        <v>24.3583</v>
      </c>
      <c r="AN31">
        <v>24.529</v>
      </c>
      <c r="AO31">
        <v>25.576799999999999</v>
      </c>
      <c r="AP31">
        <v>27.174199999999999</v>
      </c>
      <c r="AQ31">
        <v>24.107299999999999</v>
      </c>
      <c r="AR31">
        <v>25.467600000000001</v>
      </c>
      <c r="AS31">
        <v>27.318200000000001</v>
      </c>
      <c r="AT31">
        <v>27.472999999999999</v>
      </c>
      <c r="AU31">
        <v>21.780899999999999</v>
      </c>
      <c r="AV31">
        <v>22.077999999999999</v>
      </c>
      <c r="AW31">
        <v>22.0122</v>
      </c>
      <c r="AX31">
        <v>23.359500000000001</v>
      </c>
      <c r="AY31">
        <v>21.4282</v>
      </c>
      <c r="AZ31">
        <v>20.963200000000001</v>
      </c>
      <c r="BA31">
        <v>22.4998</v>
      </c>
      <c r="BB31">
        <v>22.1495</v>
      </c>
      <c r="BC31">
        <v>21.750299999999999</v>
      </c>
      <c r="BD31">
        <v>22.476800000000001</v>
      </c>
      <c r="BE31">
        <v>22.604700000000001</v>
      </c>
      <c r="BF31">
        <v>29.359200000000001</v>
      </c>
      <c r="BG31">
        <v>21.499099999999999</v>
      </c>
      <c r="BH31">
        <v>21.437799999999999</v>
      </c>
      <c r="BI31">
        <v>21.058399999999999</v>
      </c>
      <c r="BJ31">
        <v>21.7575</v>
      </c>
      <c r="BK31">
        <v>21.781199999999998</v>
      </c>
      <c r="BL31">
        <v>21.4924</v>
      </c>
      <c r="BM31">
        <v>21.523499999999999</v>
      </c>
      <c r="BN31">
        <v>21.6221</v>
      </c>
      <c r="BO31">
        <v>21.772099999999998</v>
      </c>
      <c r="BP31">
        <v>21.799800000000001</v>
      </c>
      <c r="BQ31">
        <v>22.219899999999999</v>
      </c>
      <c r="BR31">
        <v>21.895</v>
      </c>
      <c r="BS31">
        <v>21.975300000000001</v>
      </c>
      <c r="BT31">
        <v>22.2941</v>
      </c>
      <c r="BU31">
        <v>22.084299999999999</v>
      </c>
      <c r="BV31">
        <v>21.376000000000001</v>
      </c>
      <c r="BW31">
        <v>21.7607</v>
      </c>
      <c r="BX31">
        <v>22.024000000000001</v>
      </c>
      <c r="BY31">
        <v>25.226299999999998</v>
      </c>
      <c r="BZ31">
        <v>28.429300000000001</v>
      </c>
      <c r="CA31">
        <v>26.663799999999998</v>
      </c>
      <c r="CB31">
        <v>26.276399999999999</v>
      </c>
      <c r="CC31">
        <v>24.264800000000001</v>
      </c>
      <c r="CD31">
        <v>24.276</v>
      </c>
      <c r="CE31">
        <v>31.420100000000001</v>
      </c>
      <c r="CF31">
        <v>24.642900000000001</v>
      </c>
      <c r="CG31">
        <v>24.672799999999999</v>
      </c>
      <c r="CH31">
        <v>24.756</v>
      </c>
      <c r="CI31">
        <v>24.797999999999998</v>
      </c>
      <c r="CJ31">
        <v>24.8734</v>
      </c>
      <c r="CK31">
        <v>24.869299999999999</v>
      </c>
      <c r="CL31">
        <v>24.738800000000001</v>
      </c>
      <c r="CM31">
        <v>25.577400000000001</v>
      </c>
      <c r="CN31">
        <v>24.420500000000001</v>
      </c>
      <c r="CO31">
        <v>24.4892</v>
      </c>
      <c r="CP31">
        <v>24.232900000000001</v>
      </c>
      <c r="CQ31">
        <v>23.98</v>
      </c>
      <c r="CR31">
        <v>25.226199999999999</v>
      </c>
      <c r="CS31">
        <v>24.380099999999999</v>
      </c>
      <c r="CT31">
        <v>24.718699999999998</v>
      </c>
      <c r="CU31">
        <v>24.2102</v>
      </c>
      <c r="CV31">
        <v>0</v>
      </c>
      <c r="CW31">
        <v>25.334499999999998</v>
      </c>
      <c r="CX31">
        <v>25.702100000000002</v>
      </c>
      <c r="CY31">
        <v>24.6555</v>
      </c>
      <c r="CZ31">
        <v>24.003599999999999</v>
      </c>
      <c r="DA31">
        <v>25.1126</v>
      </c>
      <c r="DB31">
        <v>18.9846</v>
      </c>
      <c r="DC31">
        <v>20.74</v>
      </c>
      <c r="DD31">
        <v>21.0168</v>
      </c>
      <c r="DE31">
        <v>21.657499999999999</v>
      </c>
      <c r="DF31">
        <v>21.710100000000001</v>
      </c>
      <c r="DG31">
        <v>24.0899</v>
      </c>
      <c r="DH31">
        <v>24.548500000000001</v>
      </c>
      <c r="DI31">
        <v>22.116099999999999</v>
      </c>
      <c r="DJ31">
        <v>26.261399999999998</v>
      </c>
      <c r="DK31">
        <v>24.616099999999999</v>
      </c>
      <c r="DL31">
        <v>23.110299999999999</v>
      </c>
      <c r="DM31">
        <v>22.933599999999998</v>
      </c>
      <c r="DN31">
        <v>25.8751</v>
      </c>
      <c r="DO31">
        <v>24.7712</v>
      </c>
      <c r="DP31">
        <v>24.6187</v>
      </c>
      <c r="DQ31">
        <v>22.568100000000001</v>
      </c>
      <c r="DR31">
        <v>21.910399999999999</v>
      </c>
      <c r="DS31">
        <v>24.646599999999999</v>
      </c>
      <c r="DT31">
        <v>24.817699999999999</v>
      </c>
      <c r="DU31">
        <v>25.2986</v>
      </c>
      <c r="DV31">
        <v>21.638300000000001</v>
      </c>
      <c r="DW31">
        <v>24.356300000000001</v>
      </c>
      <c r="DX31">
        <v>26.300899999999999</v>
      </c>
      <c r="DY31">
        <v>21.083500000000001</v>
      </c>
      <c r="DZ31">
        <v>21.461500000000001</v>
      </c>
      <c r="EA31">
        <v>21.467099999999999</v>
      </c>
      <c r="EB31">
        <v>26.385400000000001</v>
      </c>
      <c r="EC31">
        <v>22.424800000000001</v>
      </c>
      <c r="ED31">
        <v>21.867799999999999</v>
      </c>
      <c r="EE31">
        <v>25.122499999999999</v>
      </c>
      <c r="EF31">
        <v>25.0456</v>
      </c>
      <c r="EG31">
        <v>24.519400000000001</v>
      </c>
      <c r="EH31">
        <v>24.6999</v>
      </c>
      <c r="EI31">
        <v>24.7593</v>
      </c>
      <c r="EJ31">
        <v>24.854600000000001</v>
      </c>
      <c r="EK31">
        <v>21.894500000000001</v>
      </c>
      <c r="EL31">
        <v>22.732500000000002</v>
      </c>
      <c r="EM31">
        <v>22.9146</v>
      </c>
      <c r="EN31">
        <v>23.127199999999998</v>
      </c>
      <c r="EO31">
        <v>22.913</v>
      </c>
      <c r="EP31">
        <v>21.904599999999999</v>
      </c>
      <c r="EQ31">
        <v>23.8551</v>
      </c>
      <c r="ER31">
        <v>22.2</v>
      </c>
      <c r="ES31">
        <v>22.632400000000001</v>
      </c>
      <c r="ET31">
        <v>21.544499999999999</v>
      </c>
      <c r="EU31">
        <v>21.757999999999999</v>
      </c>
      <c r="EV31">
        <v>26.437000000000001</v>
      </c>
      <c r="EW31">
        <v>26.437000000000001</v>
      </c>
      <c r="EX31">
        <v>26.0444</v>
      </c>
      <c r="EY31">
        <v>25.052</v>
      </c>
      <c r="EZ31">
        <v>25.3901</v>
      </c>
      <c r="FA31">
        <v>23.4816</v>
      </c>
      <c r="FB31">
        <v>25.6614</v>
      </c>
      <c r="FC31">
        <v>25.596699999999998</v>
      </c>
      <c r="FD31">
        <v>24.050599999999999</v>
      </c>
      <c r="FE31">
        <v>24.551200000000001</v>
      </c>
      <c r="FF31">
        <v>21.174600000000002</v>
      </c>
      <c r="FG31">
        <v>0</v>
      </c>
      <c r="FH31">
        <v>17.119399999999999</v>
      </c>
      <c r="FI31">
        <v>24.0822</v>
      </c>
      <c r="FJ31">
        <v>20.982399999999998</v>
      </c>
      <c r="FK31">
        <v>21.156400000000001</v>
      </c>
      <c r="FL31">
        <v>24.579499999999999</v>
      </c>
      <c r="FM31">
        <v>24.502500000000001</v>
      </c>
      <c r="FN31">
        <v>26.363800000000001</v>
      </c>
      <c r="FO31">
        <v>24.938800000000001</v>
      </c>
      <c r="FP31">
        <v>24.430700000000002</v>
      </c>
      <c r="FQ31">
        <v>19.964500000000001</v>
      </c>
      <c r="FR31">
        <v>18.555800000000001</v>
      </c>
      <c r="FS31">
        <v>16.855899999999998</v>
      </c>
      <c r="FT31">
        <v>18.575700000000001</v>
      </c>
      <c r="FU31">
        <v>20.8184</v>
      </c>
      <c r="FV31">
        <v>24.223600000000001</v>
      </c>
      <c r="FW31">
        <v>25.9236</v>
      </c>
      <c r="FX31">
        <v>28.241199999999999</v>
      </c>
      <c r="FY31">
        <v>28.171600000000002</v>
      </c>
      <c r="FZ31">
        <v>26.846699999999998</v>
      </c>
      <c r="GA31">
        <v>25.255800000000001</v>
      </c>
      <c r="GB31">
        <v>23.714200000000002</v>
      </c>
      <c r="GC31">
        <v>21.4712</v>
      </c>
      <c r="GD31">
        <v>21.417200000000001</v>
      </c>
      <c r="GE31">
        <v>21.639099999999999</v>
      </c>
      <c r="GF31">
        <v>19.299299999999999</v>
      </c>
      <c r="GG31">
        <v>21.8018</v>
      </c>
      <c r="GH31">
        <v>23.149899999999999</v>
      </c>
      <c r="GI31">
        <v>23.616299999999999</v>
      </c>
      <c r="GJ31">
        <v>23.5593</v>
      </c>
      <c r="GK31">
        <v>27.107600000000001</v>
      </c>
      <c r="GL31">
        <v>28.084800000000001</v>
      </c>
      <c r="GM31">
        <v>23.2806</v>
      </c>
      <c r="GN31">
        <v>22.089200000000002</v>
      </c>
      <c r="GO31">
        <v>22.190300000000001</v>
      </c>
      <c r="GP31">
        <v>22.197099999999999</v>
      </c>
      <c r="GQ31">
        <v>22.101500000000001</v>
      </c>
      <c r="GR31">
        <v>21.7865</v>
      </c>
      <c r="GS31">
        <v>22.186900000000001</v>
      </c>
      <c r="GT31">
        <v>22.143699999999999</v>
      </c>
      <c r="GU31">
        <v>22.256</v>
      </c>
      <c r="GV31">
        <v>22.198499999999999</v>
      </c>
      <c r="GW31">
        <v>22.185700000000001</v>
      </c>
      <c r="GX31">
        <v>21.7624</v>
      </c>
      <c r="GY31">
        <v>24.420500000000001</v>
      </c>
      <c r="GZ31">
        <v>25.225899999999999</v>
      </c>
      <c r="HA31">
        <v>24.551600000000001</v>
      </c>
      <c r="HB31">
        <v>0</v>
      </c>
      <c r="HC31">
        <v>-1.5E-3</v>
      </c>
      <c r="HD31">
        <v>24.729299999999999</v>
      </c>
      <c r="HE31">
        <v>1.6000000000000001E-3</v>
      </c>
      <c r="HF31">
        <v>23.116599999999998</v>
      </c>
      <c r="HG31">
        <v>22.991199999999999</v>
      </c>
      <c r="HH31">
        <v>24.196000000000002</v>
      </c>
      <c r="HI31">
        <v>30.229099999999999</v>
      </c>
      <c r="HJ31">
        <v>11.4543</v>
      </c>
      <c r="HK31">
        <v>26.838100000000001</v>
      </c>
      <c r="HL31">
        <v>24.9879</v>
      </c>
      <c r="HM31">
        <v>16.633299999999998</v>
      </c>
      <c r="HN31">
        <v>18.976500000000001</v>
      </c>
      <c r="HO31">
        <v>16.655799999999999</v>
      </c>
      <c r="HP31">
        <v>0</v>
      </c>
      <c r="HQ31">
        <v>24.3872</v>
      </c>
      <c r="HR31">
        <v>20.773900000000001</v>
      </c>
      <c r="HS31">
        <v>27.748699999999999</v>
      </c>
      <c r="HT31">
        <v>0</v>
      </c>
      <c r="HU31">
        <v>23.5425</v>
      </c>
      <c r="HV31">
        <v>20.055199999999999</v>
      </c>
      <c r="HW31">
        <v>26.352900000000002</v>
      </c>
      <c r="HX31">
        <v>26.434699999999999</v>
      </c>
      <c r="HY31">
        <v>27.373000000000001</v>
      </c>
      <c r="HZ31">
        <v>21.1709</v>
      </c>
      <c r="IA31">
        <v>22.0381</v>
      </c>
      <c r="IB31">
        <v>21.153199999999998</v>
      </c>
      <c r="IC31">
        <v>21.614000000000001</v>
      </c>
      <c r="ID31">
        <v>21.7547</v>
      </c>
    </row>
    <row r="32" spans="1:238" x14ac:dyDescent="0.25">
      <c r="A32">
        <v>31</v>
      </c>
      <c r="B32">
        <v>30.624700000000001</v>
      </c>
      <c r="C32">
        <v>29.396799999999999</v>
      </c>
      <c r="D32">
        <v>29.484200000000001</v>
      </c>
      <c r="E32">
        <v>28.775300000000001</v>
      </c>
      <c r="F32">
        <v>27.690300000000001</v>
      </c>
      <c r="G32">
        <v>27.793800000000001</v>
      </c>
      <c r="H32">
        <v>27.6585</v>
      </c>
      <c r="I32">
        <v>30.867100000000001</v>
      </c>
      <c r="J32">
        <v>29.718399999999999</v>
      </c>
      <c r="K32">
        <v>31.8202</v>
      </c>
      <c r="L32">
        <v>30.704899999999999</v>
      </c>
      <c r="M32">
        <v>31.537700000000001</v>
      </c>
      <c r="N32">
        <v>30.056100000000001</v>
      </c>
      <c r="O32">
        <v>29.12</v>
      </c>
      <c r="P32">
        <v>28.298400000000001</v>
      </c>
      <c r="Q32">
        <v>28.232399999999998</v>
      </c>
      <c r="R32">
        <v>29.035900000000002</v>
      </c>
      <c r="S32">
        <v>29.286799999999999</v>
      </c>
      <c r="T32">
        <v>28.793099999999999</v>
      </c>
      <c r="U32">
        <v>29.536799999999999</v>
      </c>
      <c r="V32">
        <v>28.2438</v>
      </c>
      <c r="W32">
        <v>27.650500000000001</v>
      </c>
      <c r="X32">
        <v>27.900099999999998</v>
      </c>
      <c r="Y32">
        <v>28.4556</v>
      </c>
      <c r="Z32">
        <v>27.807300000000001</v>
      </c>
      <c r="AA32">
        <v>28.200099999999999</v>
      </c>
      <c r="AB32">
        <v>28.266400000000001</v>
      </c>
      <c r="AC32">
        <v>29.252800000000001</v>
      </c>
      <c r="AD32">
        <v>32.039900000000003</v>
      </c>
      <c r="AE32">
        <v>29.3432</v>
      </c>
      <c r="AF32">
        <v>29.510100000000001</v>
      </c>
      <c r="AG32">
        <v>29.640599999999999</v>
      </c>
      <c r="AH32">
        <v>32.096200000000003</v>
      </c>
      <c r="AI32">
        <v>30.443899999999999</v>
      </c>
      <c r="AJ32">
        <v>30.235600000000002</v>
      </c>
      <c r="AK32">
        <v>31.167000000000002</v>
      </c>
      <c r="AL32">
        <v>29.634399999999999</v>
      </c>
      <c r="AM32">
        <v>29.264800000000001</v>
      </c>
      <c r="AN32">
        <v>29.6081</v>
      </c>
      <c r="AO32">
        <v>30.722100000000001</v>
      </c>
      <c r="AP32">
        <v>32.6661</v>
      </c>
      <c r="AQ32">
        <v>29.138999999999999</v>
      </c>
      <c r="AR32">
        <v>30.8004</v>
      </c>
      <c r="AS32">
        <v>32.8414</v>
      </c>
      <c r="AT32">
        <v>32.8904</v>
      </c>
      <c r="AU32">
        <v>28.713699999999999</v>
      </c>
      <c r="AV32">
        <v>30.392700000000001</v>
      </c>
      <c r="AW32">
        <v>30.300799999999999</v>
      </c>
      <c r="AX32">
        <v>27.812799999999999</v>
      </c>
      <c r="AY32">
        <v>29.260300000000001</v>
      </c>
      <c r="AZ32">
        <v>28.662600000000001</v>
      </c>
      <c r="BA32">
        <v>29.741</v>
      </c>
      <c r="BB32">
        <v>30.223099999999999</v>
      </c>
      <c r="BC32">
        <v>29.7316</v>
      </c>
      <c r="BD32">
        <v>30.154</v>
      </c>
      <c r="BE32">
        <v>29.911999999999999</v>
      </c>
      <c r="BF32">
        <v>29.3626</v>
      </c>
      <c r="BG32">
        <v>29.427499999999998</v>
      </c>
      <c r="BH32">
        <v>28.216999999999999</v>
      </c>
      <c r="BI32">
        <v>28.834399999999999</v>
      </c>
      <c r="BJ32">
        <v>29.936499999999999</v>
      </c>
      <c r="BK32">
        <v>29.971800000000002</v>
      </c>
      <c r="BL32">
        <v>29.441800000000001</v>
      </c>
      <c r="BM32">
        <v>29.474399999999999</v>
      </c>
      <c r="BN32">
        <v>29.552600000000002</v>
      </c>
      <c r="BO32">
        <v>29.751200000000001</v>
      </c>
      <c r="BP32">
        <v>29.786100000000001</v>
      </c>
      <c r="BQ32">
        <v>30.585100000000001</v>
      </c>
      <c r="BR32">
        <v>30.144500000000001</v>
      </c>
      <c r="BS32">
        <v>30.261500000000002</v>
      </c>
      <c r="BT32">
        <v>30.363099999999999</v>
      </c>
      <c r="BU32">
        <v>30.426100000000002</v>
      </c>
      <c r="BV32">
        <v>29.264600000000002</v>
      </c>
      <c r="BW32">
        <v>29.9421</v>
      </c>
      <c r="BX32">
        <v>28.873799999999999</v>
      </c>
      <c r="BY32">
        <v>28.895700000000001</v>
      </c>
      <c r="BZ32">
        <v>29.274999999999999</v>
      </c>
      <c r="CA32">
        <v>32.099299999999999</v>
      </c>
      <c r="CB32">
        <v>31.7041</v>
      </c>
      <c r="CC32">
        <v>29.188800000000001</v>
      </c>
      <c r="CD32">
        <v>28.855699999999999</v>
      </c>
      <c r="CE32">
        <v>29.4694</v>
      </c>
      <c r="CF32">
        <v>29.645299999999999</v>
      </c>
      <c r="CG32">
        <v>29.682200000000002</v>
      </c>
      <c r="CH32">
        <v>29.764500000000002</v>
      </c>
      <c r="CI32">
        <v>29.826599999999999</v>
      </c>
      <c r="CJ32">
        <v>29.928799999999999</v>
      </c>
      <c r="CK32">
        <v>29.902999999999999</v>
      </c>
      <c r="CL32">
        <v>29.760300000000001</v>
      </c>
      <c r="CM32">
        <v>30.903500000000001</v>
      </c>
      <c r="CN32">
        <v>29.710100000000001</v>
      </c>
      <c r="CO32">
        <v>29.5929</v>
      </c>
      <c r="CP32">
        <v>29.497900000000001</v>
      </c>
      <c r="CQ32">
        <v>29.247499999999999</v>
      </c>
      <c r="CR32">
        <v>28.895700000000001</v>
      </c>
      <c r="CS32">
        <v>29.463699999999999</v>
      </c>
      <c r="CT32">
        <v>29.817799999999998</v>
      </c>
      <c r="CU32">
        <v>29.1891</v>
      </c>
      <c r="CV32">
        <v>0</v>
      </c>
      <c r="CW32">
        <v>30.6829</v>
      </c>
      <c r="CX32">
        <v>31.092600000000001</v>
      </c>
      <c r="CY32">
        <v>29.729199999999999</v>
      </c>
      <c r="CZ32">
        <v>28.5441</v>
      </c>
      <c r="DA32">
        <v>30.130400000000002</v>
      </c>
      <c r="DB32">
        <v>28.895399999999999</v>
      </c>
      <c r="DC32">
        <v>28.923500000000001</v>
      </c>
      <c r="DD32">
        <v>29.096299999999999</v>
      </c>
      <c r="DE32">
        <v>29.848099999999999</v>
      </c>
      <c r="DF32">
        <v>29.883199999999999</v>
      </c>
      <c r="DG32">
        <v>28.9178</v>
      </c>
      <c r="DH32">
        <v>29.864599999999999</v>
      </c>
      <c r="DI32">
        <v>30.187200000000001</v>
      </c>
      <c r="DJ32">
        <v>31.6845</v>
      </c>
      <c r="DK32">
        <v>29.944500000000001</v>
      </c>
      <c r="DL32">
        <v>27.6737</v>
      </c>
      <c r="DM32">
        <v>27.441600000000001</v>
      </c>
      <c r="DN32">
        <v>31.085100000000001</v>
      </c>
      <c r="DO32">
        <v>29.7059</v>
      </c>
      <c r="DP32">
        <v>29.466799999999999</v>
      </c>
      <c r="DQ32">
        <v>29.8827</v>
      </c>
      <c r="DR32">
        <v>30.155799999999999</v>
      </c>
      <c r="DS32">
        <v>29.753499999999999</v>
      </c>
      <c r="DT32">
        <v>29.859200000000001</v>
      </c>
      <c r="DU32">
        <v>29.237300000000001</v>
      </c>
      <c r="DV32">
        <v>28.4953</v>
      </c>
      <c r="DW32">
        <v>29.385999999999999</v>
      </c>
      <c r="DX32">
        <v>31.775500000000001</v>
      </c>
      <c r="DY32">
        <v>29.171600000000002</v>
      </c>
      <c r="DZ32">
        <v>28.242999999999999</v>
      </c>
      <c r="EA32">
        <v>28.250299999999999</v>
      </c>
      <c r="EB32">
        <v>29.091799999999999</v>
      </c>
      <c r="EC32">
        <v>27.867000000000001</v>
      </c>
      <c r="ED32">
        <v>26.183599999999998</v>
      </c>
      <c r="EE32">
        <v>30.3278</v>
      </c>
      <c r="EF32">
        <v>29.5792</v>
      </c>
      <c r="EG32">
        <v>29.577100000000002</v>
      </c>
      <c r="EH32">
        <v>29.7377</v>
      </c>
      <c r="EI32">
        <v>29.879300000000001</v>
      </c>
      <c r="EJ32">
        <v>29.967600000000001</v>
      </c>
      <c r="EK32">
        <v>28.866</v>
      </c>
      <c r="EL32">
        <v>27.197700000000001</v>
      </c>
      <c r="EM32">
        <v>27.414100000000001</v>
      </c>
      <c r="EN32">
        <v>28.564599999999999</v>
      </c>
      <c r="EO32">
        <v>28.3001</v>
      </c>
      <c r="EP32">
        <v>30.1465</v>
      </c>
      <c r="EQ32">
        <v>28.511600000000001</v>
      </c>
      <c r="ER32">
        <v>28.3934</v>
      </c>
      <c r="ES32">
        <v>28.1249</v>
      </c>
      <c r="ET32">
        <v>29.717600000000001</v>
      </c>
      <c r="EU32">
        <v>29.743400000000001</v>
      </c>
      <c r="EV32">
        <v>31.966200000000001</v>
      </c>
      <c r="EW32">
        <v>31.966200000000001</v>
      </c>
      <c r="EX32">
        <v>31.483499999999999</v>
      </c>
      <c r="EY32">
        <v>29.4695</v>
      </c>
      <c r="EZ32">
        <v>30.6813</v>
      </c>
      <c r="FA32">
        <v>27.700199999999999</v>
      </c>
      <c r="FB32">
        <v>28.810400000000001</v>
      </c>
      <c r="FC32">
        <v>28.518599999999999</v>
      </c>
      <c r="FD32">
        <v>29.335899999999999</v>
      </c>
      <c r="FE32">
        <v>29.354700000000001</v>
      </c>
      <c r="FF32">
        <v>29.197500000000002</v>
      </c>
      <c r="FG32">
        <v>0</v>
      </c>
      <c r="FH32">
        <v>29.325299999999999</v>
      </c>
      <c r="FI32">
        <v>28.783000000000001</v>
      </c>
      <c r="FJ32">
        <v>28.689</v>
      </c>
      <c r="FK32">
        <v>28.9316</v>
      </c>
      <c r="FL32">
        <v>29.392199999999999</v>
      </c>
      <c r="FM32">
        <v>29.336099999999998</v>
      </c>
      <c r="FN32">
        <v>31.825700000000001</v>
      </c>
      <c r="FO32">
        <v>30.226299999999998</v>
      </c>
      <c r="FP32">
        <v>29.721499999999999</v>
      </c>
      <c r="FQ32">
        <v>27.317299999999999</v>
      </c>
      <c r="FR32">
        <v>25.395800000000001</v>
      </c>
      <c r="FS32">
        <v>28.878</v>
      </c>
      <c r="FT32">
        <v>25.422599999999999</v>
      </c>
      <c r="FU32">
        <v>28.555199999999999</v>
      </c>
      <c r="FV32">
        <v>29.212599999999998</v>
      </c>
      <c r="FW32">
        <v>31.113600000000002</v>
      </c>
      <c r="FX32">
        <v>33.866399999999999</v>
      </c>
      <c r="FY32">
        <v>34.105499999999999</v>
      </c>
      <c r="FZ32">
        <v>32.134799999999998</v>
      </c>
      <c r="GA32">
        <v>30.496400000000001</v>
      </c>
      <c r="GB32">
        <v>28.333300000000001</v>
      </c>
      <c r="GC32">
        <v>29.392800000000001</v>
      </c>
      <c r="GD32">
        <v>29.323</v>
      </c>
      <c r="GE32">
        <v>29.711200000000002</v>
      </c>
      <c r="GF32">
        <v>26.447900000000001</v>
      </c>
      <c r="GG32">
        <v>29.7928</v>
      </c>
      <c r="GH32">
        <v>27.706199999999999</v>
      </c>
      <c r="GI32">
        <v>28.270800000000001</v>
      </c>
      <c r="GJ32">
        <v>28.204599999999999</v>
      </c>
      <c r="GK32">
        <v>32.527500000000003</v>
      </c>
      <c r="GL32">
        <v>33.682400000000001</v>
      </c>
      <c r="GM32">
        <v>27.877500000000001</v>
      </c>
      <c r="GN32">
        <v>30.4056</v>
      </c>
      <c r="GO32">
        <v>30.548100000000002</v>
      </c>
      <c r="GP32">
        <v>30.557099999999998</v>
      </c>
      <c r="GQ32">
        <v>30.421900000000001</v>
      </c>
      <c r="GR32">
        <v>29.9892</v>
      </c>
      <c r="GS32">
        <v>30.543299999999999</v>
      </c>
      <c r="GT32">
        <v>30.479099999999999</v>
      </c>
      <c r="GU32">
        <v>30.635200000000001</v>
      </c>
      <c r="GV32">
        <v>30.559200000000001</v>
      </c>
      <c r="GW32">
        <v>30.541599999999999</v>
      </c>
      <c r="GX32">
        <v>29.982900000000001</v>
      </c>
      <c r="GY32">
        <v>29.710100000000001</v>
      </c>
      <c r="GZ32">
        <v>28.895299999999999</v>
      </c>
      <c r="HA32">
        <v>29.354900000000001</v>
      </c>
      <c r="HB32">
        <v>0</v>
      </c>
      <c r="HC32">
        <v>28.226800000000001</v>
      </c>
      <c r="HD32">
        <v>29.724299999999999</v>
      </c>
      <c r="HE32">
        <v>28.226700000000001</v>
      </c>
      <c r="HF32">
        <v>28.666599999999999</v>
      </c>
      <c r="HG32">
        <v>28.720800000000001</v>
      </c>
      <c r="HH32">
        <v>29.473800000000001</v>
      </c>
      <c r="HI32">
        <v>29.383600000000001</v>
      </c>
      <c r="HJ32">
        <v>28.6709</v>
      </c>
      <c r="HK32">
        <v>32.246099999999998</v>
      </c>
      <c r="HL32">
        <v>29.509699999999999</v>
      </c>
      <c r="HM32">
        <v>28.499099999999999</v>
      </c>
      <c r="HN32">
        <v>28.8827</v>
      </c>
      <c r="HO32">
        <v>28.537299999999998</v>
      </c>
      <c r="HP32">
        <v>27.709299999999999</v>
      </c>
      <c r="HQ32">
        <v>29.428899999999999</v>
      </c>
      <c r="HR32">
        <v>28.445900000000002</v>
      </c>
      <c r="HS32">
        <v>28.6891</v>
      </c>
      <c r="HT32">
        <v>27.709299999999999</v>
      </c>
      <c r="HU32">
        <v>28.229800000000001</v>
      </c>
      <c r="HV32">
        <v>27.425699999999999</v>
      </c>
      <c r="HW32">
        <v>31.776900000000001</v>
      </c>
      <c r="HX32">
        <v>31.8566</v>
      </c>
      <c r="HY32">
        <v>32.7697</v>
      </c>
      <c r="HZ32">
        <v>29.193300000000001</v>
      </c>
      <c r="IA32">
        <v>30.3353</v>
      </c>
      <c r="IB32">
        <v>29.171399999999998</v>
      </c>
      <c r="IC32">
        <v>29.676500000000001</v>
      </c>
      <c r="ID32">
        <v>29.769100000000002</v>
      </c>
    </row>
    <row r="33" spans="1:238" x14ac:dyDescent="0.25">
      <c r="A33">
        <v>32</v>
      </c>
      <c r="B33">
        <v>25.972899999999999</v>
      </c>
      <c r="C33">
        <v>24.990200000000002</v>
      </c>
      <c r="D33">
        <v>25.064299999999999</v>
      </c>
      <c r="E33">
        <v>24.456399999999999</v>
      </c>
      <c r="F33">
        <v>23.534099999999999</v>
      </c>
      <c r="G33">
        <v>23.611599999999999</v>
      </c>
      <c r="H33">
        <v>23.498100000000001</v>
      </c>
      <c r="I33">
        <v>26.162199999999999</v>
      </c>
      <c r="J33">
        <v>25.250499999999999</v>
      </c>
      <c r="K33">
        <v>26.965499999999999</v>
      </c>
      <c r="L33">
        <v>26.044699999999999</v>
      </c>
      <c r="M33">
        <v>26.732199999999999</v>
      </c>
      <c r="N33">
        <v>25.534400000000002</v>
      </c>
      <c r="O33">
        <v>24.724699999999999</v>
      </c>
      <c r="P33">
        <v>24.066199999999998</v>
      </c>
      <c r="Q33">
        <v>24.0425</v>
      </c>
      <c r="R33">
        <v>24.6601</v>
      </c>
      <c r="S33">
        <v>24.8642</v>
      </c>
      <c r="T33">
        <v>24.553699999999999</v>
      </c>
      <c r="U33">
        <v>25.1035</v>
      </c>
      <c r="V33">
        <v>24.0059</v>
      </c>
      <c r="W33">
        <v>23.499700000000001</v>
      </c>
      <c r="X33">
        <v>23.712199999999999</v>
      </c>
      <c r="Y33">
        <v>24.191099999999999</v>
      </c>
      <c r="Z33">
        <v>23.6191</v>
      </c>
      <c r="AA33">
        <v>23.956</v>
      </c>
      <c r="AB33">
        <v>24.012699999999999</v>
      </c>
      <c r="AC33">
        <v>24.8322</v>
      </c>
      <c r="AD33">
        <v>27.147200000000002</v>
      </c>
      <c r="AE33">
        <v>24.9451</v>
      </c>
      <c r="AF33">
        <v>25.080500000000001</v>
      </c>
      <c r="AG33">
        <v>25.193100000000001</v>
      </c>
      <c r="AH33">
        <v>27.1966</v>
      </c>
      <c r="AI33">
        <v>25.820599999999999</v>
      </c>
      <c r="AJ33">
        <v>25.648</v>
      </c>
      <c r="AK33">
        <v>26.426600000000001</v>
      </c>
      <c r="AL33">
        <v>25.179500000000001</v>
      </c>
      <c r="AM33">
        <v>24.836600000000001</v>
      </c>
      <c r="AN33">
        <v>25.159700000000001</v>
      </c>
      <c r="AO33">
        <v>26.054500000000001</v>
      </c>
      <c r="AP33">
        <v>27.683499999999999</v>
      </c>
      <c r="AQ33">
        <v>24.6981</v>
      </c>
      <c r="AR33">
        <v>26.125</v>
      </c>
      <c r="AS33">
        <v>27.830300000000001</v>
      </c>
      <c r="AT33">
        <v>27.868600000000001</v>
      </c>
      <c r="AU33">
        <v>24.499099999999999</v>
      </c>
      <c r="AV33">
        <v>26.041599999999999</v>
      </c>
      <c r="AW33">
        <v>25.961400000000001</v>
      </c>
      <c r="AX33">
        <v>23.669699999999999</v>
      </c>
      <c r="AY33">
        <v>25.0367</v>
      </c>
      <c r="AZ33">
        <v>24.5243</v>
      </c>
      <c r="BA33">
        <v>25.396799999999999</v>
      </c>
      <c r="BB33">
        <v>25.874300000000002</v>
      </c>
      <c r="BC33">
        <v>25.473700000000001</v>
      </c>
      <c r="BD33">
        <v>25.7807</v>
      </c>
      <c r="BE33">
        <v>25.5457</v>
      </c>
      <c r="BF33">
        <v>24.944299999999998</v>
      </c>
      <c r="BG33">
        <v>25.191600000000001</v>
      </c>
      <c r="BH33">
        <v>24.075199999999999</v>
      </c>
      <c r="BI33">
        <v>24.866199999999999</v>
      </c>
      <c r="BJ33">
        <v>25.6402</v>
      </c>
      <c r="BK33">
        <v>25.672899999999998</v>
      </c>
      <c r="BL33">
        <v>25.204899999999999</v>
      </c>
      <c r="BM33">
        <v>25.233499999999999</v>
      </c>
      <c r="BN33">
        <v>25.305299999999999</v>
      </c>
      <c r="BO33">
        <v>25.464700000000001</v>
      </c>
      <c r="BP33">
        <v>25.498899999999999</v>
      </c>
      <c r="BQ33">
        <v>26.199400000000001</v>
      </c>
      <c r="BR33">
        <v>25.8279</v>
      </c>
      <c r="BS33">
        <v>25.933</v>
      </c>
      <c r="BT33">
        <v>25.981200000000001</v>
      </c>
      <c r="BU33">
        <v>26.0764</v>
      </c>
      <c r="BV33">
        <v>25.164000000000001</v>
      </c>
      <c r="BW33">
        <v>25.6448</v>
      </c>
      <c r="BX33">
        <v>24.6313</v>
      </c>
      <c r="BY33">
        <v>24.571999999999999</v>
      </c>
      <c r="BZ33">
        <v>24.874300000000002</v>
      </c>
      <c r="CA33">
        <v>27.195</v>
      </c>
      <c r="CB33">
        <v>26.8706</v>
      </c>
      <c r="CC33">
        <v>24.769400000000001</v>
      </c>
      <c r="CD33">
        <v>24.521100000000001</v>
      </c>
      <c r="CE33">
        <v>25.020900000000001</v>
      </c>
      <c r="CF33">
        <v>25.188700000000001</v>
      </c>
      <c r="CG33">
        <v>25.2211</v>
      </c>
      <c r="CH33">
        <v>25.289200000000001</v>
      </c>
      <c r="CI33">
        <v>25.3416</v>
      </c>
      <c r="CJ33">
        <v>25.428100000000001</v>
      </c>
      <c r="CK33">
        <v>25.406199999999998</v>
      </c>
      <c r="CL33">
        <v>25.286300000000001</v>
      </c>
      <c r="CM33">
        <v>26.1934</v>
      </c>
      <c r="CN33">
        <v>25.2437</v>
      </c>
      <c r="CO33">
        <v>25.148399999999999</v>
      </c>
      <c r="CP33">
        <v>25.067699999999999</v>
      </c>
      <c r="CQ33">
        <v>24.854299999999999</v>
      </c>
      <c r="CR33">
        <v>24.571999999999999</v>
      </c>
      <c r="CS33">
        <v>24.967099999999999</v>
      </c>
      <c r="CT33">
        <v>25.276499999999999</v>
      </c>
      <c r="CU33">
        <v>24.779800000000002</v>
      </c>
      <c r="CV33">
        <v>0</v>
      </c>
      <c r="CW33">
        <v>26.028600000000001</v>
      </c>
      <c r="CX33">
        <v>26.3657</v>
      </c>
      <c r="CY33">
        <v>25.261900000000001</v>
      </c>
      <c r="CZ33">
        <v>24.267199999999999</v>
      </c>
      <c r="DA33">
        <v>25.560500000000001</v>
      </c>
      <c r="DB33">
        <v>24.648800000000001</v>
      </c>
      <c r="DC33">
        <v>24.672999999999998</v>
      </c>
      <c r="DD33">
        <v>24.890799999999999</v>
      </c>
      <c r="DE33">
        <v>25.561499999999999</v>
      </c>
      <c r="DF33">
        <v>25.593499999999999</v>
      </c>
      <c r="DG33">
        <v>24.665400000000002</v>
      </c>
      <c r="DH33">
        <v>25.374300000000002</v>
      </c>
      <c r="DI33">
        <v>25.8323</v>
      </c>
      <c r="DJ33">
        <v>26.854299999999999</v>
      </c>
      <c r="DK33">
        <v>25.443300000000001</v>
      </c>
      <c r="DL33">
        <v>23.508299999999998</v>
      </c>
      <c r="DM33">
        <v>23.319900000000001</v>
      </c>
      <c r="DN33">
        <v>26.401499999999999</v>
      </c>
      <c r="DO33">
        <v>25.212399999999999</v>
      </c>
      <c r="DP33">
        <v>25.0396</v>
      </c>
      <c r="DQ33">
        <v>25.523299999999999</v>
      </c>
      <c r="DR33">
        <v>25.8354</v>
      </c>
      <c r="DS33">
        <v>25.284400000000002</v>
      </c>
      <c r="DT33">
        <v>25.373799999999999</v>
      </c>
      <c r="DU33">
        <v>24.857399999999998</v>
      </c>
      <c r="DV33">
        <v>24.3125</v>
      </c>
      <c r="DW33">
        <v>24.957699999999999</v>
      </c>
      <c r="DX33">
        <v>26.928599999999999</v>
      </c>
      <c r="DY33">
        <v>24.987100000000002</v>
      </c>
      <c r="DZ33">
        <v>24.097100000000001</v>
      </c>
      <c r="EA33">
        <v>24.103400000000001</v>
      </c>
      <c r="EB33">
        <v>24.731999999999999</v>
      </c>
      <c r="EC33">
        <v>23.72</v>
      </c>
      <c r="ED33">
        <v>22.24</v>
      </c>
      <c r="EE33">
        <v>25.707899999999999</v>
      </c>
      <c r="EF33">
        <v>25.137899999999998</v>
      </c>
      <c r="EG33">
        <v>25.111999999999998</v>
      </c>
      <c r="EH33">
        <v>25.268000000000001</v>
      </c>
      <c r="EI33">
        <v>25.389900000000001</v>
      </c>
      <c r="EJ33">
        <v>25.463999999999999</v>
      </c>
      <c r="EK33">
        <v>24.626200000000001</v>
      </c>
      <c r="EL33">
        <v>23.1036</v>
      </c>
      <c r="EM33">
        <v>23.288399999999999</v>
      </c>
      <c r="EN33">
        <v>24.295200000000001</v>
      </c>
      <c r="EO33">
        <v>24.0702</v>
      </c>
      <c r="EP33">
        <v>25.8262</v>
      </c>
      <c r="EQ33">
        <v>24.232199999999999</v>
      </c>
      <c r="ER33">
        <v>24.1709</v>
      </c>
      <c r="ES33">
        <v>23.939599999999999</v>
      </c>
      <c r="ET33">
        <v>25.4373</v>
      </c>
      <c r="EU33">
        <v>25.457100000000001</v>
      </c>
      <c r="EV33">
        <v>27.077100000000002</v>
      </c>
      <c r="EW33">
        <v>27.077100000000002</v>
      </c>
      <c r="EX33">
        <v>26.674700000000001</v>
      </c>
      <c r="EY33">
        <v>25.047599999999999</v>
      </c>
      <c r="EZ33">
        <v>26.053100000000001</v>
      </c>
      <c r="FA33">
        <v>23.596399999999999</v>
      </c>
      <c r="FB33">
        <v>24.486899999999999</v>
      </c>
      <c r="FC33">
        <v>24.2502</v>
      </c>
      <c r="FD33">
        <v>24.933399999999999</v>
      </c>
      <c r="FE33">
        <v>24.9451</v>
      </c>
      <c r="FF33">
        <v>25.0185</v>
      </c>
      <c r="FG33">
        <v>0</v>
      </c>
      <c r="FH33">
        <v>25.016999999999999</v>
      </c>
      <c r="FI33">
        <v>24.462800000000001</v>
      </c>
      <c r="FJ33">
        <v>24.547499999999999</v>
      </c>
      <c r="FK33">
        <v>24.759</v>
      </c>
      <c r="FL33">
        <v>24.976800000000001</v>
      </c>
      <c r="FM33">
        <v>24.930700000000002</v>
      </c>
      <c r="FN33">
        <v>26.970800000000001</v>
      </c>
      <c r="FO33">
        <v>25.673300000000001</v>
      </c>
      <c r="FP33">
        <v>25.253299999999999</v>
      </c>
      <c r="FQ33">
        <v>23.347100000000001</v>
      </c>
      <c r="FR33">
        <v>21.7118</v>
      </c>
      <c r="FS33">
        <v>24.627700000000001</v>
      </c>
      <c r="FT33">
        <v>21.734400000000001</v>
      </c>
      <c r="FU33">
        <v>24.414300000000001</v>
      </c>
      <c r="FV33">
        <v>24.799800000000001</v>
      </c>
      <c r="FW33">
        <v>26.3857</v>
      </c>
      <c r="FX33">
        <v>28.687799999999999</v>
      </c>
      <c r="FY33">
        <v>28.8644</v>
      </c>
      <c r="FZ33">
        <v>27.229600000000001</v>
      </c>
      <c r="GA33">
        <v>25.850300000000001</v>
      </c>
      <c r="GB33">
        <v>24.1342</v>
      </c>
      <c r="GC33">
        <v>25.161999999999999</v>
      </c>
      <c r="GD33">
        <v>25.1008</v>
      </c>
      <c r="GE33">
        <v>25.442299999999999</v>
      </c>
      <c r="GF33">
        <v>22.602799999999998</v>
      </c>
      <c r="GG33">
        <v>25.507300000000001</v>
      </c>
      <c r="GH33">
        <v>23.538399999999999</v>
      </c>
      <c r="GI33">
        <v>24.016100000000002</v>
      </c>
      <c r="GJ33">
        <v>23.959700000000002</v>
      </c>
      <c r="GK33">
        <v>27.574200000000001</v>
      </c>
      <c r="GL33">
        <v>28.5351</v>
      </c>
      <c r="GM33">
        <v>23.678699999999999</v>
      </c>
      <c r="GN33">
        <v>26.061</v>
      </c>
      <c r="GO33">
        <v>26.175799999999999</v>
      </c>
      <c r="GP33">
        <v>26.183199999999999</v>
      </c>
      <c r="GQ33">
        <v>26.063500000000001</v>
      </c>
      <c r="GR33">
        <v>25.699400000000001</v>
      </c>
      <c r="GS33">
        <v>26.171600000000002</v>
      </c>
      <c r="GT33">
        <v>26.109400000000001</v>
      </c>
      <c r="GU33">
        <v>26.2422</v>
      </c>
      <c r="GV33">
        <v>26.184999999999999</v>
      </c>
      <c r="GW33">
        <v>26.1709</v>
      </c>
      <c r="GX33">
        <v>25.712199999999999</v>
      </c>
      <c r="GY33">
        <v>25.2437</v>
      </c>
      <c r="GZ33">
        <v>24.5717</v>
      </c>
      <c r="HA33">
        <v>24.9453</v>
      </c>
      <c r="HB33">
        <v>0</v>
      </c>
      <c r="HC33">
        <v>23.997199999999999</v>
      </c>
      <c r="HD33">
        <v>25.255500000000001</v>
      </c>
      <c r="HE33">
        <v>23.997199999999999</v>
      </c>
      <c r="HF33">
        <v>24.383099999999999</v>
      </c>
      <c r="HG33">
        <v>24.430599999999998</v>
      </c>
      <c r="HH33">
        <v>25.046299999999999</v>
      </c>
      <c r="HI33">
        <v>24.954899999999999</v>
      </c>
      <c r="HJ33">
        <v>24.427099999999999</v>
      </c>
      <c r="HK33">
        <v>27.321200000000001</v>
      </c>
      <c r="HL33">
        <v>25.080200000000001</v>
      </c>
      <c r="HM33">
        <v>24.302</v>
      </c>
      <c r="HN33">
        <v>24.637899999999998</v>
      </c>
      <c r="HO33">
        <v>24.334800000000001</v>
      </c>
      <c r="HP33">
        <v>23.5532</v>
      </c>
      <c r="HQ33">
        <v>24.9999</v>
      </c>
      <c r="HR33">
        <v>24.530799999999999</v>
      </c>
      <c r="HS33">
        <v>24.381799999999998</v>
      </c>
      <c r="HT33">
        <v>23.5532</v>
      </c>
      <c r="HU33">
        <v>23.9711</v>
      </c>
      <c r="HV33">
        <v>23.470300000000002</v>
      </c>
      <c r="HW33">
        <v>26.930399999999999</v>
      </c>
      <c r="HX33">
        <v>26.996099999999998</v>
      </c>
      <c r="HY33">
        <v>27.766500000000001</v>
      </c>
      <c r="HZ33">
        <v>25.015799999999999</v>
      </c>
      <c r="IA33">
        <v>25.998200000000001</v>
      </c>
      <c r="IB33">
        <v>24.9999</v>
      </c>
      <c r="IC33">
        <v>25.4133</v>
      </c>
      <c r="ID33">
        <v>25.4834</v>
      </c>
    </row>
    <row r="34" spans="1:238" x14ac:dyDescent="0.25">
      <c r="A34">
        <v>33</v>
      </c>
      <c r="B34">
        <v>30.4693</v>
      </c>
      <c r="C34">
        <v>29.403300000000002</v>
      </c>
      <c r="D34">
        <v>29.4907</v>
      </c>
      <c r="E34">
        <v>28.716100000000001</v>
      </c>
      <c r="F34">
        <v>27.6341</v>
      </c>
      <c r="G34">
        <v>27.738099999999999</v>
      </c>
      <c r="H34">
        <v>27.6053</v>
      </c>
      <c r="I34">
        <v>30.696300000000001</v>
      </c>
      <c r="J34">
        <v>29.621400000000001</v>
      </c>
      <c r="K34">
        <v>31.616399999999999</v>
      </c>
      <c r="L34">
        <v>30.5504</v>
      </c>
      <c r="M34">
        <v>31.347799999999999</v>
      </c>
      <c r="N34">
        <v>29.9666</v>
      </c>
      <c r="O34">
        <v>29.008800000000001</v>
      </c>
      <c r="P34">
        <v>28.2317</v>
      </c>
      <c r="Q34">
        <v>28.238900000000001</v>
      </c>
      <c r="R34">
        <v>28.827000000000002</v>
      </c>
      <c r="S34">
        <v>29.025600000000001</v>
      </c>
      <c r="T34">
        <v>28.954799999999999</v>
      </c>
      <c r="U34">
        <v>29.517700000000001</v>
      </c>
      <c r="V34">
        <v>28.206900000000001</v>
      </c>
      <c r="W34">
        <v>27.6265</v>
      </c>
      <c r="X34">
        <v>27.869700000000002</v>
      </c>
      <c r="Y34">
        <v>28.423300000000001</v>
      </c>
      <c r="Z34">
        <v>27.744399999999999</v>
      </c>
      <c r="AA34">
        <v>28.139299999999999</v>
      </c>
      <c r="AB34">
        <v>28.206600000000002</v>
      </c>
      <c r="AC34">
        <v>29.140899999999998</v>
      </c>
      <c r="AD34">
        <v>31.824100000000001</v>
      </c>
      <c r="AE34">
        <v>29.350999999999999</v>
      </c>
      <c r="AF34">
        <v>29.4696</v>
      </c>
      <c r="AG34">
        <v>29.602499999999999</v>
      </c>
      <c r="AH34">
        <v>31.897099999999998</v>
      </c>
      <c r="AI34">
        <v>30.295300000000001</v>
      </c>
      <c r="AJ34">
        <v>30.096699999999998</v>
      </c>
      <c r="AK34">
        <v>30.995999999999999</v>
      </c>
      <c r="AL34">
        <v>29.535799999999998</v>
      </c>
      <c r="AM34">
        <v>29.162299999999998</v>
      </c>
      <c r="AN34">
        <v>29.505800000000001</v>
      </c>
      <c r="AO34">
        <v>30.5626</v>
      </c>
      <c r="AP34">
        <v>32.423999999999999</v>
      </c>
      <c r="AQ34">
        <v>29.009899999999998</v>
      </c>
      <c r="AR34">
        <v>30.643899999999999</v>
      </c>
      <c r="AS34">
        <v>32.591799999999999</v>
      </c>
      <c r="AT34">
        <v>32.211199999999998</v>
      </c>
      <c r="AU34">
        <v>28.935099999999998</v>
      </c>
      <c r="AV34">
        <v>30.942799999999998</v>
      </c>
      <c r="AW34">
        <v>30.8428</v>
      </c>
      <c r="AX34">
        <v>27.820399999999999</v>
      </c>
      <c r="AY34">
        <v>29.728899999999999</v>
      </c>
      <c r="AZ34">
        <v>29.1204</v>
      </c>
      <c r="BA34">
        <v>30.018899999999999</v>
      </c>
      <c r="BB34">
        <v>30.7209</v>
      </c>
      <c r="BC34">
        <v>30.3202</v>
      </c>
      <c r="BD34">
        <v>30.5459</v>
      </c>
      <c r="BE34">
        <v>30.201000000000001</v>
      </c>
      <c r="BF34">
        <v>29.2074</v>
      </c>
      <c r="BG34">
        <v>29.920300000000001</v>
      </c>
      <c r="BH34">
        <v>28.429500000000001</v>
      </c>
      <c r="BI34">
        <v>30.123799999999999</v>
      </c>
      <c r="BJ34">
        <v>30.457999999999998</v>
      </c>
      <c r="BK34">
        <v>30.497599999999998</v>
      </c>
      <c r="BL34">
        <v>29.937100000000001</v>
      </c>
      <c r="BM34">
        <v>29.9712</v>
      </c>
      <c r="BN34">
        <v>30.057400000000001</v>
      </c>
      <c r="BO34">
        <v>30.231999999999999</v>
      </c>
      <c r="BP34">
        <v>30.284300000000002</v>
      </c>
      <c r="BQ34">
        <v>31.125499999999999</v>
      </c>
      <c r="BR34">
        <v>30.696200000000001</v>
      </c>
      <c r="BS34">
        <v>30.831</v>
      </c>
      <c r="BT34">
        <v>30.8431</v>
      </c>
      <c r="BU34">
        <v>30.998200000000001</v>
      </c>
      <c r="BV34">
        <v>30.210999999999999</v>
      </c>
      <c r="BW34">
        <v>30.463200000000001</v>
      </c>
      <c r="BX34">
        <v>29.078499999999998</v>
      </c>
      <c r="BY34">
        <v>28.946400000000001</v>
      </c>
      <c r="BZ34">
        <v>29.166899999999998</v>
      </c>
      <c r="CA34">
        <v>31.8782</v>
      </c>
      <c r="CB34">
        <v>31.504999999999999</v>
      </c>
      <c r="CC34">
        <v>29.082999999999998</v>
      </c>
      <c r="CD34">
        <v>28.7806</v>
      </c>
      <c r="CE34">
        <v>29.203900000000001</v>
      </c>
      <c r="CF34">
        <v>29.546600000000002</v>
      </c>
      <c r="CG34">
        <v>29.584099999999999</v>
      </c>
      <c r="CH34">
        <v>29.667100000000001</v>
      </c>
      <c r="CI34">
        <v>29.728300000000001</v>
      </c>
      <c r="CJ34">
        <v>29.825900000000001</v>
      </c>
      <c r="CK34">
        <v>29.801200000000001</v>
      </c>
      <c r="CL34">
        <v>29.661999999999999</v>
      </c>
      <c r="CM34">
        <v>30.741399999999999</v>
      </c>
      <c r="CN34">
        <v>29.585799999999999</v>
      </c>
      <c r="CO34">
        <v>29.4909</v>
      </c>
      <c r="CP34">
        <v>29.398700000000002</v>
      </c>
      <c r="CQ34">
        <v>29.1282</v>
      </c>
      <c r="CR34">
        <v>28.946400000000001</v>
      </c>
      <c r="CS34">
        <v>29.3367</v>
      </c>
      <c r="CT34">
        <v>29.685500000000001</v>
      </c>
      <c r="CU34">
        <v>29.081299999999999</v>
      </c>
      <c r="CV34">
        <v>0</v>
      </c>
      <c r="CW34">
        <v>30.530899999999999</v>
      </c>
      <c r="CX34">
        <v>30.923999999999999</v>
      </c>
      <c r="CY34">
        <v>29.625</v>
      </c>
      <c r="CZ34">
        <v>28.518899999999999</v>
      </c>
      <c r="DA34">
        <v>29.998000000000001</v>
      </c>
      <c r="DB34">
        <v>29.085000000000001</v>
      </c>
      <c r="DC34">
        <v>29.1127</v>
      </c>
      <c r="DD34">
        <v>29.509799999999998</v>
      </c>
      <c r="DE34">
        <v>30.361499999999999</v>
      </c>
      <c r="DF34">
        <v>30.401</v>
      </c>
      <c r="DG34">
        <v>28.9178</v>
      </c>
      <c r="DH34">
        <v>29.735399999999998</v>
      </c>
      <c r="DI34">
        <v>30.6708</v>
      </c>
      <c r="DJ34">
        <v>31.486799999999999</v>
      </c>
      <c r="DK34">
        <v>29.8125</v>
      </c>
      <c r="DL34">
        <v>27.617599999999999</v>
      </c>
      <c r="DM34">
        <v>27.424900000000001</v>
      </c>
      <c r="DN34">
        <v>30.995000000000001</v>
      </c>
      <c r="DO34">
        <v>29.6051</v>
      </c>
      <c r="DP34">
        <v>29.386199999999999</v>
      </c>
      <c r="DQ34">
        <v>30.1798</v>
      </c>
      <c r="DR34">
        <v>30.6999</v>
      </c>
      <c r="DS34">
        <v>29.6511</v>
      </c>
      <c r="DT34">
        <v>29.7545</v>
      </c>
      <c r="DU34">
        <v>29.2607</v>
      </c>
      <c r="DV34">
        <v>28.712499999999999</v>
      </c>
      <c r="DW34">
        <v>29.274999999999999</v>
      </c>
      <c r="DX34">
        <v>31.573899999999998</v>
      </c>
      <c r="DY34">
        <v>29.6876</v>
      </c>
      <c r="DZ34">
        <v>28.455200000000001</v>
      </c>
      <c r="EA34">
        <v>28.462700000000002</v>
      </c>
      <c r="EB34">
        <v>29.088999999999999</v>
      </c>
      <c r="EC34">
        <v>27.8889</v>
      </c>
      <c r="ED34">
        <v>26.124500000000001</v>
      </c>
      <c r="EE34">
        <v>30.1831</v>
      </c>
      <c r="EF34">
        <v>29.5382</v>
      </c>
      <c r="EG34">
        <v>29.451499999999999</v>
      </c>
      <c r="EH34">
        <v>29.637699999999999</v>
      </c>
      <c r="EI34">
        <v>29.774899999999999</v>
      </c>
      <c r="EJ34">
        <v>29.862100000000002</v>
      </c>
      <c r="EK34">
        <v>29.0855</v>
      </c>
      <c r="EL34">
        <v>27.139700000000001</v>
      </c>
      <c r="EM34">
        <v>27.357700000000001</v>
      </c>
      <c r="EN34">
        <v>28.539100000000001</v>
      </c>
      <c r="EO34">
        <v>28.274899999999999</v>
      </c>
      <c r="EP34">
        <v>30.688800000000001</v>
      </c>
      <c r="EQ34">
        <v>28.452400000000001</v>
      </c>
      <c r="ER34">
        <v>28.4253</v>
      </c>
      <c r="ES34">
        <v>28.147099999999998</v>
      </c>
      <c r="ET34">
        <v>30.194800000000001</v>
      </c>
      <c r="EU34">
        <v>30.220300000000002</v>
      </c>
      <c r="EV34">
        <v>31.7728</v>
      </c>
      <c r="EW34">
        <v>31.7728</v>
      </c>
      <c r="EX34">
        <v>31.3034</v>
      </c>
      <c r="EY34">
        <v>29.4407</v>
      </c>
      <c r="EZ34">
        <v>30.5045</v>
      </c>
      <c r="FA34">
        <v>27.8063</v>
      </c>
      <c r="FB34">
        <v>28.679500000000001</v>
      </c>
      <c r="FC34">
        <v>28.4377</v>
      </c>
      <c r="FD34">
        <v>29.2471</v>
      </c>
      <c r="FE34">
        <v>29.278300000000002</v>
      </c>
      <c r="FF34">
        <v>29.742899999999999</v>
      </c>
      <c r="FG34">
        <v>0</v>
      </c>
      <c r="FH34">
        <v>29.5078</v>
      </c>
      <c r="FI34">
        <v>28.723199999999999</v>
      </c>
      <c r="FJ34">
        <v>29.148199999999999</v>
      </c>
      <c r="FK34">
        <v>29.401</v>
      </c>
      <c r="FL34">
        <v>29.314699999999998</v>
      </c>
      <c r="FM34">
        <v>29.266200000000001</v>
      </c>
      <c r="FN34">
        <v>31.617699999999999</v>
      </c>
      <c r="FO34">
        <v>30.069199999999999</v>
      </c>
      <c r="FP34">
        <v>29.596800000000002</v>
      </c>
      <c r="FQ34">
        <v>27.701699999999999</v>
      </c>
      <c r="FR34">
        <v>25.759499999999999</v>
      </c>
      <c r="FS34">
        <v>29.042100000000001</v>
      </c>
      <c r="FT34">
        <v>25.7864</v>
      </c>
      <c r="FU34">
        <v>28.937100000000001</v>
      </c>
      <c r="FV34">
        <v>29.100100000000001</v>
      </c>
      <c r="FW34">
        <v>30.9619</v>
      </c>
      <c r="FX34">
        <v>33.673900000000003</v>
      </c>
      <c r="FY34">
        <v>33.865900000000003</v>
      </c>
      <c r="FZ34">
        <v>31.91</v>
      </c>
      <c r="GA34">
        <v>30.347100000000001</v>
      </c>
      <c r="GB34">
        <v>28.338899999999999</v>
      </c>
      <c r="GC34">
        <v>29.885000000000002</v>
      </c>
      <c r="GD34">
        <v>29.811800000000002</v>
      </c>
      <c r="GE34">
        <v>30.223700000000001</v>
      </c>
      <c r="GF34">
        <v>26.801600000000001</v>
      </c>
      <c r="GG34">
        <v>30.296099999999999</v>
      </c>
      <c r="GH34">
        <v>27.653600000000001</v>
      </c>
      <c r="GI34">
        <v>28.213200000000001</v>
      </c>
      <c r="GJ34">
        <v>28.143999999999998</v>
      </c>
      <c r="GK34">
        <v>32.366199999999999</v>
      </c>
      <c r="GL34">
        <v>33.4953</v>
      </c>
      <c r="GM34">
        <v>27.8127</v>
      </c>
      <c r="GN34">
        <v>30.953900000000001</v>
      </c>
      <c r="GO34">
        <v>31.104099999999999</v>
      </c>
      <c r="GP34">
        <v>31.113099999999999</v>
      </c>
      <c r="GQ34">
        <v>30.971900000000002</v>
      </c>
      <c r="GR34">
        <v>30.553100000000001</v>
      </c>
      <c r="GS34">
        <v>31.099</v>
      </c>
      <c r="GT34">
        <v>31.020900000000001</v>
      </c>
      <c r="GU34">
        <v>31.176400000000001</v>
      </c>
      <c r="GV34">
        <v>31.115200000000002</v>
      </c>
      <c r="GW34">
        <v>31.096900000000002</v>
      </c>
      <c r="GX34">
        <v>30.581099999999999</v>
      </c>
      <c r="GY34">
        <v>29.585799999999999</v>
      </c>
      <c r="GZ34">
        <v>28.946000000000002</v>
      </c>
      <c r="HA34">
        <v>29.278600000000001</v>
      </c>
      <c r="HB34">
        <v>0</v>
      </c>
      <c r="HC34">
        <v>28.127700000000001</v>
      </c>
      <c r="HD34">
        <v>29.627199999999998</v>
      </c>
      <c r="HE34">
        <v>28.127600000000001</v>
      </c>
      <c r="HF34">
        <v>28.6418</v>
      </c>
      <c r="HG34">
        <v>28.696999999999999</v>
      </c>
      <c r="HH34">
        <v>29.3627</v>
      </c>
      <c r="HI34">
        <v>29.180199999999999</v>
      </c>
      <c r="HJ34">
        <v>28.749199999999998</v>
      </c>
      <c r="HK34">
        <v>32.022799999999997</v>
      </c>
      <c r="HL34">
        <v>29.469200000000001</v>
      </c>
      <c r="HM34">
        <v>28.657800000000002</v>
      </c>
      <c r="HN34">
        <v>29.0718</v>
      </c>
      <c r="HO34">
        <v>28.696000000000002</v>
      </c>
      <c r="HP34">
        <v>27.6081</v>
      </c>
      <c r="HQ34">
        <v>29.3232</v>
      </c>
      <c r="HR34">
        <v>29.718800000000002</v>
      </c>
      <c r="HS34">
        <v>28.545999999999999</v>
      </c>
      <c r="HT34">
        <v>27.608000000000001</v>
      </c>
      <c r="HU34">
        <v>28.1541</v>
      </c>
      <c r="HV34">
        <v>27.870799999999999</v>
      </c>
      <c r="HW34">
        <v>31.5745</v>
      </c>
      <c r="HX34">
        <v>31.65</v>
      </c>
      <c r="HY34">
        <v>32.1631</v>
      </c>
      <c r="HZ34">
        <v>29.741299999999999</v>
      </c>
      <c r="IA34">
        <v>30.880600000000001</v>
      </c>
      <c r="IB34">
        <v>29.726700000000001</v>
      </c>
      <c r="IC34">
        <v>30.1935</v>
      </c>
      <c r="ID34">
        <v>30.263100000000001</v>
      </c>
    </row>
    <row r="35" spans="1:238" x14ac:dyDescent="0.25">
      <c r="A35">
        <v>34</v>
      </c>
      <c r="B35">
        <v>30.7498</v>
      </c>
      <c r="C35">
        <v>29.761199999999999</v>
      </c>
      <c r="D35">
        <v>29.8474</v>
      </c>
      <c r="E35">
        <v>29.089500000000001</v>
      </c>
      <c r="F35">
        <v>28.003299999999999</v>
      </c>
      <c r="G35">
        <v>28.071899999999999</v>
      </c>
      <c r="H35">
        <v>27.943899999999999</v>
      </c>
      <c r="I35">
        <v>31.0121</v>
      </c>
      <c r="J35">
        <v>29.982800000000001</v>
      </c>
      <c r="K35">
        <v>31.944299999999998</v>
      </c>
      <c r="L35">
        <v>30.891999999999999</v>
      </c>
      <c r="M35">
        <v>31.6859</v>
      </c>
      <c r="N35">
        <v>30.454999999999998</v>
      </c>
      <c r="O35">
        <v>29.3048</v>
      </c>
      <c r="P35">
        <v>28.622599999999998</v>
      </c>
      <c r="Q35">
        <v>28.579499999999999</v>
      </c>
      <c r="R35">
        <v>29.2272</v>
      </c>
      <c r="S35">
        <v>29.386600000000001</v>
      </c>
      <c r="T35">
        <v>29.545100000000001</v>
      </c>
      <c r="U35">
        <v>29.887799999999999</v>
      </c>
      <c r="V35">
        <v>28.567699999999999</v>
      </c>
      <c r="W35">
        <v>27.979500000000002</v>
      </c>
      <c r="X35">
        <v>28.224699999999999</v>
      </c>
      <c r="Y35">
        <v>28.795100000000001</v>
      </c>
      <c r="Z35">
        <v>28.07</v>
      </c>
      <c r="AA35">
        <v>28.471299999999999</v>
      </c>
      <c r="AB35">
        <v>28.539000000000001</v>
      </c>
      <c r="AC35">
        <v>29.4099</v>
      </c>
      <c r="AD35">
        <v>32.153100000000002</v>
      </c>
      <c r="AE35">
        <v>29.709</v>
      </c>
      <c r="AF35">
        <v>29.838999999999999</v>
      </c>
      <c r="AG35">
        <v>29.976099999999999</v>
      </c>
      <c r="AH35">
        <v>32.222799999999999</v>
      </c>
      <c r="AI35">
        <v>30.570900000000002</v>
      </c>
      <c r="AJ35">
        <v>30.380600000000001</v>
      </c>
      <c r="AK35">
        <v>31.3384</v>
      </c>
      <c r="AL35">
        <v>29.8935</v>
      </c>
      <c r="AM35">
        <v>29.4666</v>
      </c>
      <c r="AN35">
        <v>29.857399999999998</v>
      </c>
      <c r="AO35">
        <v>30.842300000000002</v>
      </c>
      <c r="AP35">
        <v>32.686999999999998</v>
      </c>
      <c r="AQ35">
        <v>29.315200000000001</v>
      </c>
      <c r="AR35">
        <v>30.984100000000002</v>
      </c>
      <c r="AS35">
        <v>32.853299999999997</v>
      </c>
      <c r="AT35">
        <v>32.533099999999997</v>
      </c>
      <c r="AU35">
        <v>29.443100000000001</v>
      </c>
      <c r="AV35">
        <v>31.5549</v>
      </c>
      <c r="AW35">
        <v>31.447800000000001</v>
      </c>
      <c r="AX35">
        <v>28.218599999999999</v>
      </c>
      <c r="AY35">
        <v>30.3812</v>
      </c>
      <c r="AZ35">
        <v>29.750499999999999</v>
      </c>
      <c r="BA35">
        <v>30.562999999999999</v>
      </c>
      <c r="BB35">
        <v>31.390999999999998</v>
      </c>
      <c r="BC35">
        <v>31.120999999999999</v>
      </c>
      <c r="BD35">
        <v>31.1661</v>
      </c>
      <c r="BE35">
        <v>30.752800000000001</v>
      </c>
      <c r="BF35">
        <v>29.5655</v>
      </c>
      <c r="BG35">
        <v>30.5518</v>
      </c>
      <c r="BH35">
        <v>28.931699999999999</v>
      </c>
      <c r="BI35">
        <v>31.550599999999999</v>
      </c>
      <c r="BJ35">
        <v>31.036000000000001</v>
      </c>
      <c r="BK35">
        <v>31.078099999999999</v>
      </c>
      <c r="BL35">
        <v>30.558499999999999</v>
      </c>
      <c r="BM35">
        <v>30.594000000000001</v>
      </c>
      <c r="BN35">
        <v>30.7182</v>
      </c>
      <c r="BO35">
        <v>30.943200000000001</v>
      </c>
      <c r="BP35">
        <v>31.0078</v>
      </c>
      <c r="BQ35">
        <v>31.7347</v>
      </c>
      <c r="BR35">
        <v>31.2974</v>
      </c>
      <c r="BS35">
        <v>31.447199999999999</v>
      </c>
      <c r="BT35">
        <v>31.528600000000001</v>
      </c>
      <c r="BU35">
        <v>31.5886</v>
      </c>
      <c r="BV35">
        <v>31.31</v>
      </c>
      <c r="BW35">
        <v>31.0412</v>
      </c>
      <c r="BX35">
        <v>29.592500000000001</v>
      </c>
      <c r="BY35">
        <v>29.2943</v>
      </c>
      <c r="BZ35">
        <v>29.520299999999999</v>
      </c>
      <c r="CA35">
        <v>32.206099999999999</v>
      </c>
      <c r="CB35">
        <v>31.838999999999999</v>
      </c>
      <c r="CC35">
        <v>29.383099999999999</v>
      </c>
      <c r="CD35">
        <v>29.150099999999998</v>
      </c>
      <c r="CE35">
        <v>29.561499999999999</v>
      </c>
      <c r="CF35">
        <v>29.904199999999999</v>
      </c>
      <c r="CG35">
        <v>29.941099999999999</v>
      </c>
      <c r="CH35">
        <v>30.0306</v>
      </c>
      <c r="CI35">
        <v>30.0928</v>
      </c>
      <c r="CJ35">
        <v>30.185099999999998</v>
      </c>
      <c r="CK35">
        <v>30.160900000000002</v>
      </c>
      <c r="CL35">
        <v>30.0229</v>
      </c>
      <c r="CM35">
        <v>31.0624</v>
      </c>
      <c r="CN35">
        <v>29.944600000000001</v>
      </c>
      <c r="CO35">
        <v>29.843499999999999</v>
      </c>
      <c r="CP35">
        <v>29.758099999999999</v>
      </c>
      <c r="CQ35">
        <v>29.495799999999999</v>
      </c>
      <c r="CR35">
        <v>29.2943</v>
      </c>
      <c r="CS35">
        <v>29.6403</v>
      </c>
      <c r="CT35">
        <v>29.992000000000001</v>
      </c>
      <c r="CU35">
        <v>29.292100000000001</v>
      </c>
      <c r="CV35">
        <v>0</v>
      </c>
      <c r="CW35">
        <v>30.873100000000001</v>
      </c>
      <c r="CX35">
        <v>31.264800000000001</v>
      </c>
      <c r="CY35">
        <v>29.976400000000002</v>
      </c>
      <c r="CZ35">
        <v>28.889199999999999</v>
      </c>
      <c r="DA35">
        <v>30.280899999999999</v>
      </c>
      <c r="DB35">
        <v>29.686699999999998</v>
      </c>
      <c r="DC35">
        <v>29.710899999999999</v>
      </c>
      <c r="DD35">
        <v>30.4438</v>
      </c>
      <c r="DE35">
        <v>30.915099999999999</v>
      </c>
      <c r="DF35">
        <v>30.968800000000002</v>
      </c>
      <c r="DG35">
        <v>29.113600000000002</v>
      </c>
      <c r="DH35">
        <v>30.093900000000001</v>
      </c>
      <c r="DI35">
        <v>31.3597</v>
      </c>
      <c r="DJ35">
        <v>31.820799999999998</v>
      </c>
      <c r="DK35">
        <v>30.1708</v>
      </c>
      <c r="DL35">
        <v>27.957100000000001</v>
      </c>
      <c r="DM35">
        <v>27.777000000000001</v>
      </c>
      <c r="DN35">
        <v>31.511900000000001</v>
      </c>
      <c r="DO35">
        <v>29.904299999999999</v>
      </c>
      <c r="DP35">
        <v>29.759899999999998</v>
      </c>
      <c r="DQ35">
        <v>30.7333</v>
      </c>
      <c r="DR35">
        <v>31.307200000000002</v>
      </c>
      <c r="DS35">
        <v>30.0016</v>
      </c>
      <c r="DT35">
        <v>30.1006</v>
      </c>
      <c r="DU35">
        <v>29.6143</v>
      </c>
      <c r="DV35">
        <v>29.2182</v>
      </c>
      <c r="DW35">
        <v>29.592400000000001</v>
      </c>
      <c r="DX35">
        <v>31.903500000000001</v>
      </c>
      <c r="DY35">
        <v>30.7698</v>
      </c>
      <c r="DZ35">
        <v>28.957799999999999</v>
      </c>
      <c r="EA35">
        <v>28.965299999999999</v>
      </c>
      <c r="EB35">
        <v>29.440799999999999</v>
      </c>
      <c r="EC35">
        <v>28.307500000000001</v>
      </c>
      <c r="ED35">
        <v>26.431000000000001</v>
      </c>
      <c r="EE35">
        <v>30.496099999999998</v>
      </c>
      <c r="EF35">
        <v>29.9072</v>
      </c>
      <c r="EG35">
        <v>29.7547</v>
      </c>
      <c r="EH35">
        <v>29.9938</v>
      </c>
      <c r="EI35">
        <v>30.124600000000001</v>
      </c>
      <c r="EJ35">
        <v>30.211400000000001</v>
      </c>
      <c r="EK35">
        <v>29.592600000000001</v>
      </c>
      <c r="EL35">
        <v>27.468900000000001</v>
      </c>
      <c r="EM35">
        <v>27.688099999999999</v>
      </c>
      <c r="EN35">
        <v>28.939599999999999</v>
      </c>
      <c r="EO35">
        <v>28.671600000000002</v>
      </c>
      <c r="EP35">
        <v>31.296299999999999</v>
      </c>
      <c r="EQ35">
        <v>28.822199999999999</v>
      </c>
      <c r="ER35">
        <v>28.8658</v>
      </c>
      <c r="ES35">
        <v>28.569500000000001</v>
      </c>
      <c r="ET35">
        <v>30.8306</v>
      </c>
      <c r="EU35">
        <v>30.9224</v>
      </c>
      <c r="EV35">
        <v>32.0869</v>
      </c>
      <c r="EW35">
        <v>32.0869</v>
      </c>
      <c r="EX35">
        <v>31.620999999999999</v>
      </c>
      <c r="EY35">
        <v>29.807400000000001</v>
      </c>
      <c r="EZ35">
        <v>30.8569</v>
      </c>
      <c r="FA35">
        <v>28.151</v>
      </c>
      <c r="FB35">
        <v>29.112400000000001</v>
      </c>
      <c r="FC35">
        <v>28.8413</v>
      </c>
      <c r="FD35">
        <v>29.613700000000001</v>
      </c>
      <c r="FE35">
        <v>29.654199999999999</v>
      </c>
      <c r="FF35">
        <v>30.797699999999999</v>
      </c>
      <c r="FG35">
        <v>0</v>
      </c>
      <c r="FH35">
        <v>30.103300000000001</v>
      </c>
      <c r="FI35">
        <v>29.096599999999999</v>
      </c>
      <c r="FJ35">
        <v>29.7788</v>
      </c>
      <c r="FK35">
        <v>30.0367</v>
      </c>
      <c r="FL35">
        <v>29.695</v>
      </c>
      <c r="FM35">
        <v>29.662199999999999</v>
      </c>
      <c r="FN35">
        <v>31.9499</v>
      </c>
      <c r="FO35">
        <v>30.419899999999998</v>
      </c>
      <c r="FP35">
        <v>29.955500000000001</v>
      </c>
      <c r="FQ35">
        <v>28.302600000000002</v>
      </c>
      <c r="FR35">
        <v>26.313800000000001</v>
      </c>
      <c r="FS35">
        <v>29.633900000000001</v>
      </c>
      <c r="FT35">
        <v>26.3415</v>
      </c>
      <c r="FU35">
        <v>29.527999999999999</v>
      </c>
      <c r="FV35">
        <v>29.3794</v>
      </c>
      <c r="FW35">
        <v>31.222799999999999</v>
      </c>
      <c r="FX35">
        <v>33.869100000000003</v>
      </c>
      <c r="FY35">
        <v>34.1721</v>
      </c>
      <c r="FZ35">
        <v>32.236199999999997</v>
      </c>
      <c r="GA35">
        <v>30.662299999999998</v>
      </c>
      <c r="GB35">
        <v>28.6584</v>
      </c>
      <c r="GC35">
        <v>30.512799999999999</v>
      </c>
      <c r="GD35">
        <v>30.438700000000001</v>
      </c>
      <c r="GE35">
        <v>30.8233</v>
      </c>
      <c r="GF35">
        <v>27.373999999999999</v>
      </c>
      <c r="GG35">
        <v>31.002300000000002</v>
      </c>
      <c r="GH35">
        <v>27.993099999999998</v>
      </c>
      <c r="GI35">
        <v>28.554600000000001</v>
      </c>
      <c r="GJ35">
        <v>28.476299999999998</v>
      </c>
      <c r="GK35">
        <v>32.593000000000004</v>
      </c>
      <c r="GL35">
        <v>33.696199999999997</v>
      </c>
      <c r="GM35">
        <v>28.1373</v>
      </c>
      <c r="GN35">
        <v>31.555900000000001</v>
      </c>
      <c r="GO35">
        <v>31.7224</v>
      </c>
      <c r="GP35">
        <v>31.7315</v>
      </c>
      <c r="GQ35">
        <v>31.5867</v>
      </c>
      <c r="GR35">
        <v>31.190899999999999</v>
      </c>
      <c r="GS35">
        <v>31.717099999999999</v>
      </c>
      <c r="GT35">
        <v>31.630600000000001</v>
      </c>
      <c r="GU35">
        <v>31.786999999999999</v>
      </c>
      <c r="GV35">
        <v>31.733799999999999</v>
      </c>
      <c r="GW35">
        <v>31.714600000000001</v>
      </c>
      <c r="GX35">
        <v>31.208300000000001</v>
      </c>
      <c r="GY35">
        <v>29.944600000000001</v>
      </c>
      <c r="GZ35">
        <v>29.293900000000001</v>
      </c>
      <c r="HA35">
        <v>29.654399999999999</v>
      </c>
      <c r="HB35">
        <v>0</v>
      </c>
      <c r="HC35">
        <v>28.599599999999999</v>
      </c>
      <c r="HD35">
        <v>29.988499999999998</v>
      </c>
      <c r="HE35">
        <v>28.599599999999999</v>
      </c>
      <c r="HF35">
        <v>29.0456</v>
      </c>
      <c r="HG35">
        <v>29.100100000000001</v>
      </c>
      <c r="HH35">
        <v>29.725300000000001</v>
      </c>
      <c r="HI35">
        <v>29.5367</v>
      </c>
      <c r="HJ35">
        <v>29.300699999999999</v>
      </c>
      <c r="HK35">
        <v>32.3504</v>
      </c>
      <c r="HL35">
        <v>29.838699999999999</v>
      </c>
      <c r="HM35">
        <v>29.2455</v>
      </c>
      <c r="HN35">
        <v>29.673100000000002</v>
      </c>
      <c r="HO35">
        <v>29.281500000000001</v>
      </c>
      <c r="HP35">
        <v>28.089700000000001</v>
      </c>
      <c r="HQ35">
        <v>29.654299999999999</v>
      </c>
      <c r="HR35">
        <v>31.136299999999999</v>
      </c>
      <c r="HS35">
        <v>28.9251</v>
      </c>
      <c r="HT35">
        <v>28.089600000000001</v>
      </c>
      <c r="HU35">
        <v>28.472100000000001</v>
      </c>
      <c r="HV35">
        <v>28.473299999999998</v>
      </c>
      <c r="HW35">
        <v>31.9072</v>
      </c>
      <c r="HX35">
        <v>31.9816</v>
      </c>
      <c r="HY35">
        <v>32.485700000000001</v>
      </c>
      <c r="HZ35">
        <v>30.797599999999999</v>
      </c>
      <c r="IA35">
        <v>31.4785</v>
      </c>
      <c r="IB35">
        <v>30.788499999999999</v>
      </c>
      <c r="IC35">
        <v>31.088799999999999</v>
      </c>
      <c r="ID35">
        <v>31.033100000000001</v>
      </c>
    </row>
    <row r="36" spans="1:238" x14ac:dyDescent="0.25">
      <c r="A36">
        <v>35</v>
      </c>
      <c r="B36">
        <v>26.320499999999999</v>
      </c>
      <c r="C36">
        <v>25.613099999999999</v>
      </c>
      <c r="D36">
        <v>25.684899999999999</v>
      </c>
      <c r="E36">
        <v>25.037299999999998</v>
      </c>
      <c r="F36">
        <v>24.1098</v>
      </c>
      <c r="G36">
        <v>24.131</v>
      </c>
      <c r="H36">
        <v>24.028199999999998</v>
      </c>
      <c r="I36">
        <v>26.586500000000001</v>
      </c>
      <c r="J36">
        <v>25.805299999999999</v>
      </c>
      <c r="K36">
        <v>27.382300000000001</v>
      </c>
      <c r="L36">
        <v>26.535499999999999</v>
      </c>
      <c r="M36">
        <v>27.179099999999998</v>
      </c>
      <c r="N36">
        <v>26.140899999999998</v>
      </c>
      <c r="O36">
        <v>25.1874</v>
      </c>
      <c r="P36">
        <v>24.661200000000001</v>
      </c>
      <c r="Q36">
        <v>24.6724</v>
      </c>
      <c r="R36">
        <v>25.173999999999999</v>
      </c>
      <c r="S36">
        <v>25.2942</v>
      </c>
      <c r="T36">
        <v>25.529800000000002</v>
      </c>
      <c r="U36">
        <v>25.7056</v>
      </c>
      <c r="V36">
        <v>24.5794</v>
      </c>
      <c r="W36">
        <v>24.070399999999999</v>
      </c>
      <c r="X36">
        <v>24.281400000000001</v>
      </c>
      <c r="Y36">
        <v>24.7852</v>
      </c>
      <c r="Z36">
        <v>24.122900000000001</v>
      </c>
      <c r="AA36">
        <v>24.4696</v>
      </c>
      <c r="AB36">
        <v>24.527799999999999</v>
      </c>
      <c r="AC36">
        <v>25.266200000000001</v>
      </c>
      <c r="AD36">
        <v>27.575199999999999</v>
      </c>
      <c r="AE36">
        <v>25.569700000000001</v>
      </c>
      <c r="AF36">
        <v>25.678100000000001</v>
      </c>
      <c r="AG36">
        <v>25.793500000000002</v>
      </c>
      <c r="AH36">
        <v>27.627700000000001</v>
      </c>
      <c r="AI36">
        <v>26.167899999999999</v>
      </c>
      <c r="AJ36">
        <v>26.019200000000001</v>
      </c>
      <c r="AK36">
        <v>26.902999999999999</v>
      </c>
      <c r="AL36">
        <v>25.727599999999999</v>
      </c>
      <c r="AM36">
        <v>25.294699999999999</v>
      </c>
      <c r="AN36">
        <v>25.701000000000001</v>
      </c>
      <c r="AO36">
        <v>26.395800000000001</v>
      </c>
      <c r="AP36">
        <v>27.895600000000002</v>
      </c>
      <c r="AQ36">
        <v>25.1571</v>
      </c>
      <c r="AR36">
        <v>26.613</v>
      </c>
      <c r="AS36">
        <v>28.030799999999999</v>
      </c>
      <c r="AT36">
        <v>27.886800000000001</v>
      </c>
      <c r="AU36">
        <v>25.410299999999999</v>
      </c>
      <c r="AV36">
        <v>27.409300000000002</v>
      </c>
      <c r="AW36">
        <v>27.321000000000002</v>
      </c>
      <c r="AX36">
        <v>24.322600000000001</v>
      </c>
      <c r="AY36">
        <v>26.331399999999999</v>
      </c>
      <c r="AZ36">
        <v>25.789200000000001</v>
      </c>
      <c r="BA36">
        <v>26.359400000000001</v>
      </c>
      <c r="BB36">
        <v>27.196200000000001</v>
      </c>
      <c r="BC36">
        <v>27.023900000000001</v>
      </c>
      <c r="BD36">
        <v>26.938800000000001</v>
      </c>
      <c r="BE36">
        <v>26.520800000000001</v>
      </c>
      <c r="BF36">
        <v>25.4438</v>
      </c>
      <c r="BG36">
        <v>26.4998</v>
      </c>
      <c r="BH36">
        <v>24.9754</v>
      </c>
      <c r="BI36">
        <v>27.711500000000001</v>
      </c>
      <c r="BJ36">
        <v>26.934799999999999</v>
      </c>
      <c r="BK36">
        <v>26.972100000000001</v>
      </c>
      <c r="BL36">
        <v>26.505099999999999</v>
      </c>
      <c r="BM36">
        <v>26.5367</v>
      </c>
      <c r="BN36">
        <v>26.625299999999999</v>
      </c>
      <c r="BO36">
        <v>26.826699999999999</v>
      </c>
      <c r="BP36">
        <v>26.8886</v>
      </c>
      <c r="BQ36">
        <v>27.556899999999999</v>
      </c>
      <c r="BR36">
        <v>27.157699999999998</v>
      </c>
      <c r="BS36">
        <v>27.2821</v>
      </c>
      <c r="BT36">
        <v>27.317299999999999</v>
      </c>
      <c r="BU36">
        <v>27.423100000000002</v>
      </c>
      <c r="BV36">
        <v>27.335699999999999</v>
      </c>
      <c r="BW36">
        <v>26.939</v>
      </c>
      <c r="BX36">
        <v>25.556000000000001</v>
      </c>
      <c r="BY36">
        <v>25.226199999999999</v>
      </c>
      <c r="BZ36">
        <v>25.412400000000002</v>
      </c>
      <c r="CA36">
        <v>27.619299999999999</v>
      </c>
      <c r="CB36">
        <v>27.311699999999998</v>
      </c>
      <c r="CC36">
        <v>25.228999999999999</v>
      </c>
      <c r="CD36">
        <v>25.088999999999999</v>
      </c>
      <c r="CE36">
        <v>25.4252</v>
      </c>
      <c r="CF36">
        <v>25.7364</v>
      </c>
      <c r="CG36">
        <v>25.763400000000001</v>
      </c>
      <c r="CH36">
        <v>25.8489</v>
      </c>
      <c r="CI36">
        <v>25.9038</v>
      </c>
      <c r="CJ36">
        <v>25.903199999999998</v>
      </c>
      <c r="CK36">
        <v>25.879899999999999</v>
      </c>
      <c r="CL36">
        <v>25.839200000000002</v>
      </c>
      <c r="CM36">
        <v>26.637799999999999</v>
      </c>
      <c r="CN36">
        <v>25.777200000000001</v>
      </c>
      <c r="CO36">
        <v>25.6922</v>
      </c>
      <c r="CP36">
        <v>25.616499999999998</v>
      </c>
      <c r="CQ36">
        <v>25.400400000000001</v>
      </c>
      <c r="CR36">
        <v>25.226199999999999</v>
      </c>
      <c r="CS36">
        <v>25.435199999999998</v>
      </c>
      <c r="CT36">
        <v>25.736499999999999</v>
      </c>
      <c r="CU36">
        <v>25.1614</v>
      </c>
      <c r="CV36">
        <v>0</v>
      </c>
      <c r="CW36">
        <v>26.520800000000001</v>
      </c>
      <c r="CX36">
        <v>26.842400000000001</v>
      </c>
      <c r="CY36">
        <v>25.7987</v>
      </c>
      <c r="CZ36">
        <v>24.865600000000001</v>
      </c>
      <c r="DA36">
        <v>25.938400000000001</v>
      </c>
      <c r="DB36">
        <v>25.6556</v>
      </c>
      <c r="DC36">
        <v>25.6753</v>
      </c>
      <c r="DD36">
        <v>26.374400000000001</v>
      </c>
      <c r="DE36">
        <v>26.821100000000001</v>
      </c>
      <c r="DF36">
        <v>26.874199999999998</v>
      </c>
      <c r="DG36">
        <v>25.2316</v>
      </c>
      <c r="DH36">
        <v>25.901700000000002</v>
      </c>
      <c r="DI36">
        <v>27.175799999999999</v>
      </c>
      <c r="DJ36">
        <v>27.298400000000001</v>
      </c>
      <c r="DK36">
        <v>25.966899999999999</v>
      </c>
      <c r="DL36">
        <v>24.035</v>
      </c>
      <c r="DM36">
        <v>23.8935</v>
      </c>
      <c r="DN36">
        <v>27.027200000000001</v>
      </c>
      <c r="DO36">
        <v>25.653500000000001</v>
      </c>
      <c r="DP36">
        <v>25.613499999999998</v>
      </c>
      <c r="DQ36">
        <v>26.501799999999999</v>
      </c>
      <c r="DR36">
        <v>27.1968</v>
      </c>
      <c r="DS36">
        <v>25.820699999999999</v>
      </c>
      <c r="DT36">
        <v>25.907800000000002</v>
      </c>
      <c r="DU36">
        <v>25.491499999999998</v>
      </c>
      <c r="DV36">
        <v>25.219799999999999</v>
      </c>
      <c r="DW36">
        <v>25.4482</v>
      </c>
      <c r="DX36">
        <v>27.350200000000001</v>
      </c>
      <c r="DY36">
        <v>26.685500000000001</v>
      </c>
      <c r="DZ36">
        <v>24.9983</v>
      </c>
      <c r="EA36">
        <v>25.004799999999999</v>
      </c>
      <c r="EB36">
        <v>25.3492</v>
      </c>
      <c r="EC36">
        <v>24.404</v>
      </c>
      <c r="ED36">
        <v>22.714400000000001</v>
      </c>
      <c r="EE36">
        <v>26.162199999999999</v>
      </c>
      <c r="EF36">
        <v>25.7347</v>
      </c>
      <c r="EG36">
        <v>25.572800000000001</v>
      </c>
      <c r="EH36">
        <v>25.811299999999999</v>
      </c>
      <c r="EI36">
        <v>25.916899999999998</v>
      </c>
      <c r="EJ36">
        <v>25.9849</v>
      </c>
      <c r="EK36">
        <v>25.5382</v>
      </c>
      <c r="EL36">
        <v>23.607299999999999</v>
      </c>
      <c r="EM36">
        <v>23.7988</v>
      </c>
      <c r="EN36">
        <v>24.931100000000001</v>
      </c>
      <c r="EO36">
        <v>24.700199999999999</v>
      </c>
      <c r="EP36">
        <v>27.190100000000001</v>
      </c>
      <c r="EQ36">
        <v>24.807200000000002</v>
      </c>
      <c r="ER36">
        <v>24.8886</v>
      </c>
      <c r="ES36">
        <v>24.629799999999999</v>
      </c>
      <c r="ET36">
        <v>26.7318</v>
      </c>
      <c r="EU36">
        <v>26.808199999999999</v>
      </c>
      <c r="EV36">
        <v>27.453800000000001</v>
      </c>
      <c r="EW36">
        <v>27.453800000000001</v>
      </c>
      <c r="EX36">
        <v>27.084900000000001</v>
      </c>
      <c r="EY36">
        <v>25.651700000000002</v>
      </c>
      <c r="EZ36">
        <v>26.552499999999998</v>
      </c>
      <c r="FA36">
        <v>24.227399999999999</v>
      </c>
      <c r="FB36">
        <v>25.1065</v>
      </c>
      <c r="FC36">
        <v>24.855599999999999</v>
      </c>
      <c r="FD36">
        <v>25.4955</v>
      </c>
      <c r="FE36">
        <v>25.5229</v>
      </c>
      <c r="FF36">
        <v>26.7149</v>
      </c>
      <c r="FG36">
        <v>0</v>
      </c>
      <c r="FH36">
        <v>26.009399999999999</v>
      </c>
      <c r="FI36">
        <v>25.043399999999998</v>
      </c>
      <c r="FJ36">
        <v>25.8141</v>
      </c>
      <c r="FK36">
        <v>26.039400000000001</v>
      </c>
      <c r="FL36">
        <v>25.555</v>
      </c>
      <c r="FM36">
        <v>25.519600000000001</v>
      </c>
      <c r="FN36">
        <v>27.391300000000001</v>
      </c>
      <c r="FO36">
        <v>26.1846</v>
      </c>
      <c r="FP36">
        <v>25.786300000000001</v>
      </c>
      <c r="FQ36">
        <v>24.520399999999999</v>
      </c>
      <c r="FR36">
        <v>22.799099999999999</v>
      </c>
      <c r="FS36">
        <v>25.6052</v>
      </c>
      <c r="FT36">
        <v>22.823</v>
      </c>
      <c r="FU36">
        <v>25.541499999999999</v>
      </c>
      <c r="FV36">
        <v>25.244800000000001</v>
      </c>
      <c r="FW36">
        <v>26.677700000000002</v>
      </c>
      <c r="FX36">
        <v>28.718900000000001</v>
      </c>
      <c r="FY36">
        <v>29.1602</v>
      </c>
      <c r="FZ36">
        <v>27.639099999999999</v>
      </c>
      <c r="GA36">
        <v>26.302099999999999</v>
      </c>
      <c r="GB36">
        <v>24.754899999999999</v>
      </c>
      <c r="GC36">
        <v>26.465199999999999</v>
      </c>
      <c r="GD36">
        <v>26.398099999999999</v>
      </c>
      <c r="GE36">
        <v>26.742799999999999</v>
      </c>
      <c r="GF36">
        <v>23.709099999999999</v>
      </c>
      <c r="GG36">
        <v>26.880099999999999</v>
      </c>
      <c r="GH36">
        <v>24.069500000000001</v>
      </c>
      <c r="GI36">
        <v>24.544599999999999</v>
      </c>
      <c r="GJ36">
        <v>24.474</v>
      </c>
      <c r="GK36">
        <v>27.751300000000001</v>
      </c>
      <c r="GL36">
        <v>28.5916</v>
      </c>
      <c r="GM36">
        <v>24.179600000000001</v>
      </c>
      <c r="GN36">
        <v>27.385899999999999</v>
      </c>
      <c r="GO36">
        <v>27.552</v>
      </c>
      <c r="GP36">
        <v>27.560300000000002</v>
      </c>
      <c r="GQ36">
        <v>27.439499999999999</v>
      </c>
      <c r="GR36">
        <v>27.142499999999998</v>
      </c>
      <c r="GS36">
        <v>27.5473</v>
      </c>
      <c r="GT36">
        <v>27.4709</v>
      </c>
      <c r="GU36">
        <v>27.601900000000001</v>
      </c>
      <c r="GV36">
        <v>27.562100000000001</v>
      </c>
      <c r="GW36">
        <v>27.542000000000002</v>
      </c>
      <c r="GX36">
        <v>27.111999999999998</v>
      </c>
      <c r="GY36">
        <v>25.777200000000001</v>
      </c>
      <c r="GZ36">
        <v>25.225899999999999</v>
      </c>
      <c r="HA36">
        <v>25.523099999999999</v>
      </c>
      <c r="HB36">
        <v>0</v>
      </c>
      <c r="HC36">
        <v>24.6828</v>
      </c>
      <c r="HD36">
        <v>25.807700000000001</v>
      </c>
      <c r="HE36">
        <v>24.6828</v>
      </c>
      <c r="HF36">
        <v>25.0243</v>
      </c>
      <c r="HG36">
        <v>25.0717</v>
      </c>
      <c r="HH36">
        <v>25.590499999999999</v>
      </c>
      <c r="HI36">
        <v>25.4177</v>
      </c>
      <c r="HJ36">
        <v>25.309100000000001</v>
      </c>
      <c r="HK36">
        <v>27.739100000000001</v>
      </c>
      <c r="HL36">
        <v>25.677700000000002</v>
      </c>
      <c r="HM36">
        <v>25.273900000000001</v>
      </c>
      <c r="HN36">
        <v>25.643799999999999</v>
      </c>
      <c r="HO36">
        <v>25.302700000000002</v>
      </c>
      <c r="HP36">
        <v>24.260100000000001</v>
      </c>
      <c r="HQ36">
        <v>25.5122</v>
      </c>
      <c r="HR36">
        <v>27.3597</v>
      </c>
      <c r="HS36">
        <v>24.911899999999999</v>
      </c>
      <c r="HT36">
        <v>24.26</v>
      </c>
      <c r="HU36">
        <v>24.4618</v>
      </c>
      <c r="HV36">
        <v>24.684100000000001</v>
      </c>
      <c r="HW36">
        <v>27.370200000000001</v>
      </c>
      <c r="HX36">
        <v>27.432500000000001</v>
      </c>
      <c r="HY36">
        <v>27.847300000000001</v>
      </c>
      <c r="HZ36">
        <v>26.7148</v>
      </c>
      <c r="IA36">
        <v>27.3186</v>
      </c>
      <c r="IB36">
        <v>26.711600000000001</v>
      </c>
      <c r="IC36">
        <v>26.957599999999999</v>
      </c>
      <c r="ID36">
        <v>26.905100000000001</v>
      </c>
    </row>
    <row r="37" spans="1:238" x14ac:dyDescent="0.25">
      <c r="A37">
        <v>36</v>
      </c>
      <c r="B37">
        <v>25.340900000000001</v>
      </c>
      <c r="C37">
        <v>24.740400000000001</v>
      </c>
      <c r="D37">
        <v>24.811599999999999</v>
      </c>
      <c r="E37">
        <v>24.168399999999998</v>
      </c>
      <c r="F37">
        <v>23.2666</v>
      </c>
      <c r="G37">
        <v>23.2958</v>
      </c>
      <c r="H37">
        <v>23.2</v>
      </c>
      <c r="I37">
        <v>25.526399999999999</v>
      </c>
      <c r="J37">
        <v>24.898800000000001</v>
      </c>
      <c r="K37">
        <v>26.236699999999999</v>
      </c>
      <c r="L37">
        <v>25.499500000000001</v>
      </c>
      <c r="M37">
        <v>26.032599999999999</v>
      </c>
      <c r="N37">
        <v>25.1982</v>
      </c>
      <c r="O37">
        <v>24.300999999999998</v>
      </c>
      <c r="P37">
        <v>23.856999999999999</v>
      </c>
      <c r="Q37">
        <v>23.8687</v>
      </c>
      <c r="R37">
        <v>24.355799999999999</v>
      </c>
      <c r="S37">
        <v>24.446899999999999</v>
      </c>
      <c r="T37">
        <v>24.773700000000002</v>
      </c>
      <c r="U37">
        <v>24.828800000000001</v>
      </c>
      <c r="V37">
        <v>23.7423</v>
      </c>
      <c r="W37">
        <v>23.2545</v>
      </c>
      <c r="X37">
        <v>23.458400000000001</v>
      </c>
      <c r="Y37">
        <v>23.944600000000001</v>
      </c>
      <c r="Z37">
        <v>23.282399999999999</v>
      </c>
      <c r="AA37">
        <v>23.619</v>
      </c>
      <c r="AB37">
        <v>23.674099999999999</v>
      </c>
      <c r="AC37">
        <v>24.362200000000001</v>
      </c>
      <c r="AD37">
        <v>26.409800000000001</v>
      </c>
      <c r="AE37">
        <v>24.6983</v>
      </c>
      <c r="AF37">
        <v>24.7837</v>
      </c>
      <c r="AG37">
        <v>24.887799999999999</v>
      </c>
      <c r="AH37">
        <v>26.4666</v>
      </c>
      <c r="AI37">
        <v>25.191600000000001</v>
      </c>
      <c r="AJ37">
        <v>25.059000000000001</v>
      </c>
      <c r="AK37">
        <v>25.838999999999999</v>
      </c>
      <c r="AL37">
        <v>24.827000000000002</v>
      </c>
      <c r="AM37">
        <v>24.389700000000001</v>
      </c>
      <c r="AN37">
        <v>24.812999999999999</v>
      </c>
      <c r="AO37">
        <v>25.411300000000001</v>
      </c>
      <c r="AP37">
        <v>26.810700000000001</v>
      </c>
      <c r="AQ37">
        <v>24.220600000000001</v>
      </c>
      <c r="AR37">
        <v>25.556100000000001</v>
      </c>
      <c r="AS37">
        <v>26.936800000000002</v>
      </c>
      <c r="AT37">
        <v>26.716200000000001</v>
      </c>
      <c r="AU37">
        <v>24.71</v>
      </c>
      <c r="AV37">
        <v>26.723400000000002</v>
      </c>
      <c r="AW37">
        <v>26.652000000000001</v>
      </c>
      <c r="AX37">
        <v>23.535399999999999</v>
      </c>
      <c r="AY37">
        <v>25.6999</v>
      </c>
      <c r="AZ37">
        <v>25.1799</v>
      </c>
      <c r="BA37">
        <v>25.644100000000002</v>
      </c>
      <c r="BB37">
        <v>26.4787</v>
      </c>
      <c r="BC37">
        <v>26.322600000000001</v>
      </c>
      <c r="BD37">
        <v>26.246300000000002</v>
      </c>
      <c r="BE37">
        <v>25.801500000000001</v>
      </c>
      <c r="BF37">
        <v>24.589700000000001</v>
      </c>
      <c r="BG37">
        <v>25.865400000000001</v>
      </c>
      <c r="BH37">
        <v>24.266400000000001</v>
      </c>
      <c r="BI37">
        <v>27.164400000000001</v>
      </c>
      <c r="BJ37">
        <v>26.2241</v>
      </c>
      <c r="BK37">
        <v>26.264199999999999</v>
      </c>
      <c r="BL37">
        <v>25.8582</v>
      </c>
      <c r="BM37">
        <v>25.8918</v>
      </c>
      <c r="BN37">
        <v>25.897600000000001</v>
      </c>
      <c r="BO37">
        <v>26.107600000000001</v>
      </c>
      <c r="BP37">
        <v>26.170500000000001</v>
      </c>
      <c r="BQ37">
        <v>26.857399999999998</v>
      </c>
      <c r="BR37">
        <v>26.419</v>
      </c>
      <c r="BS37">
        <v>26.518899999999999</v>
      </c>
      <c r="BT37">
        <v>26.6341</v>
      </c>
      <c r="BU37">
        <v>26.7133</v>
      </c>
      <c r="BV37">
        <v>26.702400000000001</v>
      </c>
      <c r="BW37">
        <v>26.228300000000001</v>
      </c>
      <c r="BX37">
        <v>24.814299999999999</v>
      </c>
      <c r="BY37">
        <v>24.393000000000001</v>
      </c>
      <c r="BZ37">
        <v>24.569800000000001</v>
      </c>
      <c r="CA37">
        <v>26.4483</v>
      </c>
      <c r="CB37">
        <v>26.1858</v>
      </c>
      <c r="CC37">
        <v>24.319099999999999</v>
      </c>
      <c r="CD37">
        <v>24.276</v>
      </c>
      <c r="CE37">
        <v>24.5442</v>
      </c>
      <c r="CF37">
        <v>24.8355</v>
      </c>
      <c r="CG37">
        <v>24.861999999999998</v>
      </c>
      <c r="CH37">
        <v>24.941600000000001</v>
      </c>
      <c r="CI37">
        <v>24.995799999999999</v>
      </c>
      <c r="CJ37">
        <v>25.002500000000001</v>
      </c>
      <c r="CK37">
        <v>24.974499999999999</v>
      </c>
      <c r="CL37">
        <v>24.9345</v>
      </c>
      <c r="CM37">
        <v>25.601099999999999</v>
      </c>
      <c r="CN37">
        <v>24.904599999999999</v>
      </c>
      <c r="CO37">
        <v>24.807700000000001</v>
      </c>
      <c r="CP37">
        <v>24.734000000000002</v>
      </c>
      <c r="CQ37">
        <v>24.549499999999998</v>
      </c>
      <c r="CR37">
        <v>24.393000000000001</v>
      </c>
      <c r="CS37">
        <v>24.503499999999999</v>
      </c>
      <c r="CT37">
        <v>24.7698</v>
      </c>
      <c r="CU37">
        <v>24.266100000000002</v>
      </c>
      <c r="CV37">
        <v>0</v>
      </c>
      <c r="CW37">
        <v>25.494599999999998</v>
      </c>
      <c r="CX37">
        <v>25.7807</v>
      </c>
      <c r="CY37">
        <v>24.9038</v>
      </c>
      <c r="CZ37">
        <v>24.0244</v>
      </c>
      <c r="DA37">
        <v>24.9908</v>
      </c>
      <c r="DB37">
        <v>24.891100000000002</v>
      </c>
      <c r="DC37">
        <v>24.907699999999998</v>
      </c>
      <c r="DD37">
        <v>25.6403</v>
      </c>
      <c r="DE37">
        <v>26.106999999999999</v>
      </c>
      <c r="DF37">
        <v>26.162500000000001</v>
      </c>
      <c r="DG37">
        <v>24.3766</v>
      </c>
      <c r="DH37">
        <v>25.025300000000001</v>
      </c>
      <c r="DI37">
        <v>26.4985</v>
      </c>
      <c r="DJ37">
        <v>26.1738</v>
      </c>
      <c r="DK37">
        <v>25.089600000000001</v>
      </c>
      <c r="DL37">
        <v>23.206099999999999</v>
      </c>
      <c r="DM37">
        <v>23.0703</v>
      </c>
      <c r="DN37">
        <v>26.072500000000002</v>
      </c>
      <c r="DO37">
        <v>24.756599999999999</v>
      </c>
      <c r="DP37">
        <v>24.692699999999999</v>
      </c>
      <c r="DQ37">
        <v>25.7759</v>
      </c>
      <c r="DR37">
        <v>26.505099999999999</v>
      </c>
      <c r="DS37">
        <v>24.931999999999999</v>
      </c>
      <c r="DT37">
        <v>25.0212</v>
      </c>
      <c r="DU37">
        <v>24.630600000000001</v>
      </c>
      <c r="DV37">
        <v>24.5152</v>
      </c>
      <c r="DW37">
        <v>24.556999999999999</v>
      </c>
      <c r="DX37">
        <v>26.2044</v>
      </c>
      <c r="DY37">
        <v>25.9666</v>
      </c>
      <c r="DZ37">
        <v>24.288599999999999</v>
      </c>
      <c r="EA37">
        <v>24.294899999999998</v>
      </c>
      <c r="EB37">
        <v>24.510999999999999</v>
      </c>
      <c r="EC37">
        <v>23.6145</v>
      </c>
      <c r="ED37">
        <v>21.922999999999998</v>
      </c>
      <c r="EE37">
        <v>25.162299999999998</v>
      </c>
      <c r="EF37">
        <v>24.837599999999998</v>
      </c>
      <c r="EG37">
        <v>24.665600000000001</v>
      </c>
      <c r="EH37">
        <v>24.910399999999999</v>
      </c>
      <c r="EI37">
        <v>25.020700000000001</v>
      </c>
      <c r="EJ37">
        <v>25.08</v>
      </c>
      <c r="EK37">
        <v>24.846800000000002</v>
      </c>
      <c r="EL37">
        <v>22.7944</v>
      </c>
      <c r="EM37">
        <v>22.976900000000001</v>
      </c>
      <c r="EN37">
        <v>24.1006</v>
      </c>
      <c r="EO37">
        <v>23.877400000000002</v>
      </c>
      <c r="EP37">
        <v>26.500900000000001</v>
      </c>
      <c r="EQ37">
        <v>23.945900000000002</v>
      </c>
      <c r="ER37">
        <v>24.0838</v>
      </c>
      <c r="ES37">
        <v>23.833100000000002</v>
      </c>
      <c r="ET37">
        <v>26.0121</v>
      </c>
      <c r="EU37">
        <v>26.0884</v>
      </c>
      <c r="EV37">
        <v>26.387</v>
      </c>
      <c r="EW37">
        <v>26.387</v>
      </c>
      <c r="EX37">
        <v>26.030100000000001</v>
      </c>
      <c r="EY37">
        <v>24.762899999999998</v>
      </c>
      <c r="EZ37">
        <v>25.668199999999999</v>
      </c>
      <c r="FA37">
        <v>23.4634</v>
      </c>
      <c r="FB37">
        <v>24.296800000000001</v>
      </c>
      <c r="FC37">
        <v>24.052800000000001</v>
      </c>
      <c r="FD37">
        <v>24.622</v>
      </c>
      <c r="FE37">
        <v>24.625900000000001</v>
      </c>
      <c r="FF37">
        <v>25.997599999999998</v>
      </c>
      <c r="FG37">
        <v>0</v>
      </c>
      <c r="FH37">
        <v>25.259</v>
      </c>
      <c r="FI37">
        <v>24.1739</v>
      </c>
      <c r="FJ37">
        <v>25.202200000000001</v>
      </c>
      <c r="FK37">
        <v>25.412500000000001</v>
      </c>
      <c r="FL37">
        <v>24.655799999999999</v>
      </c>
      <c r="FM37">
        <v>24.613800000000001</v>
      </c>
      <c r="FN37">
        <v>26.253299999999999</v>
      </c>
      <c r="FO37">
        <v>25.3095</v>
      </c>
      <c r="FP37">
        <v>24.913499999999999</v>
      </c>
      <c r="FQ37">
        <v>23.9755</v>
      </c>
      <c r="FR37">
        <v>22.308</v>
      </c>
      <c r="FS37">
        <v>24.849</v>
      </c>
      <c r="FT37">
        <v>22.3306</v>
      </c>
      <c r="FU37">
        <v>25.145600000000002</v>
      </c>
      <c r="FV37">
        <v>24.347000000000001</v>
      </c>
      <c r="FW37">
        <v>25.657599999999999</v>
      </c>
      <c r="FX37">
        <v>27.509399999999999</v>
      </c>
      <c r="FY37">
        <v>28.080200000000001</v>
      </c>
      <c r="FZ37">
        <v>26.478300000000001</v>
      </c>
      <c r="GA37">
        <v>25.291399999999999</v>
      </c>
      <c r="GB37">
        <v>23.9436</v>
      </c>
      <c r="GC37">
        <v>25.825700000000001</v>
      </c>
      <c r="GD37">
        <v>25.759</v>
      </c>
      <c r="GE37">
        <v>26.0642</v>
      </c>
      <c r="GF37">
        <v>23.245799999999999</v>
      </c>
      <c r="GG37">
        <v>26.1614</v>
      </c>
      <c r="GH37">
        <v>23.239799999999999</v>
      </c>
      <c r="GI37">
        <v>23.7013</v>
      </c>
      <c r="GJ37">
        <v>23.623699999999999</v>
      </c>
      <c r="GK37">
        <v>26.648099999999999</v>
      </c>
      <c r="GL37">
        <v>27.400700000000001</v>
      </c>
      <c r="GM37">
        <v>23.335100000000001</v>
      </c>
      <c r="GN37">
        <v>26.682300000000001</v>
      </c>
      <c r="GO37">
        <v>26.857099999999999</v>
      </c>
      <c r="GP37">
        <v>26.865400000000001</v>
      </c>
      <c r="GQ37">
        <v>26.749600000000001</v>
      </c>
      <c r="GR37">
        <v>26.4833</v>
      </c>
      <c r="GS37">
        <v>26.8523</v>
      </c>
      <c r="GT37">
        <v>26.7759</v>
      </c>
      <c r="GU37">
        <v>26.9023</v>
      </c>
      <c r="GV37">
        <v>26.8672</v>
      </c>
      <c r="GW37">
        <v>26.845099999999999</v>
      </c>
      <c r="GX37">
        <v>26.423999999999999</v>
      </c>
      <c r="GY37">
        <v>24.904599999999999</v>
      </c>
      <c r="GZ37">
        <v>24.392700000000001</v>
      </c>
      <c r="HA37">
        <v>24.626000000000001</v>
      </c>
      <c r="HB37">
        <v>0</v>
      </c>
      <c r="HC37">
        <v>23.9328</v>
      </c>
      <c r="HD37">
        <v>24.901199999999999</v>
      </c>
      <c r="HE37">
        <v>23.932700000000001</v>
      </c>
      <c r="HF37">
        <v>24.1919</v>
      </c>
      <c r="HG37">
        <v>24.237400000000001</v>
      </c>
      <c r="HH37">
        <v>24.72</v>
      </c>
      <c r="HI37">
        <v>24.5627</v>
      </c>
      <c r="HJ37">
        <v>24.552900000000001</v>
      </c>
      <c r="HK37">
        <v>26.5703</v>
      </c>
      <c r="HL37">
        <v>24.7834</v>
      </c>
      <c r="HM37">
        <v>24.528400000000001</v>
      </c>
      <c r="HN37">
        <v>24.879799999999999</v>
      </c>
      <c r="HO37">
        <v>24.554500000000001</v>
      </c>
      <c r="HP37">
        <v>23.5441</v>
      </c>
      <c r="HQ37">
        <v>24.624700000000001</v>
      </c>
      <c r="HR37">
        <v>26.810700000000001</v>
      </c>
      <c r="HS37">
        <v>24.090699999999998</v>
      </c>
      <c r="HT37">
        <v>23.544</v>
      </c>
      <c r="HU37">
        <v>23.600200000000001</v>
      </c>
      <c r="HV37">
        <v>24.0898</v>
      </c>
      <c r="HW37">
        <v>26.235099999999999</v>
      </c>
      <c r="HX37">
        <v>26.2883</v>
      </c>
      <c r="HY37">
        <v>26.6782</v>
      </c>
      <c r="HZ37">
        <v>25.997599999999998</v>
      </c>
      <c r="IA37">
        <v>26.6145</v>
      </c>
      <c r="IB37">
        <v>25.996400000000001</v>
      </c>
      <c r="IC37">
        <v>26.238099999999999</v>
      </c>
      <c r="ID37">
        <v>26.184899999999999</v>
      </c>
    </row>
    <row r="38" spans="1:238" x14ac:dyDescent="0.25">
      <c r="A38">
        <v>37</v>
      </c>
      <c r="B38">
        <v>25.525500000000001</v>
      </c>
      <c r="C38">
        <v>24.7438</v>
      </c>
      <c r="D38">
        <v>24.813300000000002</v>
      </c>
      <c r="E38">
        <v>24.181000000000001</v>
      </c>
      <c r="F38">
        <v>23.282399999999999</v>
      </c>
      <c r="G38">
        <v>23.326000000000001</v>
      </c>
      <c r="H38">
        <v>23.2256</v>
      </c>
      <c r="I38">
        <v>25.5779</v>
      </c>
      <c r="J38">
        <v>24.9038</v>
      </c>
      <c r="K38">
        <v>26.254300000000001</v>
      </c>
      <c r="L38">
        <v>25.5123</v>
      </c>
      <c r="M38">
        <v>26.055</v>
      </c>
      <c r="N38">
        <v>25.202500000000001</v>
      </c>
      <c r="O38">
        <v>24.317299999999999</v>
      </c>
      <c r="P38">
        <v>23.915500000000002</v>
      </c>
      <c r="Q38">
        <v>23.917899999999999</v>
      </c>
      <c r="R38">
        <v>24.422799999999999</v>
      </c>
      <c r="S38">
        <v>24.4969</v>
      </c>
      <c r="T38">
        <v>24.851900000000001</v>
      </c>
      <c r="U38">
        <v>24.842300000000002</v>
      </c>
      <c r="V38">
        <v>23.755700000000001</v>
      </c>
      <c r="W38">
        <v>23.225200000000001</v>
      </c>
      <c r="X38">
        <v>23.445599999999999</v>
      </c>
      <c r="Y38">
        <v>23.962399999999999</v>
      </c>
      <c r="Z38">
        <v>23.316500000000001</v>
      </c>
      <c r="AA38">
        <v>23.6601</v>
      </c>
      <c r="AB38">
        <v>23.715900000000001</v>
      </c>
      <c r="AC38">
        <v>24.383900000000001</v>
      </c>
      <c r="AD38">
        <v>26.403400000000001</v>
      </c>
      <c r="AE38">
        <v>24.7028</v>
      </c>
      <c r="AF38">
        <v>24.789100000000001</v>
      </c>
      <c r="AG38">
        <v>24.890899999999998</v>
      </c>
      <c r="AH38">
        <v>26.462700000000002</v>
      </c>
      <c r="AI38">
        <v>25.3765</v>
      </c>
      <c r="AJ38">
        <v>25.219100000000001</v>
      </c>
      <c r="AK38">
        <v>25.851400000000002</v>
      </c>
      <c r="AL38">
        <v>24.8324</v>
      </c>
      <c r="AM38">
        <v>24.449300000000001</v>
      </c>
      <c r="AN38">
        <v>24.8233</v>
      </c>
      <c r="AO38">
        <v>25.601500000000001</v>
      </c>
      <c r="AP38">
        <v>27.1173</v>
      </c>
      <c r="AQ38">
        <v>24.260999999999999</v>
      </c>
      <c r="AR38">
        <v>25.568999999999999</v>
      </c>
      <c r="AS38">
        <v>27.253900000000002</v>
      </c>
      <c r="AT38">
        <v>26.717600000000001</v>
      </c>
      <c r="AU38">
        <v>24.929400000000001</v>
      </c>
      <c r="AV38">
        <v>26.8446</v>
      </c>
      <c r="AW38">
        <v>26.763100000000001</v>
      </c>
      <c r="AX38">
        <v>23.5792</v>
      </c>
      <c r="AY38">
        <v>25.87</v>
      </c>
      <c r="AZ38">
        <v>25.3614</v>
      </c>
      <c r="BA38">
        <v>25.967400000000001</v>
      </c>
      <c r="BB38">
        <v>26.622199999999999</v>
      </c>
      <c r="BC38">
        <v>26.451699999999999</v>
      </c>
      <c r="BD38">
        <v>26.543900000000001</v>
      </c>
      <c r="BE38">
        <v>26.143799999999999</v>
      </c>
      <c r="BF38">
        <v>24.624300000000002</v>
      </c>
      <c r="BG38">
        <v>26.060199999999998</v>
      </c>
      <c r="BH38">
        <v>24.433399999999999</v>
      </c>
      <c r="BI38">
        <v>27.4039</v>
      </c>
      <c r="BJ38">
        <v>26.346699999999998</v>
      </c>
      <c r="BK38">
        <v>26.384799999999998</v>
      </c>
      <c r="BL38">
        <v>26.0397</v>
      </c>
      <c r="BM38">
        <v>26.0809</v>
      </c>
      <c r="BN38">
        <v>26.021899999999999</v>
      </c>
      <c r="BO38">
        <v>26.223700000000001</v>
      </c>
      <c r="BP38">
        <v>26.2879</v>
      </c>
      <c r="BQ38">
        <v>26.9786</v>
      </c>
      <c r="BR38">
        <v>26.5701</v>
      </c>
      <c r="BS38">
        <v>26.691700000000001</v>
      </c>
      <c r="BT38">
        <v>26.780799999999999</v>
      </c>
      <c r="BU38">
        <v>26.900400000000001</v>
      </c>
      <c r="BV38">
        <v>26.8811</v>
      </c>
      <c r="BW38">
        <v>26.350899999999999</v>
      </c>
      <c r="BX38">
        <v>24.919</v>
      </c>
      <c r="BY38">
        <v>24.4071</v>
      </c>
      <c r="BZ38">
        <v>24.6084</v>
      </c>
      <c r="CA38">
        <v>26.439599999999999</v>
      </c>
      <c r="CB38">
        <v>26.189399999999999</v>
      </c>
      <c r="CC38">
        <v>24.3642</v>
      </c>
      <c r="CD38">
        <v>24.276</v>
      </c>
      <c r="CE38">
        <v>24.592500000000001</v>
      </c>
      <c r="CF38">
        <v>24.840699999999998</v>
      </c>
      <c r="CG38">
        <v>24.865500000000001</v>
      </c>
      <c r="CH38">
        <v>24.946899999999999</v>
      </c>
      <c r="CI38">
        <v>25.001000000000001</v>
      </c>
      <c r="CJ38">
        <v>25.0077</v>
      </c>
      <c r="CK38">
        <v>24.978899999999999</v>
      </c>
      <c r="CL38">
        <v>24.9389</v>
      </c>
      <c r="CM38">
        <v>25.6553</v>
      </c>
      <c r="CN38">
        <v>24.915600000000001</v>
      </c>
      <c r="CO38">
        <v>24.819400000000002</v>
      </c>
      <c r="CP38">
        <v>24.746300000000002</v>
      </c>
      <c r="CQ38">
        <v>24.5657</v>
      </c>
      <c r="CR38">
        <v>24.4071</v>
      </c>
      <c r="CS38">
        <v>24.549299999999999</v>
      </c>
      <c r="CT38">
        <v>24.816500000000001</v>
      </c>
      <c r="CU38">
        <v>24.2835</v>
      </c>
      <c r="CV38">
        <v>0</v>
      </c>
      <c r="CW38">
        <v>25.506599999999999</v>
      </c>
      <c r="CX38">
        <v>25.791599999999999</v>
      </c>
      <c r="CY38">
        <v>24.9099</v>
      </c>
      <c r="CZ38">
        <v>24.042200000000001</v>
      </c>
      <c r="DA38">
        <v>25.169799999999999</v>
      </c>
      <c r="DB38">
        <v>24.966100000000001</v>
      </c>
      <c r="DC38">
        <v>24.980399999999999</v>
      </c>
      <c r="DD38">
        <v>25.739799999999999</v>
      </c>
      <c r="DE38">
        <v>26.2257</v>
      </c>
      <c r="DF38">
        <v>26.2837</v>
      </c>
      <c r="DG38">
        <v>24.3994</v>
      </c>
      <c r="DH38">
        <v>25.031099999999999</v>
      </c>
      <c r="DI38">
        <v>26.646799999999999</v>
      </c>
      <c r="DJ38">
        <v>26.176500000000001</v>
      </c>
      <c r="DK38">
        <v>25.092199999999998</v>
      </c>
      <c r="DL38">
        <v>23.232900000000001</v>
      </c>
      <c r="DM38">
        <v>23.029199999999999</v>
      </c>
      <c r="DN38">
        <v>26.0916</v>
      </c>
      <c r="DO38">
        <v>24.924700000000001</v>
      </c>
      <c r="DP38">
        <v>24.700700000000001</v>
      </c>
      <c r="DQ38">
        <v>26.1145</v>
      </c>
      <c r="DR38">
        <v>26.633700000000001</v>
      </c>
      <c r="DS38">
        <v>24.9421</v>
      </c>
      <c r="DT38">
        <v>25.033200000000001</v>
      </c>
      <c r="DU38">
        <v>24.638100000000001</v>
      </c>
      <c r="DV38">
        <v>24.708300000000001</v>
      </c>
      <c r="DW38">
        <v>24.570900000000002</v>
      </c>
      <c r="DX38">
        <v>26.222799999999999</v>
      </c>
      <c r="DY38">
        <v>26.078600000000002</v>
      </c>
      <c r="DZ38">
        <v>24.4541</v>
      </c>
      <c r="EA38">
        <v>24.4605</v>
      </c>
      <c r="EB38">
        <v>24.533999999999999</v>
      </c>
      <c r="EC38">
        <v>23.655799999999999</v>
      </c>
      <c r="ED38">
        <v>21.955100000000002</v>
      </c>
      <c r="EE38">
        <v>25.212800000000001</v>
      </c>
      <c r="EF38">
        <v>24.842700000000001</v>
      </c>
      <c r="EG38">
        <v>24.680199999999999</v>
      </c>
      <c r="EH38">
        <v>24.9148</v>
      </c>
      <c r="EI38">
        <v>25.027699999999999</v>
      </c>
      <c r="EJ38">
        <v>25.084099999999999</v>
      </c>
      <c r="EK38">
        <v>25.084199999999999</v>
      </c>
      <c r="EL38">
        <v>22.834</v>
      </c>
      <c r="EM38">
        <v>23.010899999999999</v>
      </c>
      <c r="EN38">
        <v>24.127199999999998</v>
      </c>
      <c r="EO38">
        <v>23.903700000000001</v>
      </c>
      <c r="EP38">
        <v>26.6294</v>
      </c>
      <c r="EQ38">
        <v>23.958200000000001</v>
      </c>
      <c r="ER38">
        <v>24.124199999999998</v>
      </c>
      <c r="ES38">
        <v>23.8748</v>
      </c>
      <c r="ET38">
        <v>26.1267</v>
      </c>
      <c r="EU38">
        <v>26.203800000000001</v>
      </c>
      <c r="EV38">
        <v>26.5383</v>
      </c>
      <c r="EW38">
        <v>26.5383</v>
      </c>
      <c r="EX38">
        <v>26.139800000000001</v>
      </c>
      <c r="EY38">
        <v>24.768000000000001</v>
      </c>
      <c r="EZ38">
        <v>25.6859</v>
      </c>
      <c r="FA38">
        <v>23.443899999999999</v>
      </c>
      <c r="FB38">
        <v>24.469200000000001</v>
      </c>
      <c r="FC38">
        <v>24.157</v>
      </c>
      <c r="FD38">
        <v>24.635899999999999</v>
      </c>
      <c r="FE38">
        <v>24.634799999999998</v>
      </c>
      <c r="FF38">
        <v>26.1097</v>
      </c>
      <c r="FG38">
        <v>0</v>
      </c>
      <c r="FH38">
        <v>25.3323</v>
      </c>
      <c r="FI38">
        <v>24.186299999999999</v>
      </c>
      <c r="FJ38">
        <v>25.382100000000001</v>
      </c>
      <c r="FK38">
        <v>25.5884</v>
      </c>
      <c r="FL38">
        <v>24.6645</v>
      </c>
      <c r="FM38">
        <v>24.6219</v>
      </c>
      <c r="FN38">
        <v>26.260899999999999</v>
      </c>
      <c r="FO38">
        <v>25.322500000000002</v>
      </c>
      <c r="FP38">
        <v>24.924600000000002</v>
      </c>
      <c r="FQ38">
        <v>24.185199999999998</v>
      </c>
      <c r="FR38">
        <v>22.562000000000001</v>
      </c>
      <c r="FS38">
        <v>24.927099999999999</v>
      </c>
      <c r="FT38">
        <v>22.581700000000001</v>
      </c>
      <c r="FU38">
        <v>25.880099999999999</v>
      </c>
      <c r="FV38">
        <v>24.366</v>
      </c>
      <c r="FW38">
        <v>25.8873</v>
      </c>
      <c r="FX38">
        <v>27.9192</v>
      </c>
      <c r="FY38">
        <v>28.384799999999998</v>
      </c>
      <c r="FZ38">
        <v>26.4739</v>
      </c>
      <c r="GA38">
        <v>25.343</v>
      </c>
      <c r="GB38">
        <v>23.989000000000001</v>
      </c>
      <c r="GC38">
        <v>26.012499999999999</v>
      </c>
      <c r="GD38">
        <v>25.943200000000001</v>
      </c>
      <c r="GE38">
        <v>26.215299999999999</v>
      </c>
      <c r="GF38">
        <v>23.646799999999999</v>
      </c>
      <c r="GG38">
        <v>26.284800000000001</v>
      </c>
      <c r="GH38">
        <v>23.2639</v>
      </c>
      <c r="GI38">
        <v>23.730499999999999</v>
      </c>
      <c r="GJ38">
        <v>23.664200000000001</v>
      </c>
      <c r="GK38">
        <v>26.965699999999998</v>
      </c>
      <c r="GL38">
        <v>27.799399999999999</v>
      </c>
      <c r="GM38">
        <v>23.3659</v>
      </c>
      <c r="GN38">
        <v>26.799900000000001</v>
      </c>
      <c r="GO38">
        <v>26.9786</v>
      </c>
      <c r="GP38">
        <v>26.986899999999999</v>
      </c>
      <c r="GQ38">
        <v>26.8749</v>
      </c>
      <c r="GR38">
        <v>26.6251</v>
      </c>
      <c r="GS38">
        <v>26.973800000000001</v>
      </c>
      <c r="GT38">
        <v>26.903400000000001</v>
      </c>
      <c r="GU38">
        <v>27.023099999999999</v>
      </c>
      <c r="GV38">
        <v>26.988700000000001</v>
      </c>
      <c r="GW38">
        <v>26.967099999999999</v>
      </c>
      <c r="GX38">
        <v>26.547699999999999</v>
      </c>
      <c r="GY38">
        <v>24.915600000000001</v>
      </c>
      <c r="GZ38">
        <v>24.406700000000001</v>
      </c>
      <c r="HA38">
        <v>24.634899999999998</v>
      </c>
      <c r="HB38">
        <v>0</v>
      </c>
      <c r="HC38">
        <v>24.0273</v>
      </c>
      <c r="HD38">
        <v>24.906199999999998</v>
      </c>
      <c r="HE38">
        <v>24.0273</v>
      </c>
      <c r="HF38">
        <v>24.2193</v>
      </c>
      <c r="HG38">
        <v>24.264900000000001</v>
      </c>
      <c r="HH38">
        <v>24.732600000000001</v>
      </c>
      <c r="HI38">
        <v>24.6038</v>
      </c>
      <c r="HJ38">
        <v>24.636399999999998</v>
      </c>
      <c r="HK38">
        <v>26.561599999999999</v>
      </c>
      <c r="HL38">
        <v>24.788799999999998</v>
      </c>
      <c r="HM38">
        <v>24.609100000000002</v>
      </c>
      <c r="HN38">
        <v>24.955100000000002</v>
      </c>
      <c r="HO38">
        <v>24.6327</v>
      </c>
      <c r="HP38">
        <v>23.654800000000002</v>
      </c>
      <c r="HQ38">
        <v>24.6372</v>
      </c>
      <c r="HR38">
        <v>27.032299999999999</v>
      </c>
      <c r="HS38">
        <v>24.145800000000001</v>
      </c>
      <c r="HT38">
        <v>23.654699999999998</v>
      </c>
      <c r="HU38">
        <v>23.637599999999999</v>
      </c>
      <c r="HV38">
        <v>24.256599999999999</v>
      </c>
      <c r="HW38">
        <v>26.235499999999998</v>
      </c>
      <c r="HX38">
        <v>26.2864</v>
      </c>
      <c r="HY38">
        <v>26.678599999999999</v>
      </c>
      <c r="HZ38">
        <v>26.1097</v>
      </c>
      <c r="IA38">
        <v>26.733000000000001</v>
      </c>
      <c r="IB38">
        <v>26.109400000000001</v>
      </c>
      <c r="IC38">
        <v>26.35</v>
      </c>
      <c r="ID38">
        <v>26.298999999999999</v>
      </c>
    </row>
    <row r="39" spans="1:238" x14ac:dyDescent="0.25">
      <c r="A39">
        <v>38</v>
      </c>
      <c r="B39">
        <v>31.008900000000001</v>
      </c>
      <c r="C39">
        <v>29.7315</v>
      </c>
      <c r="D39">
        <v>29.8142</v>
      </c>
      <c r="E39">
        <v>29.087499999999999</v>
      </c>
      <c r="F39">
        <v>28.0032</v>
      </c>
      <c r="G39">
        <v>28.129799999999999</v>
      </c>
      <c r="H39">
        <v>27.996099999999998</v>
      </c>
      <c r="I39">
        <v>31.125900000000001</v>
      </c>
      <c r="J39">
        <v>29.988900000000001</v>
      </c>
      <c r="K39">
        <v>31.950700000000001</v>
      </c>
      <c r="L39">
        <v>30.891500000000001</v>
      </c>
      <c r="M39">
        <v>31.683499999999999</v>
      </c>
      <c r="N39">
        <v>30.3307</v>
      </c>
      <c r="O39">
        <v>29.361799999999999</v>
      </c>
      <c r="P39">
        <v>28.779199999999999</v>
      </c>
      <c r="Q39">
        <v>28.728100000000001</v>
      </c>
      <c r="R39">
        <v>29.415700000000001</v>
      </c>
      <c r="S39">
        <v>29.482299999999999</v>
      </c>
      <c r="T39">
        <v>29.92</v>
      </c>
      <c r="U39">
        <v>29.888400000000001</v>
      </c>
      <c r="V39">
        <v>28.597200000000001</v>
      </c>
      <c r="W39">
        <v>27.942499999999999</v>
      </c>
      <c r="X39">
        <v>28.2118</v>
      </c>
      <c r="Y39">
        <v>28.832699999999999</v>
      </c>
      <c r="Z39">
        <v>28.133299999999998</v>
      </c>
      <c r="AA39">
        <v>28.543199999999999</v>
      </c>
      <c r="AB39">
        <v>28.612100000000002</v>
      </c>
      <c r="AC39">
        <v>29.467600000000001</v>
      </c>
      <c r="AD39">
        <v>32.1233</v>
      </c>
      <c r="AE39">
        <v>29.6812</v>
      </c>
      <c r="AF39">
        <v>29.805499999999999</v>
      </c>
      <c r="AG39">
        <v>29.922499999999999</v>
      </c>
      <c r="AH39">
        <v>32.222499999999997</v>
      </c>
      <c r="AI39">
        <v>30.8489</v>
      </c>
      <c r="AJ39">
        <v>30.619399999999999</v>
      </c>
      <c r="AK39">
        <v>31.353400000000001</v>
      </c>
      <c r="AL39">
        <v>29.903300000000002</v>
      </c>
      <c r="AM39">
        <v>29.578600000000002</v>
      </c>
      <c r="AN39">
        <v>29.886299999999999</v>
      </c>
      <c r="AO39">
        <v>31.105399999999999</v>
      </c>
      <c r="AP39">
        <v>33.032499999999999</v>
      </c>
      <c r="AQ39">
        <v>29.4116</v>
      </c>
      <c r="AR39">
        <v>30.969799999999999</v>
      </c>
      <c r="AS39">
        <v>33.206200000000003</v>
      </c>
      <c r="AT39">
        <v>32.5535</v>
      </c>
      <c r="AU39">
        <v>29.802499999999998</v>
      </c>
      <c r="AV39">
        <v>32.283700000000003</v>
      </c>
      <c r="AW39">
        <v>32.177199999999999</v>
      </c>
      <c r="AX39">
        <v>28.360499999999998</v>
      </c>
      <c r="AY39">
        <v>31.145900000000001</v>
      </c>
      <c r="AZ39">
        <v>30.537500000000001</v>
      </c>
      <c r="BA39">
        <v>30.791899999999998</v>
      </c>
      <c r="BB39">
        <v>32.055999999999997</v>
      </c>
      <c r="BC39">
        <v>31.861899999999999</v>
      </c>
      <c r="BD39">
        <v>31.775200000000002</v>
      </c>
      <c r="BE39">
        <v>31.070599999999999</v>
      </c>
      <c r="BF39">
        <v>29.613</v>
      </c>
      <c r="BG39">
        <v>31.390599999999999</v>
      </c>
      <c r="BH39">
        <v>29.253</v>
      </c>
      <c r="BI39">
        <v>33.120899999999999</v>
      </c>
      <c r="BJ39">
        <v>31.717199999999998</v>
      </c>
      <c r="BK39">
        <v>31.7608</v>
      </c>
      <c r="BL39">
        <v>31.361799999999999</v>
      </c>
      <c r="BM39">
        <v>31.4163</v>
      </c>
      <c r="BN39">
        <v>31.332899999999999</v>
      </c>
      <c r="BO39">
        <v>31.567900000000002</v>
      </c>
      <c r="BP39">
        <v>31.6511</v>
      </c>
      <c r="BQ39">
        <v>32.480800000000002</v>
      </c>
      <c r="BR39">
        <v>32.002099999999999</v>
      </c>
      <c r="BS39">
        <v>32.163600000000002</v>
      </c>
      <c r="BT39">
        <v>32.227400000000003</v>
      </c>
      <c r="BU39">
        <v>32.406700000000001</v>
      </c>
      <c r="BV39">
        <v>32.433900000000001</v>
      </c>
      <c r="BW39">
        <v>31.7224</v>
      </c>
      <c r="BX39">
        <v>29.912800000000001</v>
      </c>
      <c r="BY39">
        <v>29.2943</v>
      </c>
      <c r="BZ39">
        <v>29.5901</v>
      </c>
      <c r="CA39">
        <v>32.1755</v>
      </c>
      <c r="CB39">
        <v>31.825600000000001</v>
      </c>
      <c r="CC39">
        <v>29.473700000000001</v>
      </c>
      <c r="CD39">
        <v>29.124199999999998</v>
      </c>
      <c r="CE39">
        <v>29.602599999999999</v>
      </c>
      <c r="CF39">
        <v>29.913799999999998</v>
      </c>
      <c r="CG39">
        <v>29.940999999999999</v>
      </c>
      <c r="CH39">
        <v>30.0425</v>
      </c>
      <c r="CI39">
        <v>30.110199999999999</v>
      </c>
      <c r="CJ39">
        <v>30.121400000000001</v>
      </c>
      <c r="CK39">
        <v>30.083500000000001</v>
      </c>
      <c r="CL39">
        <v>30.032800000000002</v>
      </c>
      <c r="CM39">
        <v>31.1767</v>
      </c>
      <c r="CN39">
        <v>29.9739</v>
      </c>
      <c r="CO39">
        <v>29.8748</v>
      </c>
      <c r="CP39">
        <v>29.776599999999998</v>
      </c>
      <c r="CQ39">
        <v>29.5229</v>
      </c>
      <c r="CR39">
        <v>29.2943</v>
      </c>
      <c r="CS39">
        <v>29.7559</v>
      </c>
      <c r="CT39">
        <v>30.090199999999999</v>
      </c>
      <c r="CU39">
        <v>29.353000000000002</v>
      </c>
      <c r="CV39">
        <v>0</v>
      </c>
      <c r="CW39">
        <v>30.877199999999998</v>
      </c>
      <c r="CX39">
        <v>31.271599999999999</v>
      </c>
      <c r="CY39">
        <v>29.998100000000001</v>
      </c>
      <c r="CZ39">
        <v>28.925000000000001</v>
      </c>
      <c r="DA39">
        <v>30.575399999999998</v>
      </c>
      <c r="DB39">
        <v>30.052700000000002</v>
      </c>
      <c r="DC39">
        <v>30.065200000000001</v>
      </c>
      <c r="DD39">
        <v>30.984000000000002</v>
      </c>
      <c r="DE39">
        <v>31.5702</v>
      </c>
      <c r="DF39">
        <v>31.641500000000001</v>
      </c>
      <c r="DG39">
        <v>29.1798</v>
      </c>
      <c r="DH39">
        <v>30.1111</v>
      </c>
      <c r="DI39">
        <v>32.069099999999999</v>
      </c>
      <c r="DJ39">
        <v>31.807400000000001</v>
      </c>
      <c r="DK39">
        <v>30.184100000000001</v>
      </c>
      <c r="DL39">
        <v>28.003399999999999</v>
      </c>
      <c r="DM39">
        <v>27.7285</v>
      </c>
      <c r="DN39">
        <v>31.440999999999999</v>
      </c>
      <c r="DO39">
        <v>30.2332</v>
      </c>
      <c r="DP39">
        <v>29.714600000000001</v>
      </c>
      <c r="DQ39">
        <v>31.070399999999999</v>
      </c>
      <c r="DR39">
        <v>32.055199999999999</v>
      </c>
      <c r="DS39">
        <v>30.032499999999999</v>
      </c>
      <c r="DT39">
        <v>30.159199999999998</v>
      </c>
      <c r="DU39">
        <v>29.591799999999999</v>
      </c>
      <c r="DV39">
        <v>29.5623</v>
      </c>
      <c r="DW39">
        <v>29.6389</v>
      </c>
      <c r="DX39">
        <v>31.9084</v>
      </c>
      <c r="DY39">
        <v>31.392600000000002</v>
      </c>
      <c r="DZ39">
        <v>29.2804</v>
      </c>
      <c r="EA39">
        <v>29.2881</v>
      </c>
      <c r="EB39">
        <v>29.469100000000001</v>
      </c>
      <c r="EC39">
        <v>28.4559</v>
      </c>
      <c r="ED39">
        <v>26.4907</v>
      </c>
      <c r="EE39">
        <v>30.601800000000001</v>
      </c>
      <c r="EF39">
        <v>29.871700000000001</v>
      </c>
      <c r="EG39">
        <v>29.8094</v>
      </c>
      <c r="EH39">
        <v>30.003499999999999</v>
      </c>
      <c r="EI39">
        <v>30.137499999999999</v>
      </c>
      <c r="EJ39">
        <v>30.205400000000001</v>
      </c>
      <c r="EK39">
        <v>29.998699999999999</v>
      </c>
      <c r="EL39">
        <v>27.5487</v>
      </c>
      <c r="EM39">
        <v>27.754799999999999</v>
      </c>
      <c r="EN39">
        <v>29.025500000000001</v>
      </c>
      <c r="EO39">
        <v>28.756699999999999</v>
      </c>
      <c r="EP39">
        <v>32.048999999999999</v>
      </c>
      <c r="EQ39">
        <v>28.819299999999998</v>
      </c>
      <c r="ER39">
        <v>29.021599999999999</v>
      </c>
      <c r="ES39">
        <v>28.719200000000001</v>
      </c>
      <c r="ET39">
        <v>31.449300000000001</v>
      </c>
      <c r="EU39">
        <v>31.543900000000001</v>
      </c>
      <c r="EV39">
        <v>32.351300000000002</v>
      </c>
      <c r="EW39">
        <v>32.351300000000002</v>
      </c>
      <c r="EX39">
        <v>31.824200000000001</v>
      </c>
      <c r="EY39">
        <v>29.775200000000002</v>
      </c>
      <c r="EZ39">
        <v>30.931699999999999</v>
      </c>
      <c r="FA39">
        <v>28.183599999999998</v>
      </c>
      <c r="FB39">
        <v>29.5137</v>
      </c>
      <c r="FC39">
        <v>29.100899999999999</v>
      </c>
      <c r="FD39">
        <v>29.6328</v>
      </c>
      <c r="FE39">
        <v>29.6279</v>
      </c>
      <c r="FF39">
        <v>31.4312</v>
      </c>
      <c r="FG39">
        <v>0</v>
      </c>
      <c r="FH39">
        <v>30.5045</v>
      </c>
      <c r="FI39">
        <v>29.093699999999998</v>
      </c>
      <c r="FJ39">
        <v>30.5624</v>
      </c>
      <c r="FK39">
        <v>30.8093</v>
      </c>
      <c r="FL39">
        <v>29.664200000000001</v>
      </c>
      <c r="FM39">
        <v>29.6096</v>
      </c>
      <c r="FN39">
        <v>31.931699999999999</v>
      </c>
      <c r="FO39">
        <v>30.481000000000002</v>
      </c>
      <c r="FP39">
        <v>29.985800000000001</v>
      </c>
      <c r="FQ39">
        <v>29.116</v>
      </c>
      <c r="FR39">
        <v>27.140999999999998</v>
      </c>
      <c r="FS39">
        <v>30.011600000000001</v>
      </c>
      <c r="FT39">
        <v>27.165800000000001</v>
      </c>
      <c r="FU39">
        <v>31.0167</v>
      </c>
      <c r="FV39">
        <v>29.435700000000001</v>
      </c>
      <c r="FW39">
        <v>31.5459</v>
      </c>
      <c r="FX39">
        <v>34.3245</v>
      </c>
      <c r="FY39">
        <v>34.672499999999999</v>
      </c>
      <c r="FZ39">
        <v>32.235900000000001</v>
      </c>
      <c r="GA39">
        <v>30.770600000000002</v>
      </c>
      <c r="GB39">
        <v>28.794899999999998</v>
      </c>
      <c r="GC39">
        <v>31.331</v>
      </c>
      <c r="GD39">
        <v>31.244599999999998</v>
      </c>
      <c r="GE39">
        <v>31.565899999999999</v>
      </c>
      <c r="GF39">
        <v>28.406099999999999</v>
      </c>
      <c r="GG39">
        <v>31.651199999999999</v>
      </c>
      <c r="GH39">
        <v>28.042300000000001</v>
      </c>
      <c r="GI39">
        <v>28.6158</v>
      </c>
      <c r="GJ39">
        <v>28.547799999999999</v>
      </c>
      <c r="GK39">
        <v>33.018099999999997</v>
      </c>
      <c r="GL39">
        <v>34.160699999999999</v>
      </c>
      <c r="GM39">
        <v>28.191299999999998</v>
      </c>
      <c r="GN39">
        <v>32.241100000000003</v>
      </c>
      <c r="GO39">
        <v>32.442999999999998</v>
      </c>
      <c r="GP39">
        <v>32.453600000000002</v>
      </c>
      <c r="GQ39">
        <v>32.322600000000001</v>
      </c>
      <c r="GR39">
        <v>32.048999999999999</v>
      </c>
      <c r="GS39">
        <v>32.4375</v>
      </c>
      <c r="GT39">
        <v>32.392000000000003</v>
      </c>
      <c r="GU39">
        <v>32.534199999999998</v>
      </c>
      <c r="GV39">
        <v>32.455500000000001</v>
      </c>
      <c r="GW39">
        <v>32.4191</v>
      </c>
      <c r="GX39">
        <v>31.9496</v>
      </c>
      <c r="GY39">
        <v>29.9739</v>
      </c>
      <c r="GZ39">
        <v>29.293900000000001</v>
      </c>
      <c r="HA39">
        <v>29.628</v>
      </c>
      <c r="HB39">
        <v>0</v>
      </c>
      <c r="HC39">
        <v>28.950700000000001</v>
      </c>
      <c r="HD39">
        <v>29.991900000000001</v>
      </c>
      <c r="HE39">
        <v>28.950700000000001</v>
      </c>
      <c r="HF39">
        <v>29.1357</v>
      </c>
      <c r="HG39">
        <v>29.189299999999999</v>
      </c>
      <c r="HH39">
        <v>29.746300000000002</v>
      </c>
      <c r="HI39">
        <v>29.603000000000002</v>
      </c>
      <c r="HJ39">
        <v>29.6739</v>
      </c>
      <c r="HK39">
        <v>32.330599999999997</v>
      </c>
      <c r="HL39">
        <v>29.805199999999999</v>
      </c>
      <c r="HM39">
        <v>29.6328</v>
      </c>
      <c r="HN39">
        <v>30.040299999999998</v>
      </c>
      <c r="HO39">
        <v>29.655000000000001</v>
      </c>
      <c r="HP39">
        <v>28.5106</v>
      </c>
      <c r="HQ39">
        <v>29.6936</v>
      </c>
      <c r="HR39">
        <v>32.643700000000003</v>
      </c>
      <c r="HS39">
        <v>29.0578</v>
      </c>
      <c r="HT39">
        <v>28.5105</v>
      </c>
      <c r="HU39">
        <v>28.543700000000001</v>
      </c>
      <c r="HV39">
        <v>29.2057</v>
      </c>
      <c r="HW39">
        <v>31.889600000000002</v>
      </c>
      <c r="HX39">
        <v>31.959900000000001</v>
      </c>
      <c r="HY39">
        <v>32.502699999999997</v>
      </c>
      <c r="HZ39">
        <v>31.4312</v>
      </c>
      <c r="IA39">
        <v>32.164400000000001</v>
      </c>
      <c r="IB39">
        <v>31.4312</v>
      </c>
      <c r="IC39">
        <v>31.718599999999999</v>
      </c>
      <c r="ID39">
        <v>31.6587</v>
      </c>
    </row>
    <row r="40" spans="1:238" x14ac:dyDescent="0.25">
      <c r="A40">
        <v>39</v>
      </c>
      <c r="B40">
        <v>31.841200000000001</v>
      </c>
      <c r="C40">
        <v>30.415199999999999</v>
      </c>
      <c r="D40">
        <v>30.498100000000001</v>
      </c>
      <c r="E40">
        <v>29.784800000000001</v>
      </c>
      <c r="F40">
        <v>28.681699999999999</v>
      </c>
      <c r="G40">
        <v>28.834099999999999</v>
      </c>
      <c r="H40">
        <v>28.6937</v>
      </c>
      <c r="I40">
        <v>32.004899999999999</v>
      </c>
      <c r="J40">
        <v>30.717400000000001</v>
      </c>
      <c r="K40">
        <v>32.860700000000001</v>
      </c>
      <c r="L40">
        <v>31.703499999999998</v>
      </c>
      <c r="M40">
        <v>32.579500000000003</v>
      </c>
      <c r="N40">
        <v>31.054200000000002</v>
      </c>
      <c r="O40">
        <v>30.100300000000001</v>
      </c>
      <c r="P40">
        <v>29.457000000000001</v>
      </c>
      <c r="Q40">
        <v>29.422499999999999</v>
      </c>
      <c r="R40">
        <v>30.0792</v>
      </c>
      <c r="S40">
        <v>30.1281</v>
      </c>
      <c r="T40">
        <v>30.661300000000001</v>
      </c>
      <c r="U40">
        <v>30.594100000000001</v>
      </c>
      <c r="V40">
        <v>29.295400000000001</v>
      </c>
      <c r="W40">
        <v>28.624400000000001</v>
      </c>
      <c r="X40">
        <v>28.9024</v>
      </c>
      <c r="Y40">
        <v>29.528099999999998</v>
      </c>
      <c r="Z40">
        <v>28.843599999999999</v>
      </c>
      <c r="AA40">
        <v>29.2637</v>
      </c>
      <c r="AB40">
        <v>29.333100000000002</v>
      </c>
      <c r="AC40">
        <v>30.220800000000001</v>
      </c>
      <c r="AD40">
        <v>33.019199999999998</v>
      </c>
      <c r="AE40">
        <v>30.363900000000001</v>
      </c>
      <c r="AF40">
        <v>30.5059</v>
      </c>
      <c r="AG40">
        <v>30.622800000000002</v>
      </c>
      <c r="AH40">
        <v>33.133800000000001</v>
      </c>
      <c r="AI40">
        <v>31.686499999999999</v>
      </c>
      <c r="AJ40">
        <v>31.440999999999999</v>
      </c>
      <c r="AK40">
        <v>32.1997</v>
      </c>
      <c r="AL40">
        <v>30.630099999999999</v>
      </c>
      <c r="AM40">
        <v>30.350300000000001</v>
      </c>
      <c r="AN40">
        <v>30.609000000000002</v>
      </c>
      <c r="AO40">
        <v>31.940300000000001</v>
      </c>
      <c r="AP40">
        <v>33.916899999999998</v>
      </c>
      <c r="AQ40">
        <v>30.207000000000001</v>
      </c>
      <c r="AR40">
        <v>31.785599999999999</v>
      </c>
      <c r="AS40">
        <v>34.095100000000002</v>
      </c>
      <c r="AT40">
        <v>33.484099999999998</v>
      </c>
      <c r="AU40">
        <v>30.560400000000001</v>
      </c>
      <c r="AV40">
        <v>33.056600000000003</v>
      </c>
      <c r="AW40">
        <v>32.945300000000003</v>
      </c>
      <c r="AX40">
        <v>29.040900000000001</v>
      </c>
      <c r="AY40">
        <v>31.901</v>
      </c>
      <c r="AZ40">
        <v>31.268000000000001</v>
      </c>
      <c r="BA40">
        <v>31.576899999999998</v>
      </c>
      <c r="BB40">
        <v>32.861400000000003</v>
      </c>
      <c r="BC40">
        <v>32.647399999999998</v>
      </c>
      <c r="BD40">
        <v>32.570099999999996</v>
      </c>
      <c r="BE40">
        <v>31.861799999999999</v>
      </c>
      <c r="BF40">
        <v>30.273399999999999</v>
      </c>
      <c r="BG40">
        <v>32.152500000000003</v>
      </c>
      <c r="BH40">
        <v>29.9894</v>
      </c>
      <c r="BI40">
        <v>33.926400000000001</v>
      </c>
      <c r="BJ40">
        <v>32.492400000000004</v>
      </c>
      <c r="BK40">
        <v>32.536200000000001</v>
      </c>
      <c r="BL40">
        <v>32.123800000000003</v>
      </c>
      <c r="BM40">
        <v>32.180500000000002</v>
      </c>
      <c r="BN40">
        <v>32.113100000000003</v>
      </c>
      <c r="BO40">
        <v>32.3444</v>
      </c>
      <c r="BP40">
        <v>32.430599999999998</v>
      </c>
      <c r="BQ40">
        <v>33.273699999999998</v>
      </c>
      <c r="BR40">
        <v>32.786499999999997</v>
      </c>
      <c r="BS40">
        <v>32.955100000000002</v>
      </c>
      <c r="BT40">
        <v>33.023499999999999</v>
      </c>
      <c r="BU40">
        <v>33.196100000000001</v>
      </c>
      <c r="BV40">
        <v>33.235599999999998</v>
      </c>
      <c r="BW40">
        <v>32.497700000000002</v>
      </c>
      <c r="BX40">
        <v>30.658300000000001</v>
      </c>
      <c r="BY40">
        <v>29.950700000000001</v>
      </c>
      <c r="BZ40">
        <v>30.249199999999998</v>
      </c>
      <c r="CA40">
        <v>33.073799999999999</v>
      </c>
      <c r="CB40">
        <v>32.704599999999999</v>
      </c>
      <c r="CC40">
        <v>30.242100000000001</v>
      </c>
      <c r="CD40">
        <v>29.819299999999998</v>
      </c>
      <c r="CE40">
        <v>30.209</v>
      </c>
      <c r="CF40">
        <v>30.640999999999998</v>
      </c>
      <c r="CG40">
        <v>30.668600000000001</v>
      </c>
      <c r="CH40">
        <v>30.771999999999998</v>
      </c>
      <c r="CI40">
        <v>30.841799999999999</v>
      </c>
      <c r="CJ40">
        <v>30.8553</v>
      </c>
      <c r="CK40">
        <v>30.8155</v>
      </c>
      <c r="CL40">
        <v>30.762599999999999</v>
      </c>
      <c r="CM40">
        <v>32.0366</v>
      </c>
      <c r="CN40">
        <v>30.680700000000002</v>
      </c>
      <c r="CO40">
        <v>30.594000000000001</v>
      </c>
      <c r="CP40">
        <v>30.486599999999999</v>
      </c>
      <c r="CQ40">
        <v>30.2073</v>
      </c>
      <c r="CR40">
        <v>29.950700000000001</v>
      </c>
      <c r="CS40">
        <v>30.561699999999998</v>
      </c>
      <c r="CT40">
        <v>30.9025</v>
      </c>
      <c r="CU40">
        <v>30.104900000000001</v>
      </c>
      <c r="CV40">
        <v>0</v>
      </c>
      <c r="CW40">
        <v>31.686699999999998</v>
      </c>
      <c r="CX40">
        <v>32.1111</v>
      </c>
      <c r="CY40">
        <v>30.731100000000001</v>
      </c>
      <c r="CZ40">
        <v>29.619700000000002</v>
      </c>
      <c r="DA40">
        <v>31.401399999999999</v>
      </c>
      <c r="DB40">
        <v>30.793299999999999</v>
      </c>
      <c r="DC40">
        <v>30.801300000000001</v>
      </c>
      <c r="DD40">
        <v>31.742999999999999</v>
      </c>
      <c r="DE40">
        <v>32.343200000000003</v>
      </c>
      <c r="DF40">
        <v>32.415399999999998</v>
      </c>
      <c r="DG40">
        <v>29.882999999999999</v>
      </c>
      <c r="DH40">
        <v>30.817599999999999</v>
      </c>
      <c r="DI40">
        <v>32.858400000000003</v>
      </c>
      <c r="DJ40">
        <v>32.684199999999997</v>
      </c>
      <c r="DK40">
        <v>30.892399999999999</v>
      </c>
      <c r="DL40">
        <v>28.713200000000001</v>
      </c>
      <c r="DM40">
        <v>28.4011</v>
      </c>
      <c r="DN40">
        <v>32.207700000000003</v>
      </c>
      <c r="DO40">
        <v>31.041799999999999</v>
      </c>
      <c r="DP40">
        <v>30.426400000000001</v>
      </c>
      <c r="DQ40">
        <v>31.8614</v>
      </c>
      <c r="DR40">
        <v>32.833799999999997</v>
      </c>
      <c r="DS40">
        <v>30.755500000000001</v>
      </c>
      <c r="DT40">
        <v>30.888999999999999</v>
      </c>
      <c r="DU40">
        <v>30.2666</v>
      </c>
      <c r="DV40">
        <v>30.310400000000001</v>
      </c>
      <c r="DW40">
        <v>30.3764</v>
      </c>
      <c r="DX40">
        <v>32.816200000000002</v>
      </c>
      <c r="DY40">
        <v>32.161799999999999</v>
      </c>
      <c r="DZ40">
        <v>30.017399999999999</v>
      </c>
      <c r="EA40">
        <v>30.025200000000002</v>
      </c>
      <c r="EB40">
        <v>30.128699999999998</v>
      </c>
      <c r="EC40">
        <v>29.138999999999999</v>
      </c>
      <c r="ED40">
        <v>27.159500000000001</v>
      </c>
      <c r="EE40">
        <v>31.4359</v>
      </c>
      <c r="EF40">
        <v>30.573799999999999</v>
      </c>
      <c r="EG40">
        <v>30.570799999999998</v>
      </c>
      <c r="EH40">
        <v>30.734200000000001</v>
      </c>
      <c r="EI40">
        <v>30.863299999999999</v>
      </c>
      <c r="EJ40">
        <v>30.932600000000001</v>
      </c>
      <c r="EK40">
        <v>30.766100000000002</v>
      </c>
      <c r="EL40">
        <v>28.2392</v>
      </c>
      <c r="EM40">
        <v>28.450099999999999</v>
      </c>
      <c r="EN40">
        <v>29.720600000000001</v>
      </c>
      <c r="EO40">
        <v>29.4453</v>
      </c>
      <c r="EP40">
        <v>32.826999999999998</v>
      </c>
      <c r="EQ40">
        <v>29.510100000000001</v>
      </c>
      <c r="ER40">
        <v>29.718800000000002</v>
      </c>
      <c r="ES40">
        <v>29.4087</v>
      </c>
      <c r="ET40">
        <v>32.2209</v>
      </c>
      <c r="EU40">
        <v>32.319600000000001</v>
      </c>
      <c r="EV40">
        <v>33.247700000000002</v>
      </c>
      <c r="EW40">
        <v>33.247700000000002</v>
      </c>
      <c r="EX40">
        <v>32.706200000000003</v>
      </c>
      <c r="EY40">
        <v>30.471299999999999</v>
      </c>
      <c r="EZ40">
        <v>31.680199999999999</v>
      </c>
      <c r="FA40">
        <v>28.842199999999998</v>
      </c>
      <c r="FB40">
        <v>30.232600000000001</v>
      </c>
      <c r="FC40">
        <v>29.7956</v>
      </c>
      <c r="FD40">
        <v>30.3354</v>
      </c>
      <c r="FE40">
        <v>30.335000000000001</v>
      </c>
      <c r="FF40">
        <v>32.2014</v>
      </c>
      <c r="FG40">
        <v>0</v>
      </c>
      <c r="FH40">
        <v>31.2622</v>
      </c>
      <c r="FI40">
        <v>29.791</v>
      </c>
      <c r="FJ40">
        <v>31.294599999999999</v>
      </c>
      <c r="FK40">
        <v>31.554600000000001</v>
      </c>
      <c r="FL40">
        <v>30.372499999999999</v>
      </c>
      <c r="FM40">
        <v>30.3155</v>
      </c>
      <c r="FN40">
        <v>32.823300000000003</v>
      </c>
      <c r="FO40">
        <v>31.207699999999999</v>
      </c>
      <c r="FP40">
        <v>30.693100000000001</v>
      </c>
      <c r="FQ40">
        <v>29.766500000000001</v>
      </c>
      <c r="FR40">
        <v>27.703099999999999</v>
      </c>
      <c r="FS40">
        <v>30.756799999999998</v>
      </c>
      <c r="FT40">
        <v>27.730699999999999</v>
      </c>
      <c r="FU40">
        <v>31.3948</v>
      </c>
      <c r="FV40">
        <v>30.183399999999999</v>
      </c>
      <c r="FW40">
        <v>32.430100000000003</v>
      </c>
      <c r="FX40">
        <v>35.396700000000003</v>
      </c>
      <c r="FY40">
        <v>35.637999999999998</v>
      </c>
      <c r="FZ40">
        <v>33.148400000000002</v>
      </c>
      <c r="GA40">
        <v>31.611999999999998</v>
      </c>
      <c r="GB40">
        <v>29.4907</v>
      </c>
      <c r="GC40">
        <v>32.091999999999999</v>
      </c>
      <c r="GD40">
        <v>32.002800000000001</v>
      </c>
      <c r="GE40">
        <v>32.335500000000003</v>
      </c>
      <c r="GF40">
        <v>28.883500000000002</v>
      </c>
      <c r="GG40">
        <v>32.434100000000001</v>
      </c>
      <c r="GH40">
        <v>28.7422</v>
      </c>
      <c r="GI40">
        <v>29.3354</v>
      </c>
      <c r="GJ40">
        <v>29.2684</v>
      </c>
      <c r="GK40">
        <v>34.003399999999999</v>
      </c>
      <c r="GL40">
        <v>35.220300000000002</v>
      </c>
      <c r="GM40">
        <v>28.902799999999999</v>
      </c>
      <c r="GN40">
        <v>33.022199999999998</v>
      </c>
      <c r="GO40">
        <v>33.218600000000002</v>
      </c>
      <c r="GP40">
        <v>33.229500000000002</v>
      </c>
      <c r="GQ40">
        <v>33.102499999999999</v>
      </c>
      <c r="GR40">
        <v>32.826999999999998</v>
      </c>
      <c r="GS40">
        <v>33.213099999999997</v>
      </c>
      <c r="GT40">
        <v>33.182000000000002</v>
      </c>
      <c r="GU40">
        <v>33.328600000000002</v>
      </c>
      <c r="GV40">
        <v>33.231499999999997</v>
      </c>
      <c r="GW40">
        <v>33.188899999999997</v>
      </c>
      <c r="GX40">
        <v>32.725099999999998</v>
      </c>
      <c r="GY40">
        <v>30.680700000000002</v>
      </c>
      <c r="GZ40">
        <v>29.950299999999999</v>
      </c>
      <c r="HA40">
        <v>30.3352</v>
      </c>
      <c r="HB40">
        <v>0</v>
      </c>
      <c r="HC40">
        <v>29.633199999999999</v>
      </c>
      <c r="HD40">
        <v>30.720500000000001</v>
      </c>
      <c r="HE40">
        <v>29.633199999999999</v>
      </c>
      <c r="HF40">
        <v>29.832799999999999</v>
      </c>
      <c r="HG40">
        <v>29.886600000000001</v>
      </c>
      <c r="HH40">
        <v>30.4466</v>
      </c>
      <c r="HI40">
        <v>30.261600000000001</v>
      </c>
      <c r="HJ40">
        <v>30.400500000000001</v>
      </c>
      <c r="HK40">
        <v>33.242400000000004</v>
      </c>
      <c r="HL40">
        <v>30.505500000000001</v>
      </c>
      <c r="HM40">
        <v>30.3719</v>
      </c>
      <c r="HN40">
        <v>30.781400000000001</v>
      </c>
      <c r="HO40">
        <v>30.389800000000001</v>
      </c>
      <c r="HP40">
        <v>29.1889</v>
      </c>
      <c r="HQ40">
        <v>30.4222</v>
      </c>
      <c r="HR40">
        <v>33.446599999999997</v>
      </c>
      <c r="HS40">
        <v>29.722999999999999</v>
      </c>
      <c r="HT40">
        <v>29.188800000000001</v>
      </c>
      <c r="HU40">
        <v>29.271599999999999</v>
      </c>
      <c r="HV40">
        <v>29.912199999999999</v>
      </c>
      <c r="HW40">
        <v>32.771500000000003</v>
      </c>
      <c r="HX40">
        <v>32.845700000000001</v>
      </c>
      <c r="HY40">
        <v>33.430500000000002</v>
      </c>
      <c r="HZ40">
        <v>32.2014</v>
      </c>
      <c r="IA40">
        <v>32.939300000000003</v>
      </c>
      <c r="IB40">
        <v>32.2014</v>
      </c>
      <c r="IC40">
        <v>32.497100000000003</v>
      </c>
      <c r="ID40">
        <v>32.437600000000003</v>
      </c>
    </row>
    <row r="41" spans="1:238" x14ac:dyDescent="0.25">
      <c r="A41">
        <v>40</v>
      </c>
      <c r="B41">
        <v>31.7624</v>
      </c>
      <c r="C41">
        <v>30.369</v>
      </c>
      <c r="D41">
        <v>30.4496</v>
      </c>
      <c r="E41">
        <v>29.747800000000002</v>
      </c>
      <c r="F41">
        <v>28.652100000000001</v>
      </c>
      <c r="G41">
        <v>28.799800000000001</v>
      </c>
      <c r="H41">
        <v>28.659099999999999</v>
      </c>
      <c r="I41">
        <v>31.947500000000002</v>
      </c>
      <c r="J41">
        <v>30.677700000000002</v>
      </c>
      <c r="K41">
        <v>32.807699999999997</v>
      </c>
      <c r="L41">
        <v>31.654599999999999</v>
      </c>
      <c r="M41">
        <v>32.540399999999998</v>
      </c>
      <c r="N41">
        <v>31.0123</v>
      </c>
      <c r="O41">
        <v>30.0609</v>
      </c>
      <c r="P41">
        <v>29.4343</v>
      </c>
      <c r="Q41">
        <v>29.3886</v>
      </c>
      <c r="R41">
        <v>30.065000000000001</v>
      </c>
      <c r="S41">
        <v>30.113700000000001</v>
      </c>
      <c r="T41">
        <v>30.6569</v>
      </c>
      <c r="U41">
        <v>30.540900000000001</v>
      </c>
      <c r="V41">
        <v>29.265000000000001</v>
      </c>
      <c r="W41">
        <v>28.604099999999999</v>
      </c>
      <c r="X41">
        <v>28.8795</v>
      </c>
      <c r="Y41">
        <v>29.4954</v>
      </c>
      <c r="Z41">
        <v>28.808399999999999</v>
      </c>
      <c r="AA41">
        <v>29.230799999999999</v>
      </c>
      <c r="AB41">
        <v>29.300999999999998</v>
      </c>
      <c r="AC41">
        <v>30.180399999999999</v>
      </c>
      <c r="AD41">
        <v>32.951700000000002</v>
      </c>
      <c r="AE41">
        <v>30.319099999999999</v>
      </c>
      <c r="AF41">
        <v>30.461600000000001</v>
      </c>
      <c r="AG41">
        <v>30.5778</v>
      </c>
      <c r="AH41">
        <v>33.064599999999999</v>
      </c>
      <c r="AI41">
        <v>31.6067</v>
      </c>
      <c r="AJ41">
        <v>31.368300000000001</v>
      </c>
      <c r="AK41">
        <v>32.151200000000003</v>
      </c>
      <c r="AL41">
        <v>30.590599999999998</v>
      </c>
      <c r="AM41">
        <v>30.3003</v>
      </c>
      <c r="AN41">
        <v>30.5685</v>
      </c>
      <c r="AO41">
        <v>31.86</v>
      </c>
      <c r="AP41">
        <v>33.805599999999998</v>
      </c>
      <c r="AQ41">
        <v>30.146899999999999</v>
      </c>
      <c r="AR41">
        <v>31.7377</v>
      </c>
      <c r="AS41">
        <v>33.980899999999998</v>
      </c>
      <c r="AT41">
        <v>33.412500000000001</v>
      </c>
      <c r="AU41">
        <v>30.537400000000002</v>
      </c>
      <c r="AV41">
        <v>33.0563</v>
      </c>
      <c r="AW41">
        <v>32.947099999999999</v>
      </c>
      <c r="AX41">
        <v>29.012699999999999</v>
      </c>
      <c r="AY41">
        <v>31.8705</v>
      </c>
      <c r="AZ41">
        <v>31.234100000000002</v>
      </c>
      <c r="BA41">
        <v>31.537500000000001</v>
      </c>
      <c r="BB41">
        <v>32.848300000000002</v>
      </c>
      <c r="BC41">
        <v>32.618299999999998</v>
      </c>
      <c r="BD41">
        <v>32.530500000000004</v>
      </c>
      <c r="BE41">
        <v>31.8186</v>
      </c>
      <c r="BF41">
        <v>30.25</v>
      </c>
      <c r="BG41">
        <v>32.113</v>
      </c>
      <c r="BH41">
        <v>29.971900000000002</v>
      </c>
      <c r="BI41">
        <v>33.893500000000003</v>
      </c>
      <c r="BJ41">
        <v>32.466799999999999</v>
      </c>
      <c r="BK41">
        <v>32.509599999999999</v>
      </c>
      <c r="BL41">
        <v>32.088500000000003</v>
      </c>
      <c r="BM41">
        <v>32.144199999999998</v>
      </c>
      <c r="BN41">
        <v>32.086300000000001</v>
      </c>
      <c r="BO41">
        <v>32.318100000000001</v>
      </c>
      <c r="BP41">
        <v>32.403500000000001</v>
      </c>
      <c r="BQ41">
        <v>33.248600000000003</v>
      </c>
      <c r="BR41">
        <v>32.758299999999998</v>
      </c>
      <c r="BS41">
        <v>32.923499999999997</v>
      </c>
      <c r="BT41">
        <v>32.996099999999998</v>
      </c>
      <c r="BU41">
        <v>33.181800000000003</v>
      </c>
      <c r="BV41">
        <v>33.205599999999997</v>
      </c>
      <c r="BW41">
        <v>32.472099999999998</v>
      </c>
      <c r="BX41">
        <v>30.648599999999998</v>
      </c>
      <c r="BY41">
        <v>29.910499999999999</v>
      </c>
      <c r="BZ41">
        <v>30.221299999999999</v>
      </c>
      <c r="CA41">
        <v>33.004800000000003</v>
      </c>
      <c r="CB41">
        <v>32.645699999999998</v>
      </c>
      <c r="CC41">
        <v>30.1938</v>
      </c>
      <c r="CD41">
        <v>29.779699999999998</v>
      </c>
      <c r="CE41">
        <v>30.209</v>
      </c>
      <c r="CF41">
        <v>30.601600000000001</v>
      </c>
      <c r="CG41">
        <v>30.6294</v>
      </c>
      <c r="CH41">
        <v>30.732500000000002</v>
      </c>
      <c r="CI41">
        <v>30.802600000000002</v>
      </c>
      <c r="CJ41">
        <v>30.815000000000001</v>
      </c>
      <c r="CK41">
        <v>30.775200000000002</v>
      </c>
      <c r="CL41">
        <v>30.723400000000002</v>
      </c>
      <c r="CM41">
        <v>31.976700000000001</v>
      </c>
      <c r="CN41">
        <v>30.6325</v>
      </c>
      <c r="CO41">
        <v>30.552900000000001</v>
      </c>
      <c r="CP41">
        <v>30.444900000000001</v>
      </c>
      <c r="CQ41">
        <v>30.1677</v>
      </c>
      <c r="CR41">
        <v>29.910499999999999</v>
      </c>
      <c r="CS41">
        <v>30.494299999999999</v>
      </c>
      <c r="CT41">
        <v>30.841699999999999</v>
      </c>
      <c r="CU41">
        <v>30.066199999999998</v>
      </c>
      <c r="CV41">
        <v>0</v>
      </c>
      <c r="CW41">
        <v>31.638300000000001</v>
      </c>
      <c r="CX41">
        <v>32.061100000000003</v>
      </c>
      <c r="CY41">
        <v>30.692299999999999</v>
      </c>
      <c r="CZ41">
        <v>29.586600000000001</v>
      </c>
      <c r="DA41">
        <v>31.327999999999999</v>
      </c>
      <c r="DB41">
        <v>30.7834</v>
      </c>
      <c r="DC41">
        <v>30.787700000000001</v>
      </c>
      <c r="DD41">
        <v>31.7225</v>
      </c>
      <c r="DE41">
        <v>32.318199999999997</v>
      </c>
      <c r="DF41">
        <v>32.3902</v>
      </c>
      <c r="DG41">
        <v>29.8445</v>
      </c>
      <c r="DH41">
        <v>30.764099999999999</v>
      </c>
      <c r="DI41">
        <v>32.829099999999997</v>
      </c>
      <c r="DJ41">
        <v>32.625</v>
      </c>
      <c r="DK41">
        <v>30.8369</v>
      </c>
      <c r="DL41">
        <v>28.6797</v>
      </c>
      <c r="DM41">
        <v>28.377500000000001</v>
      </c>
      <c r="DN41">
        <v>32.154000000000003</v>
      </c>
      <c r="DO41">
        <v>30.980499999999999</v>
      </c>
      <c r="DP41">
        <v>30.386199999999999</v>
      </c>
      <c r="DQ41">
        <v>31.8186</v>
      </c>
      <c r="DR41">
        <v>32.815899999999999</v>
      </c>
      <c r="DS41">
        <v>30.713200000000001</v>
      </c>
      <c r="DT41">
        <v>30.846900000000002</v>
      </c>
      <c r="DU41">
        <v>30.223500000000001</v>
      </c>
      <c r="DV41">
        <v>30.290199999999999</v>
      </c>
      <c r="DW41">
        <v>30.335899999999999</v>
      </c>
      <c r="DX41">
        <v>32.7654</v>
      </c>
      <c r="DY41">
        <v>32.138199999999998</v>
      </c>
      <c r="DZ41">
        <v>30.0002</v>
      </c>
      <c r="EA41">
        <v>30.007999999999999</v>
      </c>
      <c r="EB41">
        <v>30.092700000000001</v>
      </c>
      <c r="EC41">
        <v>29.110800000000001</v>
      </c>
      <c r="ED41">
        <v>27.1264</v>
      </c>
      <c r="EE41">
        <v>31.374199999999998</v>
      </c>
      <c r="EF41">
        <v>30.528199999999998</v>
      </c>
      <c r="EG41">
        <v>30.527999999999999</v>
      </c>
      <c r="EH41">
        <v>30.6952</v>
      </c>
      <c r="EI41">
        <v>30.819700000000001</v>
      </c>
      <c r="EJ41">
        <v>30.887899999999998</v>
      </c>
      <c r="EK41">
        <v>30.741900000000001</v>
      </c>
      <c r="EL41">
        <v>28.203099999999999</v>
      </c>
      <c r="EM41">
        <v>28.415199999999999</v>
      </c>
      <c r="EN41">
        <v>29.6874</v>
      </c>
      <c r="EO41">
        <v>29.412500000000001</v>
      </c>
      <c r="EP41">
        <v>32.811300000000003</v>
      </c>
      <c r="EQ41">
        <v>29.473400000000002</v>
      </c>
      <c r="ER41">
        <v>29.690200000000001</v>
      </c>
      <c r="ES41">
        <v>29.380299999999998</v>
      </c>
      <c r="ET41">
        <v>32.196199999999997</v>
      </c>
      <c r="EU41">
        <v>32.293599999999998</v>
      </c>
      <c r="EV41">
        <v>33.177300000000002</v>
      </c>
      <c r="EW41">
        <v>33.177300000000002</v>
      </c>
      <c r="EX41">
        <v>32.640700000000002</v>
      </c>
      <c r="EY41">
        <v>30.4269</v>
      </c>
      <c r="EZ41">
        <v>31.6158</v>
      </c>
      <c r="FA41">
        <v>28.782699999999998</v>
      </c>
      <c r="FB41">
        <v>30.225000000000001</v>
      </c>
      <c r="FC41">
        <v>29.775200000000002</v>
      </c>
      <c r="FD41">
        <v>30.295200000000001</v>
      </c>
      <c r="FE41">
        <v>30.294699999999999</v>
      </c>
      <c r="FF41">
        <v>32.177700000000002</v>
      </c>
      <c r="FG41">
        <v>0</v>
      </c>
      <c r="FH41">
        <v>31.252600000000001</v>
      </c>
      <c r="FI41">
        <v>29.754000000000001</v>
      </c>
      <c r="FJ41">
        <v>31.260899999999999</v>
      </c>
      <c r="FK41">
        <v>31.521100000000001</v>
      </c>
      <c r="FL41">
        <v>30.332000000000001</v>
      </c>
      <c r="FM41">
        <v>30.278400000000001</v>
      </c>
      <c r="FN41">
        <v>32.764800000000001</v>
      </c>
      <c r="FO41">
        <v>31.149799999999999</v>
      </c>
      <c r="FP41">
        <v>30.6449</v>
      </c>
      <c r="FQ41">
        <v>29.73</v>
      </c>
      <c r="FR41">
        <v>27.6496</v>
      </c>
      <c r="FS41">
        <v>30.753799999999998</v>
      </c>
      <c r="FT41">
        <v>27.6782</v>
      </c>
      <c r="FU41">
        <v>31.193200000000001</v>
      </c>
      <c r="FV41">
        <v>30.1435</v>
      </c>
      <c r="FW41">
        <v>32.341500000000003</v>
      </c>
      <c r="FX41">
        <v>35.271500000000003</v>
      </c>
      <c r="FY41">
        <v>35.560099999999998</v>
      </c>
      <c r="FZ41">
        <v>33.079300000000003</v>
      </c>
      <c r="GA41">
        <v>31.5505</v>
      </c>
      <c r="GB41">
        <v>29.456099999999999</v>
      </c>
      <c r="GC41">
        <v>32.054699999999997</v>
      </c>
      <c r="GD41">
        <v>31.966899999999999</v>
      </c>
      <c r="GE41">
        <v>32.305100000000003</v>
      </c>
      <c r="GF41">
        <v>28.7822</v>
      </c>
      <c r="GG41">
        <v>32.405700000000003</v>
      </c>
      <c r="GH41">
        <v>28.708200000000001</v>
      </c>
      <c r="GI41">
        <v>29.301400000000001</v>
      </c>
      <c r="GJ41">
        <v>29.235600000000002</v>
      </c>
      <c r="GK41">
        <v>33.896299999999997</v>
      </c>
      <c r="GL41">
        <v>35.097299999999997</v>
      </c>
      <c r="GM41">
        <v>28.870699999999999</v>
      </c>
      <c r="GN41">
        <v>32.985500000000002</v>
      </c>
      <c r="GO41">
        <v>33.220500000000001</v>
      </c>
      <c r="GP41">
        <v>33.230600000000003</v>
      </c>
      <c r="GQ41">
        <v>33.096800000000002</v>
      </c>
      <c r="GR41">
        <v>32.811300000000003</v>
      </c>
      <c r="GS41">
        <v>33.214799999999997</v>
      </c>
      <c r="GT41">
        <v>33.160499999999999</v>
      </c>
      <c r="GU41">
        <v>33.3035</v>
      </c>
      <c r="GV41">
        <v>33.232799999999997</v>
      </c>
      <c r="GW41">
        <v>33.195900000000002</v>
      </c>
      <c r="GX41">
        <v>32.706400000000002</v>
      </c>
      <c r="GY41">
        <v>30.6325</v>
      </c>
      <c r="GZ41">
        <v>29.9101</v>
      </c>
      <c r="HA41">
        <v>30.294799999999999</v>
      </c>
      <c r="HB41">
        <v>0</v>
      </c>
      <c r="HC41">
        <v>29.619900000000001</v>
      </c>
      <c r="HD41">
        <v>30.680800000000001</v>
      </c>
      <c r="HE41">
        <v>29.619900000000001</v>
      </c>
      <c r="HF41">
        <v>29.799399999999999</v>
      </c>
      <c r="HG41">
        <v>29.852799999999998</v>
      </c>
      <c r="HH41">
        <v>30.403700000000001</v>
      </c>
      <c r="HI41">
        <v>30.240400000000001</v>
      </c>
      <c r="HJ41">
        <v>30.395099999999999</v>
      </c>
      <c r="HK41">
        <v>33.169600000000003</v>
      </c>
      <c r="HL41">
        <v>30.461200000000002</v>
      </c>
      <c r="HM41">
        <v>30.372399999999999</v>
      </c>
      <c r="HN41">
        <v>30.772600000000001</v>
      </c>
      <c r="HO41">
        <v>30.389399999999998</v>
      </c>
      <c r="HP41">
        <v>29.1736</v>
      </c>
      <c r="HQ41">
        <v>30.382100000000001</v>
      </c>
      <c r="HR41">
        <v>33.415799999999997</v>
      </c>
      <c r="HS41">
        <v>29.703499999999998</v>
      </c>
      <c r="HT41">
        <v>29.173500000000001</v>
      </c>
      <c r="HU41">
        <v>29.232500000000002</v>
      </c>
      <c r="HV41">
        <v>29.880500000000001</v>
      </c>
      <c r="HW41">
        <v>32.7102</v>
      </c>
      <c r="HX41">
        <v>32.782200000000003</v>
      </c>
      <c r="HY41">
        <v>33.359299999999998</v>
      </c>
      <c r="HZ41">
        <v>32.177700000000002</v>
      </c>
      <c r="IA41">
        <v>32.8992</v>
      </c>
      <c r="IB41">
        <v>32.177700000000002</v>
      </c>
      <c r="IC41">
        <v>32.471400000000003</v>
      </c>
      <c r="ID41">
        <v>32.4101</v>
      </c>
    </row>
    <row r="42" spans="1:238" x14ac:dyDescent="0.25">
      <c r="A42">
        <v>41</v>
      </c>
      <c r="B42">
        <v>31.021599999999999</v>
      </c>
      <c r="C42">
        <v>29.736499999999999</v>
      </c>
      <c r="D42">
        <v>29.813500000000001</v>
      </c>
      <c r="E42">
        <v>29.1355</v>
      </c>
      <c r="F42">
        <v>28.071100000000001</v>
      </c>
      <c r="G42">
        <v>28.209</v>
      </c>
      <c r="H42">
        <v>28.075099999999999</v>
      </c>
      <c r="I42">
        <v>31.207000000000001</v>
      </c>
      <c r="J42">
        <v>30.0381</v>
      </c>
      <c r="K42">
        <v>32.043199999999999</v>
      </c>
      <c r="L42">
        <v>30.927199999999999</v>
      </c>
      <c r="M42">
        <v>31.795000000000002</v>
      </c>
      <c r="N42">
        <v>30.389500000000002</v>
      </c>
      <c r="O42">
        <v>29.410799999999998</v>
      </c>
      <c r="P42">
        <v>28.846900000000002</v>
      </c>
      <c r="Q42">
        <v>28.789400000000001</v>
      </c>
      <c r="R42">
        <v>29.474499999999999</v>
      </c>
      <c r="S42">
        <v>29.523900000000001</v>
      </c>
      <c r="T42">
        <v>30.084399999999999</v>
      </c>
      <c r="U42">
        <v>29.9068</v>
      </c>
      <c r="V42">
        <v>28.674099999999999</v>
      </c>
      <c r="W42">
        <v>28.054300000000001</v>
      </c>
      <c r="X42">
        <v>28.313400000000001</v>
      </c>
      <c r="Y42">
        <v>28.896100000000001</v>
      </c>
      <c r="Z42">
        <v>28.2134</v>
      </c>
      <c r="AA42">
        <v>28.626899999999999</v>
      </c>
      <c r="AB42">
        <v>28.693100000000001</v>
      </c>
      <c r="AC42">
        <v>29.523199999999999</v>
      </c>
      <c r="AD42">
        <v>32.175800000000002</v>
      </c>
      <c r="AE42">
        <v>29.6889</v>
      </c>
      <c r="AF42">
        <v>29.825500000000002</v>
      </c>
      <c r="AG42">
        <v>29.936</v>
      </c>
      <c r="AH42">
        <v>32.283799999999999</v>
      </c>
      <c r="AI42">
        <v>30.8644</v>
      </c>
      <c r="AJ42">
        <v>30.6465</v>
      </c>
      <c r="AK42">
        <v>31.411899999999999</v>
      </c>
      <c r="AL42">
        <v>29.951499999999999</v>
      </c>
      <c r="AM42">
        <v>29.6416</v>
      </c>
      <c r="AN42">
        <v>29.9252</v>
      </c>
      <c r="AO42">
        <v>31.1145</v>
      </c>
      <c r="AP42">
        <v>32.965699999999998</v>
      </c>
      <c r="AQ42">
        <v>29.469799999999999</v>
      </c>
      <c r="AR42">
        <v>30.996200000000002</v>
      </c>
      <c r="AS42">
        <v>33.132599999999996</v>
      </c>
      <c r="AT42">
        <v>32.619100000000003</v>
      </c>
      <c r="AU42">
        <v>29.9194</v>
      </c>
      <c r="AV42">
        <v>32.494399999999999</v>
      </c>
      <c r="AW42">
        <v>32.393000000000001</v>
      </c>
      <c r="AX42">
        <v>28.432300000000001</v>
      </c>
      <c r="AY42">
        <v>31.275300000000001</v>
      </c>
      <c r="AZ42">
        <v>30.6462</v>
      </c>
      <c r="BA42">
        <v>30.882999999999999</v>
      </c>
      <c r="BB42">
        <v>32.256</v>
      </c>
      <c r="BC42">
        <v>32.028100000000002</v>
      </c>
      <c r="BD42">
        <v>31.875499999999999</v>
      </c>
      <c r="BE42">
        <v>31.153700000000001</v>
      </c>
      <c r="BF42">
        <v>29.646599999999999</v>
      </c>
      <c r="BG42">
        <v>31.5063</v>
      </c>
      <c r="BH42">
        <v>29.375</v>
      </c>
      <c r="BI42">
        <v>33.289700000000003</v>
      </c>
      <c r="BJ42">
        <v>31.885400000000001</v>
      </c>
      <c r="BK42">
        <v>31.930099999999999</v>
      </c>
      <c r="BL42">
        <v>31.488800000000001</v>
      </c>
      <c r="BM42">
        <v>31.541499999999999</v>
      </c>
      <c r="BN42">
        <v>31.497499999999999</v>
      </c>
      <c r="BO42">
        <v>31.732399999999998</v>
      </c>
      <c r="BP42">
        <v>31.815999999999999</v>
      </c>
      <c r="BQ42">
        <v>32.6663</v>
      </c>
      <c r="BR42">
        <v>32.1633</v>
      </c>
      <c r="BS42">
        <v>32.316200000000002</v>
      </c>
      <c r="BT42">
        <v>32.387599999999999</v>
      </c>
      <c r="BU42">
        <v>32.5824</v>
      </c>
      <c r="BV42">
        <v>32.608800000000002</v>
      </c>
      <c r="BW42">
        <v>31.890599999999999</v>
      </c>
      <c r="BX42">
        <v>30.050999999999998</v>
      </c>
      <c r="BY42">
        <v>29.2943</v>
      </c>
      <c r="BZ42">
        <v>29.6128</v>
      </c>
      <c r="CA42">
        <v>32.226199999999999</v>
      </c>
      <c r="CB42">
        <v>31.883500000000002</v>
      </c>
      <c r="CC42">
        <v>29.536300000000001</v>
      </c>
      <c r="CD42">
        <v>29.161300000000001</v>
      </c>
      <c r="CE42">
        <v>29.6355</v>
      </c>
      <c r="CF42">
        <v>29.962299999999999</v>
      </c>
      <c r="CG42">
        <v>29.990300000000001</v>
      </c>
      <c r="CH42">
        <v>30.091899999999999</v>
      </c>
      <c r="CI42">
        <v>30.160399999999999</v>
      </c>
      <c r="CJ42">
        <v>30.1783</v>
      </c>
      <c r="CK42">
        <v>30.134699999999999</v>
      </c>
      <c r="CL42">
        <v>30.082599999999999</v>
      </c>
      <c r="CM42">
        <v>31.241299999999999</v>
      </c>
      <c r="CN42">
        <v>29.981200000000001</v>
      </c>
      <c r="CO42">
        <v>29.909400000000002</v>
      </c>
      <c r="CP42">
        <v>29.8049</v>
      </c>
      <c r="CQ42">
        <v>29.543500000000002</v>
      </c>
      <c r="CR42">
        <v>29.2943</v>
      </c>
      <c r="CS42">
        <v>29.821100000000001</v>
      </c>
      <c r="CT42">
        <v>30.1479</v>
      </c>
      <c r="CU42">
        <v>29.411799999999999</v>
      </c>
      <c r="CV42">
        <v>0</v>
      </c>
      <c r="CW42">
        <v>30.918099999999999</v>
      </c>
      <c r="CX42">
        <v>31.324000000000002</v>
      </c>
      <c r="CY42">
        <v>30.048500000000001</v>
      </c>
      <c r="CZ42">
        <v>28.9847</v>
      </c>
      <c r="DA42">
        <v>30.603300000000001</v>
      </c>
      <c r="DB42">
        <v>30.206199999999999</v>
      </c>
      <c r="DC42">
        <v>30.207100000000001</v>
      </c>
      <c r="DD42">
        <v>31.1419</v>
      </c>
      <c r="DE42">
        <v>31.7361</v>
      </c>
      <c r="DF42">
        <v>31.808399999999999</v>
      </c>
      <c r="DG42">
        <v>29.221800000000002</v>
      </c>
      <c r="DH42">
        <v>30.104099999999999</v>
      </c>
      <c r="DI42">
        <v>32.223300000000002</v>
      </c>
      <c r="DJ42">
        <v>31.863399999999999</v>
      </c>
      <c r="DK42">
        <v>30.172799999999999</v>
      </c>
      <c r="DL42">
        <v>28.107700000000001</v>
      </c>
      <c r="DM42">
        <v>27.841799999999999</v>
      </c>
      <c r="DN42">
        <v>31.516300000000001</v>
      </c>
      <c r="DO42">
        <v>30.286300000000001</v>
      </c>
      <c r="DP42">
        <v>29.7547</v>
      </c>
      <c r="DQ42">
        <v>31.156500000000001</v>
      </c>
      <c r="DR42">
        <v>32.2393</v>
      </c>
      <c r="DS42">
        <v>30.061499999999999</v>
      </c>
      <c r="DT42">
        <v>30.191800000000001</v>
      </c>
      <c r="DU42">
        <v>29.597899999999999</v>
      </c>
      <c r="DV42">
        <v>29.682099999999998</v>
      </c>
      <c r="DW42">
        <v>29.684899999999999</v>
      </c>
      <c r="DX42">
        <v>32.003999999999998</v>
      </c>
      <c r="DY42">
        <v>31.557500000000001</v>
      </c>
      <c r="DZ42">
        <v>29.402999999999999</v>
      </c>
      <c r="EA42">
        <v>29.410699999999999</v>
      </c>
      <c r="EB42">
        <v>29.477799999999998</v>
      </c>
      <c r="EC42">
        <v>28.529</v>
      </c>
      <c r="ED42">
        <v>26.566099999999999</v>
      </c>
      <c r="EE42">
        <v>30.662099999999999</v>
      </c>
      <c r="EF42">
        <v>29.8902</v>
      </c>
      <c r="EG42">
        <v>29.861599999999999</v>
      </c>
      <c r="EH42">
        <v>30.053799999999999</v>
      </c>
      <c r="EI42">
        <v>30.160399999999999</v>
      </c>
      <c r="EJ42">
        <v>30.219899999999999</v>
      </c>
      <c r="EK42">
        <v>30.116099999999999</v>
      </c>
      <c r="EL42">
        <v>27.6234</v>
      </c>
      <c r="EM42">
        <v>27.831800000000001</v>
      </c>
      <c r="EN42">
        <v>29.083400000000001</v>
      </c>
      <c r="EO42">
        <v>28.8141</v>
      </c>
      <c r="EP42">
        <v>32.235100000000003</v>
      </c>
      <c r="EQ42">
        <v>28.866599999999998</v>
      </c>
      <c r="ER42">
        <v>29.0974</v>
      </c>
      <c r="ES42">
        <v>28.793099999999999</v>
      </c>
      <c r="ET42">
        <v>31.612400000000001</v>
      </c>
      <c r="EU42">
        <v>31.708200000000001</v>
      </c>
      <c r="EV42">
        <v>32.387700000000002</v>
      </c>
      <c r="EW42">
        <v>32.387700000000002</v>
      </c>
      <c r="EX42">
        <v>31.8752</v>
      </c>
      <c r="EY42">
        <v>29.792300000000001</v>
      </c>
      <c r="EZ42">
        <v>30.9086</v>
      </c>
      <c r="FA42">
        <v>28.227699999999999</v>
      </c>
      <c r="FB42">
        <v>29.586099999999998</v>
      </c>
      <c r="FC42">
        <v>29.166699999999999</v>
      </c>
      <c r="FD42">
        <v>29.6633</v>
      </c>
      <c r="FE42">
        <v>29.665600000000001</v>
      </c>
      <c r="FF42">
        <v>31.597799999999999</v>
      </c>
      <c r="FG42">
        <v>0</v>
      </c>
      <c r="FH42">
        <v>30.667899999999999</v>
      </c>
      <c r="FI42">
        <v>29.141400000000001</v>
      </c>
      <c r="FJ42">
        <v>30.673100000000002</v>
      </c>
      <c r="FK42">
        <v>30.930399999999999</v>
      </c>
      <c r="FL42">
        <v>29.7026</v>
      </c>
      <c r="FM42">
        <v>29.658999999999999</v>
      </c>
      <c r="FN42">
        <v>31.992699999999999</v>
      </c>
      <c r="FO42">
        <v>30.467300000000002</v>
      </c>
      <c r="FP42">
        <v>29.993099999999998</v>
      </c>
      <c r="FQ42">
        <v>29.1568</v>
      </c>
      <c r="FR42">
        <v>27.111000000000001</v>
      </c>
      <c r="FS42">
        <v>30.179300000000001</v>
      </c>
      <c r="FT42">
        <v>27.139399999999998</v>
      </c>
      <c r="FU42">
        <v>30.514199999999999</v>
      </c>
      <c r="FV42">
        <v>29.488900000000001</v>
      </c>
      <c r="FW42">
        <v>31.565200000000001</v>
      </c>
      <c r="FX42">
        <v>34.3596</v>
      </c>
      <c r="FY42">
        <v>34.685000000000002</v>
      </c>
      <c r="FZ42">
        <v>32.298499999999997</v>
      </c>
      <c r="GA42">
        <v>30.831900000000001</v>
      </c>
      <c r="GB42">
        <v>28.853400000000001</v>
      </c>
      <c r="GC42">
        <v>31.452400000000001</v>
      </c>
      <c r="GD42">
        <v>31.3674</v>
      </c>
      <c r="GE42">
        <v>31.713899999999999</v>
      </c>
      <c r="GF42">
        <v>28.2056</v>
      </c>
      <c r="GG42">
        <v>31.814399999999999</v>
      </c>
      <c r="GH42">
        <v>28.125499999999999</v>
      </c>
      <c r="GI42">
        <v>28.701699999999999</v>
      </c>
      <c r="GJ42">
        <v>28.631699999999999</v>
      </c>
      <c r="GK42">
        <v>33.0503</v>
      </c>
      <c r="GL42">
        <v>34.193199999999997</v>
      </c>
      <c r="GM42">
        <v>28.28</v>
      </c>
      <c r="GN42">
        <v>32.419499999999999</v>
      </c>
      <c r="GO42">
        <v>32.657200000000003</v>
      </c>
      <c r="GP42">
        <v>32.667099999999998</v>
      </c>
      <c r="GQ42">
        <v>32.526899999999998</v>
      </c>
      <c r="GR42">
        <v>32.235100000000003</v>
      </c>
      <c r="GS42">
        <v>32.651400000000002</v>
      </c>
      <c r="GT42">
        <v>32.578699999999998</v>
      </c>
      <c r="GU42">
        <v>32.720300000000002</v>
      </c>
      <c r="GV42">
        <v>32.6693</v>
      </c>
      <c r="GW42">
        <v>32.638399999999997</v>
      </c>
      <c r="GX42">
        <v>32.131300000000003</v>
      </c>
      <c r="GY42">
        <v>29.981200000000001</v>
      </c>
      <c r="GZ42">
        <v>29.293900000000001</v>
      </c>
      <c r="HA42">
        <v>29.665700000000001</v>
      </c>
      <c r="HB42">
        <v>0</v>
      </c>
      <c r="HC42">
        <v>29.0442</v>
      </c>
      <c r="HD42">
        <v>30.0412</v>
      </c>
      <c r="HE42">
        <v>29.0442</v>
      </c>
      <c r="HF42">
        <v>29.192900000000002</v>
      </c>
      <c r="HG42">
        <v>29.244399999999999</v>
      </c>
      <c r="HH42">
        <v>29.766200000000001</v>
      </c>
      <c r="HI42">
        <v>29.6403</v>
      </c>
      <c r="HJ42">
        <v>29.819400000000002</v>
      </c>
      <c r="HK42">
        <v>32.385599999999997</v>
      </c>
      <c r="HL42">
        <v>29.825199999999999</v>
      </c>
      <c r="HM42">
        <v>29.8096</v>
      </c>
      <c r="HN42">
        <v>30.1966</v>
      </c>
      <c r="HO42">
        <v>29.8262</v>
      </c>
      <c r="HP42">
        <v>28.6051</v>
      </c>
      <c r="HQ42">
        <v>29.7362</v>
      </c>
      <c r="HR42">
        <v>32.816800000000001</v>
      </c>
      <c r="HS42">
        <v>29.115100000000002</v>
      </c>
      <c r="HT42">
        <v>28.605</v>
      </c>
      <c r="HU42">
        <v>28.618500000000001</v>
      </c>
      <c r="HV42">
        <v>29.320499999999999</v>
      </c>
      <c r="HW42">
        <v>31.945</v>
      </c>
      <c r="HX42">
        <v>32.0139</v>
      </c>
      <c r="HY42">
        <v>32.567900000000002</v>
      </c>
      <c r="HZ42">
        <v>31.597799999999999</v>
      </c>
      <c r="IA42">
        <v>32.334699999999998</v>
      </c>
      <c r="IB42">
        <v>31.597799999999999</v>
      </c>
      <c r="IC42">
        <v>31.893699999999999</v>
      </c>
      <c r="ID42">
        <v>31.8264</v>
      </c>
    </row>
    <row r="43" spans="1:238" x14ac:dyDescent="0.25">
      <c r="A43">
        <v>42</v>
      </c>
      <c r="B43">
        <v>37.761899999999997</v>
      </c>
      <c r="C43">
        <v>36.257899999999999</v>
      </c>
      <c r="D43">
        <v>36.346600000000002</v>
      </c>
      <c r="E43">
        <v>35.572000000000003</v>
      </c>
      <c r="F43">
        <v>34.290700000000001</v>
      </c>
      <c r="G43">
        <v>34.403300000000002</v>
      </c>
      <c r="H43">
        <v>34.239199999999997</v>
      </c>
      <c r="I43">
        <v>38.0914</v>
      </c>
      <c r="J43">
        <v>36.674500000000002</v>
      </c>
      <c r="K43">
        <v>39.120899999999999</v>
      </c>
      <c r="L43">
        <v>37.792000000000002</v>
      </c>
      <c r="M43">
        <v>38.834699999999998</v>
      </c>
      <c r="N43">
        <v>37.100700000000003</v>
      </c>
      <c r="O43">
        <v>35.909399999999998</v>
      </c>
      <c r="P43">
        <v>35.151800000000001</v>
      </c>
      <c r="Q43">
        <v>35.103000000000002</v>
      </c>
      <c r="R43">
        <v>35.878700000000002</v>
      </c>
      <c r="S43">
        <v>35.925600000000003</v>
      </c>
      <c r="T43">
        <v>36.715800000000002</v>
      </c>
      <c r="U43">
        <v>36.475900000000003</v>
      </c>
      <c r="V43">
        <v>34.978099999999998</v>
      </c>
      <c r="W43">
        <v>34.2087</v>
      </c>
      <c r="X43">
        <v>34.532499999999999</v>
      </c>
      <c r="Y43">
        <v>35.253500000000003</v>
      </c>
      <c r="Z43">
        <v>34.4099</v>
      </c>
      <c r="AA43">
        <v>34.919800000000002</v>
      </c>
      <c r="AB43">
        <v>35.003</v>
      </c>
      <c r="AC43">
        <v>36.053199999999997</v>
      </c>
      <c r="AD43">
        <v>39.276600000000002</v>
      </c>
      <c r="AE43">
        <v>36.201900000000002</v>
      </c>
      <c r="AF43">
        <v>36.401600000000002</v>
      </c>
      <c r="AG43">
        <v>36.538400000000003</v>
      </c>
      <c r="AH43">
        <v>39.405999999999999</v>
      </c>
      <c r="AI43">
        <v>37.581299999999999</v>
      </c>
      <c r="AJ43">
        <v>37.3215</v>
      </c>
      <c r="AK43">
        <v>38.366799999999998</v>
      </c>
      <c r="AL43">
        <v>36.564100000000003</v>
      </c>
      <c r="AM43">
        <v>36.153599999999997</v>
      </c>
      <c r="AN43">
        <v>36.520499999999998</v>
      </c>
      <c r="AO43">
        <v>37.871600000000001</v>
      </c>
      <c r="AP43">
        <v>40.055999999999997</v>
      </c>
      <c r="AQ43">
        <v>35.965299999999999</v>
      </c>
      <c r="AR43">
        <v>37.898600000000002</v>
      </c>
      <c r="AS43">
        <v>40.252899999999997</v>
      </c>
      <c r="AT43">
        <v>39.809399999999997</v>
      </c>
      <c r="AU43">
        <v>36.424199999999999</v>
      </c>
      <c r="AV43">
        <v>39.637900000000002</v>
      </c>
      <c r="AW43">
        <v>39.519100000000002</v>
      </c>
      <c r="AX43">
        <v>34.670200000000001</v>
      </c>
      <c r="AY43">
        <v>38.110199999999999</v>
      </c>
      <c r="AZ43">
        <v>37.338900000000002</v>
      </c>
      <c r="BA43">
        <v>37.569800000000001</v>
      </c>
      <c r="BB43">
        <v>39.329900000000002</v>
      </c>
      <c r="BC43">
        <v>39.064300000000003</v>
      </c>
      <c r="BD43">
        <v>38.795000000000002</v>
      </c>
      <c r="BE43">
        <v>37.892099999999999</v>
      </c>
      <c r="BF43">
        <v>36.0931</v>
      </c>
      <c r="BG43">
        <v>38.383400000000002</v>
      </c>
      <c r="BH43">
        <v>35.778199999999998</v>
      </c>
      <c r="BI43">
        <v>40.595100000000002</v>
      </c>
      <c r="BJ43">
        <v>38.894399999999997</v>
      </c>
      <c r="BK43">
        <v>38.9514</v>
      </c>
      <c r="BL43">
        <v>38.372700000000002</v>
      </c>
      <c r="BM43">
        <v>38.434100000000001</v>
      </c>
      <c r="BN43">
        <v>38.406500000000001</v>
      </c>
      <c r="BO43">
        <v>38.707700000000003</v>
      </c>
      <c r="BP43">
        <v>38.808399999999999</v>
      </c>
      <c r="BQ43">
        <v>39.842199999999998</v>
      </c>
      <c r="BR43">
        <v>39.2196</v>
      </c>
      <c r="BS43">
        <v>39.394799999999996</v>
      </c>
      <c r="BT43">
        <v>39.482999999999997</v>
      </c>
      <c r="BU43">
        <v>39.722999999999999</v>
      </c>
      <c r="BV43">
        <v>39.762999999999998</v>
      </c>
      <c r="BW43">
        <v>38.900799999999997</v>
      </c>
      <c r="BX43">
        <v>36.623100000000001</v>
      </c>
      <c r="BY43">
        <v>35.708300000000001</v>
      </c>
      <c r="BZ43">
        <v>36.060099999999998</v>
      </c>
      <c r="CA43">
        <v>39.336100000000002</v>
      </c>
      <c r="CB43">
        <v>38.927500000000002</v>
      </c>
      <c r="CC43">
        <v>36.040999999999997</v>
      </c>
      <c r="CD43">
        <v>35.695599999999999</v>
      </c>
      <c r="CE43">
        <v>36.014299999999999</v>
      </c>
      <c r="CF43">
        <v>36.577199999999998</v>
      </c>
      <c r="CG43">
        <v>36.611499999999999</v>
      </c>
      <c r="CH43">
        <v>36.739699999999999</v>
      </c>
      <c r="CI43">
        <v>36.822200000000002</v>
      </c>
      <c r="CJ43">
        <v>36.842399999999998</v>
      </c>
      <c r="CK43">
        <v>36.790100000000002</v>
      </c>
      <c r="CL43">
        <v>36.725499999999997</v>
      </c>
      <c r="CM43">
        <v>38.137</v>
      </c>
      <c r="CN43">
        <v>36.572600000000001</v>
      </c>
      <c r="CO43">
        <v>36.498399999999997</v>
      </c>
      <c r="CP43">
        <v>36.371200000000002</v>
      </c>
      <c r="CQ43">
        <v>36.034500000000001</v>
      </c>
      <c r="CR43">
        <v>35.708300000000001</v>
      </c>
      <c r="CS43">
        <v>36.375700000000002</v>
      </c>
      <c r="CT43">
        <v>36.800899999999999</v>
      </c>
      <c r="CU43">
        <v>35.944000000000003</v>
      </c>
      <c r="CV43">
        <v>0</v>
      </c>
      <c r="CW43">
        <v>37.769799999999996</v>
      </c>
      <c r="CX43">
        <v>38.260599999999997</v>
      </c>
      <c r="CY43">
        <v>36.670999999999999</v>
      </c>
      <c r="CZ43">
        <v>35.356699999999996</v>
      </c>
      <c r="DA43">
        <v>37.265000000000001</v>
      </c>
      <c r="DB43">
        <v>36.865600000000001</v>
      </c>
      <c r="DC43">
        <v>36.862499999999997</v>
      </c>
      <c r="DD43">
        <v>37.995100000000001</v>
      </c>
      <c r="DE43">
        <v>38.713200000000001</v>
      </c>
      <c r="DF43">
        <v>38.801000000000002</v>
      </c>
      <c r="DG43">
        <v>35.650700000000001</v>
      </c>
      <c r="DH43">
        <v>36.719299999999997</v>
      </c>
      <c r="DI43">
        <v>39.281799999999997</v>
      </c>
      <c r="DJ43">
        <v>38.904400000000003</v>
      </c>
      <c r="DK43">
        <v>36.8033</v>
      </c>
      <c r="DL43">
        <v>34.2652</v>
      </c>
      <c r="DM43">
        <v>33.926600000000001</v>
      </c>
      <c r="DN43">
        <v>38.4602</v>
      </c>
      <c r="DO43">
        <v>36.882300000000001</v>
      </c>
      <c r="DP43">
        <v>36.352200000000003</v>
      </c>
      <c r="DQ43">
        <v>37.8977</v>
      </c>
      <c r="DR43">
        <v>39.325600000000001</v>
      </c>
      <c r="DS43">
        <v>36.682200000000002</v>
      </c>
      <c r="DT43">
        <v>36.8414</v>
      </c>
      <c r="DU43">
        <v>36.087000000000003</v>
      </c>
      <c r="DV43">
        <v>36.143599999999999</v>
      </c>
      <c r="DW43">
        <v>36.236800000000002</v>
      </c>
      <c r="DX43">
        <v>39.075699999999998</v>
      </c>
      <c r="DY43">
        <v>38.497999999999998</v>
      </c>
      <c r="DZ43">
        <v>35.812800000000003</v>
      </c>
      <c r="EA43">
        <v>35.822099999999999</v>
      </c>
      <c r="EB43">
        <v>35.918100000000003</v>
      </c>
      <c r="EC43">
        <v>34.798400000000001</v>
      </c>
      <c r="ED43">
        <v>32.400799999999997</v>
      </c>
      <c r="EE43">
        <v>37.431199999999997</v>
      </c>
      <c r="EF43">
        <v>36.478700000000003</v>
      </c>
      <c r="EG43">
        <v>36.453499999999998</v>
      </c>
      <c r="EH43">
        <v>36.686</v>
      </c>
      <c r="EI43">
        <v>36.801600000000001</v>
      </c>
      <c r="EJ43">
        <v>36.872999999999998</v>
      </c>
      <c r="EK43">
        <v>36.656700000000001</v>
      </c>
      <c r="EL43">
        <v>33.680999999999997</v>
      </c>
      <c r="EM43">
        <v>33.939900000000002</v>
      </c>
      <c r="EN43">
        <v>35.485700000000001</v>
      </c>
      <c r="EO43">
        <v>35.156999999999996</v>
      </c>
      <c r="EP43">
        <v>39.320099999999996</v>
      </c>
      <c r="EQ43">
        <v>35.244199999999999</v>
      </c>
      <c r="ER43">
        <v>35.498899999999999</v>
      </c>
      <c r="ES43">
        <v>35.1205</v>
      </c>
      <c r="ET43">
        <v>38.561999999999998</v>
      </c>
      <c r="EU43">
        <v>38.6785</v>
      </c>
      <c r="EV43">
        <v>39.504300000000001</v>
      </c>
      <c r="EW43">
        <v>39.504300000000001</v>
      </c>
      <c r="EX43">
        <v>38.893900000000002</v>
      </c>
      <c r="EY43">
        <v>36.353099999999998</v>
      </c>
      <c r="EZ43">
        <v>37.691800000000001</v>
      </c>
      <c r="FA43">
        <v>34.4161</v>
      </c>
      <c r="FB43">
        <v>36.0184</v>
      </c>
      <c r="FC43">
        <v>35.5246</v>
      </c>
      <c r="FD43">
        <v>36.199599999999997</v>
      </c>
      <c r="FE43">
        <v>36.233899999999998</v>
      </c>
      <c r="FF43">
        <v>38.548200000000001</v>
      </c>
      <c r="FG43">
        <v>0</v>
      </c>
      <c r="FH43">
        <v>37.432099999999998</v>
      </c>
      <c r="FI43">
        <v>35.579700000000003</v>
      </c>
      <c r="FJ43">
        <v>37.372700000000002</v>
      </c>
      <c r="FK43">
        <v>37.689799999999998</v>
      </c>
      <c r="FL43">
        <v>36.278100000000002</v>
      </c>
      <c r="FM43">
        <v>36.228999999999999</v>
      </c>
      <c r="FN43">
        <v>39.060499999999998</v>
      </c>
      <c r="FO43">
        <v>37.156700000000001</v>
      </c>
      <c r="FP43">
        <v>36.587000000000003</v>
      </c>
      <c r="FQ43">
        <v>35.499200000000002</v>
      </c>
      <c r="FR43">
        <v>33.006500000000003</v>
      </c>
      <c r="FS43">
        <v>36.832900000000002</v>
      </c>
      <c r="FT43">
        <v>33.0411</v>
      </c>
      <c r="FU43">
        <v>37.052700000000002</v>
      </c>
      <c r="FV43">
        <v>36.007800000000003</v>
      </c>
      <c r="FW43">
        <v>38.407400000000003</v>
      </c>
      <c r="FX43">
        <v>41.677</v>
      </c>
      <c r="FY43">
        <v>42.267800000000001</v>
      </c>
      <c r="FZ43">
        <v>39.424399999999999</v>
      </c>
      <c r="GA43">
        <v>37.638599999999997</v>
      </c>
      <c r="GB43">
        <v>35.184100000000001</v>
      </c>
      <c r="GC43">
        <v>38.3232</v>
      </c>
      <c r="GD43">
        <v>38.221499999999999</v>
      </c>
      <c r="GE43">
        <v>38.666600000000003</v>
      </c>
      <c r="GF43">
        <v>34.320500000000003</v>
      </c>
      <c r="GG43">
        <v>38.798499999999997</v>
      </c>
      <c r="GH43">
        <v>34.298499999999997</v>
      </c>
      <c r="GI43">
        <v>35.005400000000002</v>
      </c>
      <c r="GJ43">
        <v>34.925600000000003</v>
      </c>
      <c r="GK43">
        <v>40.151000000000003</v>
      </c>
      <c r="GL43">
        <v>41.482399999999998</v>
      </c>
      <c r="GM43">
        <v>34.492100000000001</v>
      </c>
      <c r="GN43">
        <v>39.566699999999997</v>
      </c>
      <c r="GO43">
        <v>39.8371</v>
      </c>
      <c r="GP43">
        <v>39.849400000000003</v>
      </c>
      <c r="GQ43">
        <v>39.6768</v>
      </c>
      <c r="GR43">
        <v>39.320099999999996</v>
      </c>
      <c r="GS43">
        <v>39.83</v>
      </c>
      <c r="GT43">
        <v>39.734499999999997</v>
      </c>
      <c r="GU43">
        <v>39.907899999999998</v>
      </c>
      <c r="GV43">
        <v>39.852200000000003</v>
      </c>
      <c r="GW43">
        <v>39.815399999999997</v>
      </c>
      <c r="GX43">
        <v>39.1965</v>
      </c>
      <c r="GY43">
        <v>36.572600000000001</v>
      </c>
      <c r="GZ43">
        <v>35.707799999999999</v>
      </c>
      <c r="HA43">
        <v>36.234099999999998</v>
      </c>
      <c r="HB43">
        <v>0</v>
      </c>
      <c r="HC43">
        <v>35.383200000000002</v>
      </c>
      <c r="HD43">
        <v>36.678100000000001</v>
      </c>
      <c r="HE43">
        <v>35.383200000000002</v>
      </c>
      <c r="HF43">
        <v>35.619599999999998</v>
      </c>
      <c r="HG43">
        <v>35.682699999999997</v>
      </c>
      <c r="HH43">
        <v>36.314799999999998</v>
      </c>
      <c r="HI43">
        <v>36.077100000000002</v>
      </c>
      <c r="HJ43">
        <v>36.372</v>
      </c>
      <c r="HK43">
        <v>39.530099999999997</v>
      </c>
      <c r="HL43">
        <v>36.401200000000003</v>
      </c>
      <c r="HM43">
        <v>36.384599999999999</v>
      </c>
      <c r="HN43">
        <v>36.8551</v>
      </c>
      <c r="HO43">
        <v>36.407499999999999</v>
      </c>
      <c r="HP43">
        <v>34.848599999999998</v>
      </c>
      <c r="HQ43">
        <v>36.296100000000003</v>
      </c>
      <c r="HR43">
        <v>40.017099999999999</v>
      </c>
      <c r="HS43">
        <v>35.458500000000001</v>
      </c>
      <c r="HT43">
        <v>34.848399999999998</v>
      </c>
      <c r="HU43">
        <v>34.909300000000002</v>
      </c>
      <c r="HV43">
        <v>35.728200000000001</v>
      </c>
      <c r="HW43">
        <v>39.0015</v>
      </c>
      <c r="HX43">
        <v>39.083399999999997</v>
      </c>
      <c r="HY43">
        <v>39.747900000000001</v>
      </c>
      <c r="HZ43">
        <v>38.548200000000001</v>
      </c>
      <c r="IA43">
        <v>39.4651</v>
      </c>
      <c r="IB43">
        <v>38.548200000000001</v>
      </c>
      <c r="IC43">
        <v>38.9084</v>
      </c>
      <c r="ID43">
        <v>38.825200000000002</v>
      </c>
    </row>
    <row r="44" spans="1:238" x14ac:dyDescent="0.25">
      <c r="A44">
        <v>43</v>
      </c>
      <c r="B44">
        <v>30.715299999999999</v>
      </c>
      <c r="C44">
        <v>29.7011</v>
      </c>
      <c r="D44">
        <v>29.772300000000001</v>
      </c>
      <c r="E44">
        <v>29.097899999999999</v>
      </c>
      <c r="F44">
        <v>28.049499999999998</v>
      </c>
      <c r="G44">
        <v>28.119700000000002</v>
      </c>
      <c r="H44">
        <v>27.995699999999999</v>
      </c>
      <c r="I44">
        <v>31.133900000000001</v>
      </c>
      <c r="J44">
        <v>29.990200000000002</v>
      </c>
      <c r="K44">
        <v>32.019199999999998</v>
      </c>
      <c r="L44">
        <v>30.9453</v>
      </c>
      <c r="M44">
        <v>31.8355</v>
      </c>
      <c r="N44">
        <v>30.326899999999998</v>
      </c>
      <c r="O44">
        <v>29.353200000000001</v>
      </c>
      <c r="P44">
        <v>28.771899999999999</v>
      </c>
      <c r="Q44">
        <v>28.7041</v>
      </c>
      <c r="R44">
        <v>29.418600000000001</v>
      </c>
      <c r="S44">
        <v>29.4772</v>
      </c>
      <c r="T44">
        <v>30.0336</v>
      </c>
      <c r="U44">
        <v>29.834499999999998</v>
      </c>
      <c r="V44">
        <v>28.6081</v>
      </c>
      <c r="W44">
        <v>27.982500000000002</v>
      </c>
      <c r="X44">
        <v>28.245999999999999</v>
      </c>
      <c r="Y44">
        <v>28.8399</v>
      </c>
      <c r="Z44">
        <v>28.119299999999999</v>
      </c>
      <c r="AA44">
        <v>28.535699999999999</v>
      </c>
      <c r="AB44">
        <v>28.601700000000001</v>
      </c>
      <c r="AC44">
        <v>29.4602</v>
      </c>
      <c r="AD44">
        <v>32.125300000000003</v>
      </c>
      <c r="AE44">
        <v>29.657599999999999</v>
      </c>
      <c r="AF44">
        <v>29.793199999999999</v>
      </c>
      <c r="AG44">
        <v>29.903500000000001</v>
      </c>
      <c r="AH44">
        <v>32.222000000000001</v>
      </c>
      <c r="AI44">
        <v>30.567399999999999</v>
      </c>
      <c r="AJ44">
        <v>30.3767</v>
      </c>
      <c r="AK44">
        <v>31.4041</v>
      </c>
      <c r="AL44">
        <v>29.9024</v>
      </c>
      <c r="AM44">
        <v>29.512699999999999</v>
      </c>
      <c r="AN44">
        <v>29.877099999999999</v>
      </c>
      <c r="AO44">
        <v>30.799199999999999</v>
      </c>
      <c r="AP44">
        <v>32.466500000000003</v>
      </c>
      <c r="AQ44">
        <v>29.399899999999999</v>
      </c>
      <c r="AR44">
        <v>31.042200000000001</v>
      </c>
      <c r="AS44">
        <v>32.616700000000002</v>
      </c>
      <c r="AT44">
        <v>32.543700000000001</v>
      </c>
      <c r="AU44">
        <v>29.698899999999998</v>
      </c>
      <c r="AV44">
        <v>32.361600000000003</v>
      </c>
      <c r="AW44">
        <v>32.271999999999998</v>
      </c>
      <c r="AX44">
        <v>28.362100000000002</v>
      </c>
      <c r="AY44">
        <v>31.034099999999999</v>
      </c>
      <c r="AZ44">
        <v>30.4026</v>
      </c>
      <c r="BA44">
        <v>30.617000000000001</v>
      </c>
      <c r="BB44">
        <v>32.053699999999999</v>
      </c>
      <c r="BC44">
        <v>31.879899999999999</v>
      </c>
      <c r="BD44">
        <v>31.5944</v>
      </c>
      <c r="BE44">
        <v>30.879899999999999</v>
      </c>
      <c r="BF44">
        <v>29.607600000000001</v>
      </c>
      <c r="BG44">
        <v>31.247800000000002</v>
      </c>
      <c r="BH44">
        <v>29.190799999999999</v>
      </c>
      <c r="BI44">
        <v>33.110399999999998</v>
      </c>
      <c r="BJ44">
        <v>31.750900000000001</v>
      </c>
      <c r="BK44">
        <v>31.7989</v>
      </c>
      <c r="BL44">
        <v>31.257899999999999</v>
      </c>
      <c r="BM44">
        <v>31.303599999999999</v>
      </c>
      <c r="BN44">
        <v>31.317799999999998</v>
      </c>
      <c r="BO44">
        <v>31.597899999999999</v>
      </c>
      <c r="BP44">
        <v>31.676200000000001</v>
      </c>
      <c r="BQ44">
        <v>32.5227</v>
      </c>
      <c r="BR44">
        <v>31.999700000000001</v>
      </c>
      <c r="BS44">
        <v>32.128999999999998</v>
      </c>
      <c r="BT44">
        <v>32.173699999999997</v>
      </c>
      <c r="BU44">
        <v>32.387500000000003</v>
      </c>
      <c r="BV44">
        <v>32.4268</v>
      </c>
      <c r="BW44">
        <v>31.756</v>
      </c>
      <c r="BX44">
        <v>29.896899999999999</v>
      </c>
      <c r="BY44">
        <v>29.2943</v>
      </c>
      <c r="BZ44">
        <v>29.579000000000001</v>
      </c>
      <c r="CA44">
        <v>32.169899999999998</v>
      </c>
      <c r="CB44">
        <v>31.8489</v>
      </c>
      <c r="CC44">
        <v>29.439</v>
      </c>
      <c r="CD44">
        <v>29.1342</v>
      </c>
      <c r="CE44">
        <v>29.5974</v>
      </c>
      <c r="CF44">
        <v>29.9129</v>
      </c>
      <c r="CG44">
        <v>29.9407</v>
      </c>
      <c r="CH44">
        <v>30.0425</v>
      </c>
      <c r="CI44">
        <v>30.108899999999998</v>
      </c>
      <c r="CJ44">
        <v>30.1249</v>
      </c>
      <c r="CK44">
        <v>30.0822</v>
      </c>
      <c r="CL44">
        <v>30.0318</v>
      </c>
      <c r="CM44">
        <v>31.165500000000002</v>
      </c>
      <c r="CN44">
        <v>29.9375</v>
      </c>
      <c r="CO44">
        <v>29.863499999999998</v>
      </c>
      <c r="CP44">
        <v>29.771899999999999</v>
      </c>
      <c r="CQ44">
        <v>29.523599999999998</v>
      </c>
      <c r="CR44">
        <v>29.2943</v>
      </c>
      <c r="CS44">
        <v>29.7212</v>
      </c>
      <c r="CT44">
        <v>30.075700000000001</v>
      </c>
      <c r="CU44">
        <v>29.353300000000001</v>
      </c>
      <c r="CV44">
        <v>0</v>
      </c>
      <c r="CW44">
        <v>30.921800000000001</v>
      </c>
      <c r="CX44">
        <v>31.317799999999998</v>
      </c>
      <c r="CY44">
        <v>29.994800000000001</v>
      </c>
      <c r="CZ44">
        <v>28.9282</v>
      </c>
      <c r="DA44">
        <v>30.319800000000001</v>
      </c>
      <c r="DB44">
        <v>30.151599999999998</v>
      </c>
      <c r="DC44">
        <v>30.150099999999998</v>
      </c>
      <c r="DD44">
        <v>31.0425</v>
      </c>
      <c r="DE44">
        <v>31.6067</v>
      </c>
      <c r="DF44">
        <v>31.6767</v>
      </c>
      <c r="DG44">
        <v>29.1646</v>
      </c>
      <c r="DH44">
        <v>30.0505</v>
      </c>
      <c r="DI44">
        <v>32.011699999999998</v>
      </c>
      <c r="DJ44">
        <v>31.830400000000001</v>
      </c>
      <c r="DK44">
        <v>30.114699999999999</v>
      </c>
      <c r="DL44">
        <v>28.0212</v>
      </c>
      <c r="DM44">
        <v>27.745899999999999</v>
      </c>
      <c r="DN44">
        <v>31.400500000000001</v>
      </c>
      <c r="DO44">
        <v>30.027999999999999</v>
      </c>
      <c r="DP44">
        <v>29.732800000000001</v>
      </c>
      <c r="DQ44">
        <v>30.894100000000002</v>
      </c>
      <c r="DR44">
        <v>32.103299999999997</v>
      </c>
      <c r="DS44">
        <v>30.007999999999999</v>
      </c>
      <c r="DT44">
        <v>30.1328</v>
      </c>
      <c r="DU44">
        <v>29.578900000000001</v>
      </c>
      <c r="DV44">
        <v>29.4787</v>
      </c>
      <c r="DW44">
        <v>29.6281</v>
      </c>
      <c r="DX44">
        <v>31.990300000000001</v>
      </c>
      <c r="DY44">
        <v>31.438099999999999</v>
      </c>
      <c r="DZ44">
        <v>29.219100000000001</v>
      </c>
      <c r="EA44">
        <v>29.226700000000001</v>
      </c>
      <c r="EB44">
        <v>29.464600000000001</v>
      </c>
      <c r="EC44">
        <v>28.470099999999999</v>
      </c>
      <c r="ED44">
        <v>26.477499999999999</v>
      </c>
      <c r="EE44">
        <v>30.589600000000001</v>
      </c>
      <c r="EF44">
        <v>29.8584</v>
      </c>
      <c r="EG44">
        <v>29.790500000000002</v>
      </c>
      <c r="EH44">
        <v>30.001300000000001</v>
      </c>
      <c r="EI44">
        <v>30.1008</v>
      </c>
      <c r="EJ44">
        <v>30.1553</v>
      </c>
      <c r="EK44">
        <v>29.878</v>
      </c>
      <c r="EL44">
        <v>27.523</v>
      </c>
      <c r="EM44">
        <v>27.738299999999999</v>
      </c>
      <c r="EN44">
        <v>29.0383</v>
      </c>
      <c r="EO44">
        <v>28.769300000000001</v>
      </c>
      <c r="EP44">
        <v>32.0991</v>
      </c>
      <c r="EQ44">
        <v>28.829699999999999</v>
      </c>
      <c r="ER44">
        <v>29.045300000000001</v>
      </c>
      <c r="ES44">
        <v>28.733599999999999</v>
      </c>
      <c r="ET44">
        <v>31.4846</v>
      </c>
      <c r="EU44">
        <v>31.575299999999999</v>
      </c>
      <c r="EV44">
        <v>32.2012</v>
      </c>
      <c r="EW44">
        <v>32.2012</v>
      </c>
      <c r="EX44">
        <v>31.737200000000001</v>
      </c>
      <c r="EY44">
        <v>29.760200000000001</v>
      </c>
      <c r="EZ44">
        <v>30.8218</v>
      </c>
      <c r="FA44">
        <v>28.167400000000001</v>
      </c>
      <c r="FB44">
        <v>29.423100000000002</v>
      </c>
      <c r="FC44">
        <v>29.049900000000001</v>
      </c>
      <c r="FD44">
        <v>29.6328</v>
      </c>
      <c r="FE44">
        <v>29.638000000000002</v>
      </c>
      <c r="FF44">
        <v>31.479500000000002</v>
      </c>
      <c r="FG44">
        <v>0</v>
      </c>
      <c r="FH44">
        <v>30.611999999999998</v>
      </c>
      <c r="FI44">
        <v>29.104099999999999</v>
      </c>
      <c r="FJ44">
        <v>30.4315</v>
      </c>
      <c r="FK44">
        <v>30.694900000000001</v>
      </c>
      <c r="FL44">
        <v>29.673100000000002</v>
      </c>
      <c r="FM44">
        <v>29.634499999999999</v>
      </c>
      <c r="FN44">
        <v>31.958500000000001</v>
      </c>
      <c r="FO44">
        <v>30.4</v>
      </c>
      <c r="FP44">
        <v>29.948899999999998</v>
      </c>
      <c r="FQ44">
        <v>28.8797</v>
      </c>
      <c r="FR44">
        <v>26.834199999999999</v>
      </c>
      <c r="FS44">
        <v>30.127400000000002</v>
      </c>
      <c r="FT44">
        <v>26.863199999999999</v>
      </c>
      <c r="FU44">
        <v>29.933700000000002</v>
      </c>
      <c r="FV44">
        <v>29.428000000000001</v>
      </c>
      <c r="FW44">
        <v>31.191600000000001</v>
      </c>
      <c r="FX44">
        <v>33.6571</v>
      </c>
      <c r="FY44">
        <v>34.301200000000001</v>
      </c>
      <c r="FZ44">
        <v>32.237000000000002</v>
      </c>
      <c r="GA44">
        <v>30.758800000000001</v>
      </c>
      <c r="GB44">
        <v>28.772200000000002</v>
      </c>
      <c r="GC44">
        <v>31.207899999999999</v>
      </c>
      <c r="GD44">
        <v>31.128599999999999</v>
      </c>
      <c r="GE44">
        <v>31.530999999999999</v>
      </c>
      <c r="GF44">
        <v>27.851600000000001</v>
      </c>
      <c r="GG44">
        <v>31.651900000000001</v>
      </c>
      <c r="GH44">
        <v>28.043700000000001</v>
      </c>
      <c r="GI44">
        <v>28.608899999999998</v>
      </c>
      <c r="GJ44">
        <v>28.540500000000002</v>
      </c>
      <c r="GK44">
        <v>32.507599999999996</v>
      </c>
      <c r="GL44">
        <v>33.5105</v>
      </c>
      <c r="GM44">
        <v>28.187999999999999</v>
      </c>
      <c r="GN44">
        <v>32.308700000000002</v>
      </c>
      <c r="GO44">
        <v>32.522300000000001</v>
      </c>
      <c r="GP44">
        <v>32.531999999999996</v>
      </c>
      <c r="GQ44">
        <v>32.393799999999999</v>
      </c>
      <c r="GR44">
        <v>32.0991</v>
      </c>
      <c r="GS44">
        <v>32.516500000000001</v>
      </c>
      <c r="GT44">
        <v>32.4345</v>
      </c>
      <c r="GU44">
        <v>32.575499999999998</v>
      </c>
      <c r="GV44">
        <v>32.534300000000002</v>
      </c>
      <c r="GW44">
        <v>32.506700000000002</v>
      </c>
      <c r="GX44">
        <v>31.998999999999999</v>
      </c>
      <c r="GY44">
        <v>29.9375</v>
      </c>
      <c r="GZ44">
        <v>29.293900000000001</v>
      </c>
      <c r="HA44">
        <v>29.638200000000001</v>
      </c>
      <c r="HB44">
        <v>0</v>
      </c>
      <c r="HC44">
        <v>28.9924</v>
      </c>
      <c r="HD44">
        <v>29.993099999999998</v>
      </c>
      <c r="HE44">
        <v>28.9924</v>
      </c>
      <c r="HF44">
        <v>29.148700000000002</v>
      </c>
      <c r="HG44">
        <v>29.201499999999999</v>
      </c>
      <c r="HH44">
        <v>29.734400000000001</v>
      </c>
      <c r="HI44">
        <v>29.595099999999999</v>
      </c>
      <c r="HJ44">
        <v>29.764500000000002</v>
      </c>
      <c r="HK44">
        <v>32.325200000000002</v>
      </c>
      <c r="HL44">
        <v>29.7928</v>
      </c>
      <c r="HM44">
        <v>29.766999999999999</v>
      </c>
      <c r="HN44">
        <v>30.143599999999999</v>
      </c>
      <c r="HO44">
        <v>29.787400000000002</v>
      </c>
      <c r="HP44">
        <v>28.5562</v>
      </c>
      <c r="HQ44">
        <v>29.6846</v>
      </c>
      <c r="HR44">
        <v>32.635599999999997</v>
      </c>
      <c r="HS44">
        <v>29.051300000000001</v>
      </c>
      <c r="HT44">
        <v>28.556100000000001</v>
      </c>
      <c r="HU44">
        <v>28.523499999999999</v>
      </c>
      <c r="HV44">
        <v>29.097300000000001</v>
      </c>
      <c r="HW44">
        <v>31.907399999999999</v>
      </c>
      <c r="HX44">
        <v>31.972000000000001</v>
      </c>
      <c r="HY44">
        <v>32.494700000000002</v>
      </c>
      <c r="HZ44">
        <v>31.479500000000002</v>
      </c>
      <c r="IA44">
        <v>32.2271</v>
      </c>
      <c r="IB44">
        <v>31.479500000000002</v>
      </c>
      <c r="IC44">
        <v>31.764800000000001</v>
      </c>
      <c r="ID44">
        <v>31.6951</v>
      </c>
    </row>
    <row r="45" spans="1:238" x14ac:dyDescent="0.25">
      <c r="A45">
        <v>44</v>
      </c>
      <c r="B45">
        <v>30.493300000000001</v>
      </c>
      <c r="C45">
        <v>29.6828</v>
      </c>
      <c r="D45">
        <v>29.751000000000001</v>
      </c>
      <c r="E45">
        <v>29.0867</v>
      </c>
      <c r="F45">
        <v>28.0473</v>
      </c>
      <c r="G45">
        <v>28.075299999999999</v>
      </c>
      <c r="H45">
        <v>27.9604</v>
      </c>
      <c r="I45">
        <v>30.966999999999999</v>
      </c>
      <c r="J45">
        <v>29.959800000000001</v>
      </c>
      <c r="K45">
        <v>31.8599</v>
      </c>
      <c r="L45">
        <v>30.848700000000001</v>
      </c>
      <c r="M45">
        <v>31.697399999999998</v>
      </c>
      <c r="N45">
        <v>30.286000000000001</v>
      </c>
      <c r="O45">
        <v>29.2989</v>
      </c>
      <c r="P45">
        <v>28.879100000000001</v>
      </c>
      <c r="Q45">
        <v>28.7104</v>
      </c>
      <c r="R45">
        <v>29.7136</v>
      </c>
      <c r="S45">
        <v>29.819299999999998</v>
      </c>
      <c r="T45">
        <v>30.069700000000001</v>
      </c>
      <c r="U45">
        <v>29.8139</v>
      </c>
      <c r="V45">
        <v>28.598299999999998</v>
      </c>
      <c r="W45">
        <v>28.0181</v>
      </c>
      <c r="X45">
        <v>28.261800000000001</v>
      </c>
      <c r="Y45">
        <v>28.833400000000001</v>
      </c>
      <c r="Z45">
        <v>28.064499999999999</v>
      </c>
      <c r="AA45">
        <v>28.468800000000002</v>
      </c>
      <c r="AB45">
        <v>28.532599999999999</v>
      </c>
      <c r="AC45">
        <v>29.394600000000001</v>
      </c>
      <c r="AD45">
        <v>31.969799999999999</v>
      </c>
      <c r="AE45">
        <v>29.6417</v>
      </c>
      <c r="AF45">
        <v>29.773499999999999</v>
      </c>
      <c r="AG45">
        <v>29.883800000000001</v>
      </c>
      <c r="AH45">
        <v>32.058399999999999</v>
      </c>
      <c r="AI45">
        <v>30.3385</v>
      </c>
      <c r="AJ45">
        <v>30.176200000000001</v>
      </c>
      <c r="AK45">
        <v>31.284199999999998</v>
      </c>
      <c r="AL45">
        <v>29.871500000000001</v>
      </c>
      <c r="AM45">
        <v>29.408200000000001</v>
      </c>
      <c r="AN45">
        <v>29.846599999999999</v>
      </c>
      <c r="AO45">
        <v>30.5716</v>
      </c>
      <c r="AP45">
        <v>32.124899999999997</v>
      </c>
      <c r="AQ45">
        <v>29.2789</v>
      </c>
      <c r="AR45">
        <v>30.9435</v>
      </c>
      <c r="AS45">
        <v>32.264800000000001</v>
      </c>
      <c r="AT45">
        <v>32.369700000000002</v>
      </c>
      <c r="AU45">
        <v>29.713100000000001</v>
      </c>
      <c r="AV45">
        <v>32.337299999999999</v>
      </c>
      <c r="AW45">
        <v>32.252499999999998</v>
      </c>
      <c r="AX45">
        <v>28.392600000000002</v>
      </c>
      <c r="AY45">
        <v>30.969200000000001</v>
      </c>
      <c r="AZ45">
        <v>30.331</v>
      </c>
      <c r="BA45">
        <v>30.683</v>
      </c>
      <c r="BB45">
        <v>32.014699999999998</v>
      </c>
      <c r="BC45">
        <v>31.847200000000001</v>
      </c>
      <c r="BD45">
        <v>31.566600000000001</v>
      </c>
      <c r="BE45">
        <v>30.915900000000001</v>
      </c>
      <c r="BF45">
        <v>29.834399999999999</v>
      </c>
      <c r="BG45">
        <v>31.168700000000001</v>
      </c>
      <c r="BH45">
        <v>29.206199999999999</v>
      </c>
      <c r="BI45">
        <v>33.0426</v>
      </c>
      <c r="BJ45">
        <v>31.727900000000002</v>
      </c>
      <c r="BK45">
        <v>31.7761</v>
      </c>
      <c r="BL45">
        <v>31.192499999999999</v>
      </c>
      <c r="BM45">
        <v>31.2349</v>
      </c>
      <c r="BN45">
        <v>31.2775</v>
      </c>
      <c r="BO45">
        <v>31.575500000000002</v>
      </c>
      <c r="BP45">
        <v>31.649899999999999</v>
      </c>
      <c r="BQ45">
        <v>32.485300000000002</v>
      </c>
      <c r="BR45">
        <v>31.9634</v>
      </c>
      <c r="BS45">
        <v>32.082799999999999</v>
      </c>
      <c r="BT45">
        <v>32.1297</v>
      </c>
      <c r="BU45">
        <v>32.346699999999998</v>
      </c>
      <c r="BV45">
        <v>32.373800000000003</v>
      </c>
      <c r="BW45">
        <v>31.733000000000001</v>
      </c>
      <c r="BX45">
        <v>29.9071</v>
      </c>
      <c r="BY45">
        <v>29.2943</v>
      </c>
      <c r="BZ45">
        <v>29.748100000000001</v>
      </c>
      <c r="CA45">
        <v>32.012</v>
      </c>
      <c r="CB45">
        <v>31.706600000000002</v>
      </c>
      <c r="CC45">
        <v>29.3447</v>
      </c>
      <c r="CD45">
        <v>29.1203</v>
      </c>
      <c r="CE45">
        <v>29.9754</v>
      </c>
      <c r="CF45">
        <v>29.881900000000002</v>
      </c>
      <c r="CG45">
        <v>29.911799999999999</v>
      </c>
      <c r="CH45">
        <v>30.009899999999998</v>
      </c>
      <c r="CI45">
        <v>30.074100000000001</v>
      </c>
      <c r="CJ45">
        <v>30.090499999999999</v>
      </c>
      <c r="CK45">
        <v>30.0486</v>
      </c>
      <c r="CL45">
        <v>29.999500000000001</v>
      </c>
      <c r="CM45">
        <v>31.0076</v>
      </c>
      <c r="CN45">
        <v>29.9129</v>
      </c>
      <c r="CO45">
        <v>29.834700000000002</v>
      </c>
      <c r="CP45">
        <v>29.7486</v>
      </c>
      <c r="CQ45">
        <v>29.515000000000001</v>
      </c>
      <c r="CR45">
        <v>29.2943</v>
      </c>
      <c r="CS45">
        <v>29.596</v>
      </c>
      <c r="CT45">
        <v>29.949200000000001</v>
      </c>
      <c r="CU45">
        <v>29.290600000000001</v>
      </c>
      <c r="CV45">
        <v>0</v>
      </c>
      <c r="CW45">
        <v>30.827200000000001</v>
      </c>
      <c r="CX45">
        <v>31.2026</v>
      </c>
      <c r="CY45">
        <v>29.963799999999999</v>
      </c>
      <c r="CZ45">
        <v>28.9207</v>
      </c>
      <c r="DA45">
        <v>30.107900000000001</v>
      </c>
      <c r="DB45">
        <v>30.162700000000001</v>
      </c>
      <c r="DC45">
        <v>30.159400000000002</v>
      </c>
      <c r="DD45">
        <v>31.034400000000002</v>
      </c>
      <c r="DE45">
        <v>31.586300000000001</v>
      </c>
      <c r="DF45">
        <v>31.655000000000001</v>
      </c>
      <c r="DG45">
        <v>29.146599999999999</v>
      </c>
      <c r="DH45">
        <v>30.022099999999998</v>
      </c>
      <c r="DI45">
        <v>31.965599999999998</v>
      </c>
      <c r="DJ45">
        <v>31.6892</v>
      </c>
      <c r="DK45">
        <v>30.085100000000001</v>
      </c>
      <c r="DL45">
        <v>27.984000000000002</v>
      </c>
      <c r="DM45">
        <v>27.8</v>
      </c>
      <c r="DN45">
        <v>31.3553</v>
      </c>
      <c r="DO45">
        <v>29.848800000000001</v>
      </c>
      <c r="DP45">
        <v>29.721299999999999</v>
      </c>
      <c r="DQ45">
        <v>30.921399999999998</v>
      </c>
      <c r="DR45">
        <v>32.076300000000003</v>
      </c>
      <c r="DS45">
        <v>29.974499999999999</v>
      </c>
      <c r="DT45">
        <v>30.095300000000002</v>
      </c>
      <c r="DU45">
        <v>29.569900000000001</v>
      </c>
      <c r="DV45">
        <v>29.492699999999999</v>
      </c>
      <c r="DW45">
        <v>29.5823</v>
      </c>
      <c r="DX45">
        <v>31.834299999999999</v>
      </c>
      <c r="DY45">
        <v>31.4221</v>
      </c>
      <c r="DZ45">
        <v>29.234100000000002</v>
      </c>
      <c r="EA45">
        <v>29.241700000000002</v>
      </c>
      <c r="EB45">
        <v>29.5215</v>
      </c>
      <c r="EC45">
        <v>28.486000000000001</v>
      </c>
      <c r="ED45">
        <v>26.425799999999999</v>
      </c>
      <c r="EE45">
        <v>30.447900000000001</v>
      </c>
      <c r="EF45">
        <v>29.836500000000001</v>
      </c>
      <c r="EG45">
        <v>29.7363</v>
      </c>
      <c r="EH45">
        <v>29.970400000000001</v>
      </c>
      <c r="EI45">
        <v>30.063500000000001</v>
      </c>
      <c r="EJ45">
        <v>30.114999999999998</v>
      </c>
      <c r="EK45">
        <v>29.882999999999999</v>
      </c>
      <c r="EL45">
        <v>27.471900000000002</v>
      </c>
      <c r="EM45">
        <v>27.691299999999998</v>
      </c>
      <c r="EN45">
        <v>29.0336</v>
      </c>
      <c r="EO45">
        <v>28.764700000000001</v>
      </c>
      <c r="EP45">
        <v>32.072400000000002</v>
      </c>
      <c r="EQ45">
        <v>28.8185</v>
      </c>
      <c r="ER45">
        <v>29.051300000000001</v>
      </c>
      <c r="ES45">
        <v>28.749700000000001</v>
      </c>
      <c r="ET45">
        <v>31.465499999999999</v>
      </c>
      <c r="EU45">
        <v>31.553599999999999</v>
      </c>
      <c r="EV45">
        <v>31.966799999999999</v>
      </c>
      <c r="EW45">
        <v>31.966799999999999</v>
      </c>
      <c r="EX45">
        <v>31.536200000000001</v>
      </c>
      <c r="EY45">
        <v>29.741399999999999</v>
      </c>
      <c r="EZ45">
        <v>30.766400000000001</v>
      </c>
      <c r="FA45">
        <v>28.1952</v>
      </c>
      <c r="FB45">
        <v>29.497499999999999</v>
      </c>
      <c r="FC45">
        <v>29.1389</v>
      </c>
      <c r="FD45">
        <v>29.616099999999999</v>
      </c>
      <c r="FE45">
        <v>29.623899999999999</v>
      </c>
      <c r="FF45">
        <v>31.463699999999999</v>
      </c>
      <c r="FG45">
        <v>0</v>
      </c>
      <c r="FH45">
        <v>30.648199999999999</v>
      </c>
      <c r="FI45">
        <v>29.0928</v>
      </c>
      <c r="FJ45">
        <v>30.3612</v>
      </c>
      <c r="FK45">
        <v>30.6295</v>
      </c>
      <c r="FL45">
        <v>29.657599999999999</v>
      </c>
      <c r="FM45">
        <v>29.620799999999999</v>
      </c>
      <c r="FN45">
        <v>31.805599999999998</v>
      </c>
      <c r="FO45">
        <v>30.360800000000001</v>
      </c>
      <c r="FP45">
        <v>29.924199999999999</v>
      </c>
      <c r="FQ45">
        <v>28.792400000000001</v>
      </c>
      <c r="FR45">
        <v>26.728999999999999</v>
      </c>
      <c r="FS45">
        <v>30.163799999999998</v>
      </c>
      <c r="FT45">
        <v>26.7592</v>
      </c>
      <c r="FU45">
        <v>29.6327</v>
      </c>
      <c r="FV45">
        <v>29.3675</v>
      </c>
      <c r="FW45">
        <v>30.903400000000001</v>
      </c>
      <c r="FX45">
        <v>33.104300000000002</v>
      </c>
      <c r="FY45">
        <v>33.923400000000001</v>
      </c>
      <c r="FZ45">
        <v>32.073799999999999</v>
      </c>
      <c r="GA45">
        <v>30.612200000000001</v>
      </c>
      <c r="GB45">
        <v>28.774999999999999</v>
      </c>
      <c r="GC45">
        <v>31.1358</v>
      </c>
      <c r="GD45">
        <v>31.059899999999999</v>
      </c>
      <c r="GE45">
        <v>31.486799999999999</v>
      </c>
      <c r="GF45">
        <v>27.6829</v>
      </c>
      <c r="GG45">
        <v>31.615200000000002</v>
      </c>
      <c r="GH45">
        <v>28.009399999999999</v>
      </c>
      <c r="GI45">
        <v>28.556699999999999</v>
      </c>
      <c r="GJ45">
        <v>28.474</v>
      </c>
      <c r="GK45">
        <v>32.086399999999998</v>
      </c>
      <c r="GL45">
        <v>32.975700000000003</v>
      </c>
      <c r="GM45">
        <v>28.133800000000001</v>
      </c>
      <c r="GN45">
        <v>32.287100000000002</v>
      </c>
      <c r="GO45">
        <v>32.4968</v>
      </c>
      <c r="GP45">
        <v>32.506399999999999</v>
      </c>
      <c r="GQ45">
        <v>32.361600000000003</v>
      </c>
      <c r="GR45">
        <v>32.072400000000002</v>
      </c>
      <c r="GS45">
        <v>32.491</v>
      </c>
      <c r="GT45">
        <v>32.398299999999999</v>
      </c>
      <c r="GU45">
        <v>32.537999999999997</v>
      </c>
      <c r="GV45">
        <v>32.508699999999997</v>
      </c>
      <c r="GW45">
        <v>32.482700000000001</v>
      </c>
      <c r="GX45">
        <v>31.9755</v>
      </c>
      <c r="GY45">
        <v>29.9129</v>
      </c>
      <c r="GZ45">
        <v>29.293900000000001</v>
      </c>
      <c r="HA45">
        <v>29.624099999999999</v>
      </c>
      <c r="HB45">
        <v>0</v>
      </c>
      <c r="HC45">
        <v>29.2136</v>
      </c>
      <c r="HD45">
        <v>29.962499999999999</v>
      </c>
      <c r="HE45">
        <v>29.2136</v>
      </c>
      <c r="HF45">
        <v>29.144200000000001</v>
      </c>
      <c r="HG45">
        <v>29.197099999999999</v>
      </c>
      <c r="HH45">
        <v>29.715699999999998</v>
      </c>
      <c r="HI45">
        <v>29.871200000000002</v>
      </c>
      <c r="HJ45">
        <v>29.857900000000001</v>
      </c>
      <c r="HK45">
        <v>32.160699999999999</v>
      </c>
      <c r="HL45">
        <v>29.773199999999999</v>
      </c>
      <c r="HM45">
        <v>29.809899999999999</v>
      </c>
      <c r="HN45">
        <v>30.155200000000001</v>
      </c>
      <c r="HO45">
        <v>29.830500000000001</v>
      </c>
      <c r="HP45">
        <v>28.7806</v>
      </c>
      <c r="HQ45">
        <v>29.645299999999999</v>
      </c>
      <c r="HR45">
        <v>32.578099999999999</v>
      </c>
      <c r="HS45">
        <v>29.251000000000001</v>
      </c>
      <c r="HT45">
        <v>28.7805</v>
      </c>
      <c r="HU45">
        <v>28.456700000000001</v>
      </c>
      <c r="HV45">
        <v>29.035299999999999</v>
      </c>
      <c r="HW45">
        <v>31.762499999999999</v>
      </c>
      <c r="HX45">
        <v>31.824100000000001</v>
      </c>
      <c r="HY45">
        <v>32.322499999999998</v>
      </c>
      <c r="HZ45">
        <v>31.463699999999999</v>
      </c>
      <c r="IA45">
        <v>32.203899999999997</v>
      </c>
      <c r="IB45">
        <v>31.463699999999999</v>
      </c>
      <c r="IC45">
        <v>31.7453</v>
      </c>
      <c r="ID45">
        <v>31.673400000000001</v>
      </c>
    </row>
    <row r="46" spans="1:238" x14ac:dyDescent="0.25">
      <c r="A46">
        <v>45</v>
      </c>
      <c r="B46">
        <v>29.974399999999999</v>
      </c>
      <c r="C46">
        <v>29.333500000000001</v>
      </c>
      <c r="D46">
        <v>29.3965</v>
      </c>
      <c r="E46">
        <v>28.756599999999999</v>
      </c>
      <c r="F46">
        <v>27.7469</v>
      </c>
      <c r="G46">
        <v>27.7242</v>
      </c>
      <c r="H46">
        <v>27.616900000000001</v>
      </c>
      <c r="I46">
        <v>30.548200000000001</v>
      </c>
      <c r="J46">
        <v>29.6111</v>
      </c>
      <c r="K46">
        <v>31.3918</v>
      </c>
      <c r="L46">
        <v>30.430900000000001</v>
      </c>
      <c r="M46">
        <v>31.2422</v>
      </c>
      <c r="N46">
        <v>29.9437</v>
      </c>
      <c r="O46">
        <v>28.927499999999998</v>
      </c>
      <c r="P46">
        <v>28.5642</v>
      </c>
      <c r="Q46">
        <v>28.4102</v>
      </c>
      <c r="R46">
        <v>29.429400000000001</v>
      </c>
      <c r="S46">
        <v>29.5428</v>
      </c>
      <c r="T46">
        <v>29.747299999999999</v>
      </c>
      <c r="U46">
        <v>29.430800000000001</v>
      </c>
      <c r="V46">
        <v>28.2637</v>
      </c>
      <c r="W46">
        <v>27.697600000000001</v>
      </c>
      <c r="X46">
        <v>27.938600000000001</v>
      </c>
      <c r="Y46">
        <v>28.501000000000001</v>
      </c>
      <c r="Z46">
        <v>27.7074</v>
      </c>
      <c r="AA46">
        <v>28.104800000000001</v>
      </c>
      <c r="AB46">
        <v>28.1663</v>
      </c>
      <c r="AC46">
        <v>29.0107</v>
      </c>
      <c r="AD46">
        <v>31.4907</v>
      </c>
      <c r="AE46">
        <v>29.2956</v>
      </c>
      <c r="AF46">
        <v>29.425699999999999</v>
      </c>
      <c r="AG46">
        <v>29.530100000000001</v>
      </c>
      <c r="AH46">
        <v>31.572700000000001</v>
      </c>
      <c r="AI46">
        <v>29.828499999999998</v>
      </c>
      <c r="AJ46">
        <v>29.6846</v>
      </c>
      <c r="AK46">
        <v>30.845300000000002</v>
      </c>
      <c r="AL46">
        <v>29.523099999999999</v>
      </c>
      <c r="AM46">
        <v>29.0029</v>
      </c>
      <c r="AN46">
        <v>29.496600000000001</v>
      </c>
      <c r="AO46">
        <v>30.046399999999998</v>
      </c>
      <c r="AP46">
        <v>31.473199999999999</v>
      </c>
      <c r="AQ46">
        <v>28.867999999999999</v>
      </c>
      <c r="AR46">
        <v>30.523</v>
      </c>
      <c r="AS46">
        <v>31.601700000000001</v>
      </c>
      <c r="AT46">
        <v>31.868300000000001</v>
      </c>
      <c r="AU46">
        <v>29.390699999999999</v>
      </c>
      <c r="AV46">
        <v>31.974599999999999</v>
      </c>
      <c r="AW46">
        <v>31.896899999999999</v>
      </c>
      <c r="AX46">
        <v>28.079599999999999</v>
      </c>
      <c r="AY46">
        <v>30.579699999999999</v>
      </c>
      <c r="AZ46">
        <v>29.945599999999999</v>
      </c>
      <c r="BA46">
        <v>30.399799999999999</v>
      </c>
      <c r="BB46">
        <v>31.62</v>
      </c>
      <c r="BC46">
        <v>31.4636</v>
      </c>
      <c r="BD46">
        <v>31.1873</v>
      </c>
      <c r="BE46">
        <v>30.5928</v>
      </c>
      <c r="BF46">
        <v>29.5322</v>
      </c>
      <c r="BG46">
        <v>30.760100000000001</v>
      </c>
      <c r="BH46">
        <v>28.887699999999999</v>
      </c>
      <c r="BI46">
        <v>32.618499999999997</v>
      </c>
      <c r="BJ46">
        <v>31.3626</v>
      </c>
      <c r="BK46">
        <v>31.4115</v>
      </c>
      <c r="BL46">
        <v>30.797000000000001</v>
      </c>
      <c r="BM46">
        <v>30.835899999999999</v>
      </c>
      <c r="BN46">
        <v>30.887599999999999</v>
      </c>
      <c r="BO46">
        <v>31.203700000000001</v>
      </c>
      <c r="BP46">
        <v>31.273</v>
      </c>
      <c r="BQ46">
        <v>32.117899999999999</v>
      </c>
      <c r="BR46">
        <v>31.581700000000001</v>
      </c>
      <c r="BS46">
        <v>31.688600000000001</v>
      </c>
      <c r="BT46">
        <v>31.742999999999999</v>
      </c>
      <c r="BU46">
        <v>31.959900000000001</v>
      </c>
      <c r="BV46">
        <v>31.9663</v>
      </c>
      <c r="BW46">
        <v>31.367699999999999</v>
      </c>
      <c r="BX46">
        <v>29.575299999999999</v>
      </c>
      <c r="BY46">
        <v>28.9557</v>
      </c>
      <c r="BZ46">
        <v>29.4346</v>
      </c>
      <c r="CA46">
        <v>31.529699999999998</v>
      </c>
      <c r="CB46">
        <v>31.242599999999999</v>
      </c>
      <c r="CC46">
        <v>28.947700000000001</v>
      </c>
      <c r="CD46">
        <v>28.792200000000001</v>
      </c>
      <c r="CE46">
        <v>29.703600000000002</v>
      </c>
      <c r="CF46">
        <v>29.533300000000001</v>
      </c>
      <c r="CG46">
        <v>29.565799999999999</v>
      </c>
      <c r="CH46">
        <v>29.659300000000002</v>
      </c>
      <c r="CI46">
        <v>29.7212</v>
      </c>
      <c r="CJ46">
        <v>29.734300000000001</v>
      </c>
      <c r="CK46">
        <v>29.6952</v>
      </c>
      <c r="CL46">
        <v>29.649699999999999</v>
      </c>
      <c r="CM46">
        <v>30.569099999999999</v>
      </c>
      <c r="CN46">
        <v>29.551400000000001</v>
      </c>
      <c r="CO46">
        <v>29.486000000000001</v>
      </c>
      <c r="CP46">
        <v>29.399699999999999</v>
      </c>
      <c r="CQ46">
        <v>29.172999999999998</v>
      </c>
      <c r="CR46">
        <v>28.9557</v>
      </c>
      <c r="CS46">
        <v>29.182200000000002</v>
      </c>
      <c r="CT46">
        <v>29.531099999999999</v>
      </c>
      <c r="CU46">
        <v>28.9038</v>
      </c>
      <c r="CV46">
        <v>0</v>
      </c>
      <c r="CW46">
        <v>30.4117</v>
      </c>
      <c r="CX46">
        <v>30.767399999999999</v>
      </c>
      <c r="CY46">
        <v>29.609400000000001</v>
      </c>
      <c r="CZ46">
        <v>28.586400000000001</v>
      </c>
      <c r="DA46">
        <v>29.607900000000001</v>
      </c>
      <c r="DB46">
        <v>29.8293</v>
      </c>
      <c r="DC46">
        <v>29.823899999999998</v>
      </c>
      <c r="DD46">
        <v>30.679600000000001</v>
      </c>
      <c r="DE46">
        <v>31.2212</v>
      </c>
      <c r="DF46">
        <v>31.289899999999999</v>
      </c>
      <c r="DG46">
        <v>28.9178</v>
      </c>
      <c r="DH46">
        <v>29.655899999999999</v>
      </c>
      <c r="DI46">
        <v>31.5793</v>
      </c>
      <c r="DJ46">
        <v>31.226500000000001</v>
      </c>
      <c r="DK46">
        <v>29.717199999999998</v>
      </c>
      <c r="DL46">
        <v>27.6417</v>
      </c>
      <c r="DM46">
        <v>27.460699999999999</v>
      </c>
      <c r="DN46">
        <v>30.962399999999999</v>
      </c>
      <c r="DO46">
        <v>29.365500000000001</v>
      </c>
      <c r="DP46">
        <v>29.3933</v>
      </c>
      <c r="DQ46">
        <v>30.587599999999998</v>
      </c>
      <c r="DR46">
        <v>31.7103</v>
      </c>
      <c r="DS46">
        <v>29.620100000000001</v>
      </c>
      <c r="DT46">
        <v>29.738199999999999</v>
      </c>
      <c r="DU46">
        <v>29.2255</v>
      </c>
      <c r="DV46">
        <v>29.171199999999999</v>
      </c>
      <c r="DW46">
        <v>29.218499999999999</v>
      </c>
      <c r="DX46">
        <v>31.368300000000001</v>
      </c>
      <c r="DY46">
        <v>31.058900000000001</v>
      </c>
      <c r="DZ46">
        <v>28.914999999999999</v>
      </c>
      <c r="EA46">
        <v>28.922599999999999</v>
      </c>
      <c r="EB46">
        <v>29.19</v>
      </c>
      <c r="EC46">
        <v>28.1675</v>
      </c>
      <c r="ED46">
        <v>26.089600000000001</v>
      </c>
      <c r="EE46">
        <v>30.018899999999999</v>
      </c>
      <c r="EF46">
        <v>29.4848</v>
      </c>
      <c r="EG46">
        <v>29.364599999999999</v>
      </c>
      <c r="EH46">
        <v>29.6204</v>
      </c>
      <c r="EI46">
        <v>29.705200000000001</v>
      </c>
      <c r="EJ46">
        <v>29.755099999999999</v>
      </c>
      <c r="EK46">
        <v>29.551500000000001</v>
      </c>
      <c r="EL46">
        <v>27.122199999999999</v>
      </c>
      <c r="EM46">
        <v>27.342400000000001</v>
      </c>
      <c r="EN46">
        <v>28.7013</v>
      </c>
      <c r="EO46">
        <v>28.435500000000001</v>
      </c>
      <c r="EP46">
        <v>31.707100000000001</v>
      </c>
      <c r="EQ46">
        <v>28.491599999999998</v>
      </c>
      <c r="ER46">
        <v>28.723500000000001</v>
      </c>
      <c r="ES46">
        <v>28.4283</v>
      </c>
      <c r="ET46">
        <v>31.099499999999999</v>
      </c>
      <c r="EU46">
        <v>31.182700000000001</v>
      </c>
      <c r="EV46">
        <v>31.4527</v>
      </c>
      <c r="EW46">
        <v>31.4527</v>
      </c>
      <c r="EX46">
        <v>31.054500000000001</v>
      </c>
      <c r="EY46">
        <v>29.394100000000002</v>
      </c>
      <c r="EZ46">
        <v>30.347200000000001</v>
      </c>
      <c r="FA46">
        <v>27.933800000000002</v>
      </c>
      <c r="FB46">
        <v>29.097000000000001</v>
      </c>
      <c r="FC46">
        <v>28.790099999999999</v>
      </c>
      <c r="FD46">
        <v>29.2728</v>
      </c>
      <c r="FE46">
        <v>29.290099999999999</v>
      </c>
      <c r="FF46">
        <v>31.099599999999999</v>
      </c>
      <c r="FG46">
        <v>0</v>
      </c>
      <c r="FH46">
        <v>30.3187</v>
      </c>
      <c r="FI46">
        <v>28.762799999999999</v>
      </c>
      <c r="FJ46">
        <v>29.975999999999999</v>
      </c>
      <c r="FK46">
        <v>30.242799999999999</v>
      </c>
      <c r="FL46">
        <v>29.3232</v>
      </c>
      <c r="FM46">
        <v>29.2959</v>
      </c>
      <c r="FN46">
        <v>31.340399999999999</v>
      </c>
      <c r="FO46">
        <v>29.968900000000001</v>
      </c>
      <c r="FP46">
        <v>29.562100000000001</v>
      </c>
      <c r="FQ46">
        <v>28.422899999999998</v>
      </c>
      <c r="FR46">
        <v>26.3522</v>
      </c>
      <c r="FS46">
        <v>29.839500000000001</v>
      </c>
      <c r="FT46">
        <v>26.383800000000001</v>
      </c>
      <c r="FU46">
        <v>29.024000000000001</v>
      </c>
      <c r="FV46">
        <v>28.988800000000001</v>
      </c>
      <c r="FW46">
        <v>30.360800000000001</v>
      </c>
      <c r="FX46">
        <v>32.4497</v>
      </c>
      <c r="FY46">
        <v>33.245699999999999</v>
      </c>
      <c r="FZ46">
        <v>31.5883</v>
      </c>
      <c r="GA46">
        <v>30.180099999999999</v>
      </c>
      <c r="GB46">
        <v>28.485199999999999</v>
      </c>
      <c r="GC46">
        <v>30.734400000000001</v>
      </c>
      <c r="GD46">
        <v>30.6633</v>
      </c>
      <c r="GE46">
        <v>31.106400000000001</v>
      </c>
      <c r="GF46">
        <v>27.226800000000001</v>
      </c>
      <c r="GG46">
        <v>31.226199999999999</v>
      </c>
      <c r="GH46">
        <v>27.6648</v>
      </c>
      <c r="GI46">
        <v>28.200099999999999</v>
      </c>
      <c r="GJ46">
        <v>28.110199999999999</v>
      </c>
      <c r="GK46">
        <v>31.481200000000001</v>
      </c>
      <c r="GL46">
        <v>32.325600000000001</v>
      </c>
      <c r="GM46">
        <v>27.778199999999998</v>
      </c>
      <c r="GN46">
        <v>31.9207</v>
      </c>
      <c r="GO46">
        <v>32.131399999999999</v>
      </c>
      <c r="GP46">
        <v>32.141100000000002</v>
      </c>
      <c r="GQ46">
        <v>31.997800000000002</v>
      </c>
      <c r="GR46">
        <v>31.707100000000001</v>
      </c>
      <c r="GS46">
        <v>32.125700000000002</v>
      </c>
      <c r="GT46">
        <v>32.0291</v>
      </c>
      <c r="GU46">
        <v>32.170200000000001</v>
      </c>
      <c r="GV46">
        <v>32.1434</v>
      </c>
      <c r="GW46">
        <v>32.1173</v>
      </c>
      <c r="GX46">
        <v>31.610600000000002</v>
      </c>
      <c r="GY46">
        <v>29.551400000000001</v>
      </c>
      <c r="GZ46">
        <v>28.955300000000001</v>
      </c>
      <c r="HA46">
        <v>29.290299999999998</v>
      </c>
      <c r="HB46">
        <v>0</v>
      </c>
      <c r="HC46">
        <v>28.9374</v>
      </c>
      <c r="HD46">
        <v>29.613700000000001</v>
      </c>
      <c r="HE46">
        <v>28.9374</v>
      </c>
      <c r="HF46">
        <v>28.8109</v>
      </c>
      <c r="HG46">
        <v>28.863299999999999</v>
      </c>
      <c r="HH46">
        <v>29.366299999999999</v>
      </c>
      <c r="HI46">
        <v>29.5777</v>
      </c>
      <c r="HJ46">
        <v>29.548500000000001</v>
      </c>
      <c r="HK46">
        <v>31.6736</v>
      </c>
      <c r="HL46">
        <v>29.4254</v>
      </c>
      <c r="HM46">
        <v>29.494700000000002</v>
      </c>
      <c r="HN46">
        <v>29.822399999999998</v>
      </c>
      <c r="HO46">
        <v>29.517900000000001</v>
      </c>
      <c r="HP46">
        <v>28.5182</v>
      </c>
      <c r="HQ46">
        <v>29.287400000000002</v>
      </c>
      <c r="HR46">
        <v>32.165500000000002</v>
      </c>
      <c r="HS46">
        <v>28.9511</v>
      </c>
      <c r="HT46">
        <v>28.5181</v>
      </c>
      <c r="HU46">
        <v>28.087499999999999</v>
      </c>
      <c r="HV46">
        <v>28.668700000000001</v>
      </c>
      <c r="HW46">
        <v>31.295500000000001</v>
      </c>
      <c r="HX46">
        <v>31.3535</v>
      </c>
      <c r="HY46">
        <v>31.823599999999999</v>
      </c>
      <c r="HZ46">
        <v>31.099599999999999</v>
      </c>
      <c r="IA46">
        <v>31.838200000000001</v>
      </c>
      <c r="IB46">
        <v>31.099599999999999</v>
      </c>
      <c r="IC46">
        <v>31.372399999999999</v>
      </c>
      <c r="ID46">
        <v>31.3001</v>
      </c>
    </row>
    <row r="47" spans="1:238" x14ac:dyDescent="0.25">
      <c r="A47">
        <v>46</v>
      </c>
      <c r="B47">
        <v>25.177099999999999</v>
      </c>
      <c r="C47">
        <v>24.8599</v>
      </c>
      <c r="D47">
        <v>24.911899999999999</v>
      </c>
      <c r="E47">
        <v>24.337399999999999</v>
      </c>
      <c r="F47">
        <v>23.4831</v>
      </c>
      <c r="G47">
        <v>23.411999999999999</v>
      </c>
      <c r="H47">
        <v>23.3279</v>
      </c>
      <c r="I47">
        <v>25.7104</v>
      </c>
      <c r="J47">
        <v>25.051400000000001</v>
      </c>
      <c r="K47">
        <v>26.432200000000002</v>
      </c>
      <c r="L47">
        <v>25.6784</v>
      </c>
      <c r="M47">
        <v>26.324999999999999</v>
      </c>
      <c r="N47">
        <v>25.316600000000001</v>
      </c>
      <c r="O47">
        <v>24.4312</v>
      </c>
      <c r="P47">
        <v>24.177099999999999</v>
      </c>
      <c r="Q47">
        <v>24.051400000000001</v>
      </c>
      <c r="R47">
        <v>24.9331</v>
      </c>
      <c r="S47">
        <v>25.028300000000002</v>
      </c>
      <c r="T47">
        <v>25.1907</v>
      </c>
      <c r="U47">
        <v>24.917999999999999</v>
      </c>
      <c r="V47">
        <v>23.901499999999999</v>
      </c>
      <c r="W47">
        <v>23.4206</v>
      </c>
      <c r="X47">
        <v>23.626899999999999</v>
      </c>
      <c r="Y47">
        <v>24.115400000000001</v>
      </c>
      <c r="Z47">
        <v>23.3889</v>
      </c>
      <c r="AA47">
        <v>23.7196</v>
      </c>
      <c r="AB47">
        <v>23.7714</v>
      </c>
      <c r="AC47">
        <v>24.4892</v>
      </c>
      <c r="AD47">
        <v>26.524699999999999</v>
      </c>
      <c r="AE47">
        <v>24.83</v>
      </c>
      <c r="AF47">
        <v>24.916</v>
      </c>
      <c r="AG47">
        <v>25.0047</v>
      </c>
      <c r="AH47">
        <v>26.586099999999998</v>
      </c>
      <c r="AI47">
        <v>25.057700000000001</v>
      </c>
      <c r="AJ47">
        <v>24.951899999999998</v>
      </c>
      <c r="AK47">
        <v>26.009899999999998</v>
      </c>
      <c r="AL47">
        <v>24.98</v>
      </c>
      <c r="AM47">
        <v>24.450500000000002</v>
      </c>
      <c r="AN47">
        <v>24.959700000000002</v>
      </c>
      <c r="AO47">
        <v>25.233000000000001</v>
      </c>
      <c r="AP47">
        <v>26.339400000000001</v>
      </c>
      <c r="AQ47">
        <v>24.332100000000001</v>
      </c>
      <c r="AR47">
        <v>25.749300000000002</v>
      </c>
      <c r="AS47">
        <v>26.4391</v>
      </c>
      <c r="AT47">
        <v>26.826499999999999</v>
      </c>
      <c r="AU47">
        <v>24.828700000000001</v>
      </c>
      <c r="AV47">
        <v>27.038799999999998</v>
      </c>
      <c r="AW47">
        <v>26.978300000000001</v>
      </c>
      <c r="AX47">
        <v>23.766400000000001</v>
      </c>
      <c r="AY47">
        <v>25.819600000000001</v>
      </c>
      <c r="AZ47">
        <v>25.275400000000001</v>
      </c>
      <c r="BA47">
        <v>25.680299999999999</v>
      </c>
      <c r="BB47">
        <v>26.709900000000001</v>
      </c>
      <c r="BC47">
        <v>26.598199999999999</v>
      </c>
      <c r="BD47">
        <v>26.3156</v>
      </c>
      <c r="BE47">
        <v>25.818000000000001</v>
      </c>
      <c r="BF47">
        <v>25.032599999999999</v>
      </c>
      <c r="BG47">
        <v>25.9617</v>
      </c>
      <c r="BH47">
        <v>24.413699999999999</v>
      </c>
      <c r="BI47">
        <v>27.5487</v>
      </c>
      <c r="BJ47">
        <v>26.519200000000001</v>
      </c>
      <c r="BK47">
        <v>26.561</v>
      </c>
      <c r="BL47">
        <v>26.003799999999998</v>
      </c>
      <c r="BM47">
        <v>26.034400000000002</v>
      </c>
      <c r="BN47">
        <v>26.0974</v>
      </c>
      <c r="BO47">
        <v>26.386099999999999</v>
      </c>
      <c r="BP47">
        <v>26.441199999999998</v>
      </c>
      <c r="BQ47">
        <v>27.146000000000001</v>
      </c>
      <c r="BR47">
        <v>26.691600000000001</v>
      </c>
      <c r="BS47">
        <v>26.771899999999999</v>
      </c>
      <c r="BT47">
        <v>26.818999999999999</v>
      </c>
      <c r="BU47">
        <v>27.014500000000002</v>
      </c>
      <c r="BV47">
        <v>27.0044</v>
      </c>
      <c r="BW47">
        <v>26.523499999999999</v>
      </c>
      <c r="BX47">
        <v>25.007300000000001</v>
      </c>
      <c r="BY47">
        <v>24.571999999999999</v>
      </c>
      <c r="BZ47">
        <v>24.946200000000001</v>
      </c>
      <c r="CA47">
        <v>26.554600000000001</v>
      </c>
      <c r="CB47">
        <v>26.3293</v>
      </c>
      <c r="CC47">
        <v>24.412299999999998</v>
      </c>
      <c r="CD47">
        <v>24.371200000000002</v>
      </c>
      <c r="CE47">
        <v>25.159500000000001</v>
      </c>
      <c r="CF47">
        <v>24.988199999999999</v>
      </c>
      <c r="CG47">
        <v>25.015999999999998</v>
      </c>
      <c r="CH47">
        <v>25.091100000000001</v>
      </c>
      <c r="CI47">
        <v>25.1418</v>
      </c>
      <c r="CJ47">
        <v>25.150500000000001</v>
      </c>
      <c r="CK47">
        <v>25.1189</v>
      </c>
      <c r="CL47">
        <v>25.0839</v>
      </c>
      <c r="CM47">
        <v>25.7361</v>
      </c>
      <c r="CN47">
        <v>25.023499999999999</v>
      </c>
      <c r="CO47">
        <v>24.9544</v>
      </c>
      <c r="CP47">
        <v>24.8901</v>
      </c>
      <c r="CQ47">
        <v>24.7256</v>
      </c>
      <c r="CR47">
        <v>24.571999999999999</v>
      </c>
      <c r="CS47">
        <v>24.596299999999999</v>
      </c>
      <c r="CT47">
        <v>24.883600000000001</v>
      </c>
      <c r="CU47">
        <v>24.3963</v>
      </c>
      <c r="CV47">
        <v>0</v>
      </c>
      <c r="CW47">
        <v>25.666699999999999</v>
      </c>
      <c r="CX47">
        <v>25.948599999999999</v>
      </c>
      <c r="CY47">
        <v>25.05</v>
      </c>
      <c r="CZ47">
        <v>24.191299999999998</v>
      </c>
      <c r="DA47">
        <v>24.877700000000001</v>
      </c>
      <c r="DB47">
        <v>25.256699999999999</v>
      </c>
      <c r="DC47">
        <v>25.252300000000002</v>
      </c>
      <c r="DD47">
        <v>25.957799999999999</v>
      </c>
      <c r="DE47">
        <v>26.4024</v>
      </c>
      <c r="DF47">
        <v>26.459199999999999</v>
      </c>
      <c r="DG47">
        <v>24.533000000000001</v>
      </c>
      <c r="DH47">
        <v>25.1082</v>
      </c>
      <c r="DI47">
        <v>26.680099999999999</v>
      </c>
      <c r="DJ47">
        <v>26.3155</v>
      </c>
      <c r="DK47">
        <v>25.158300000000001</v>
      </c>
      <c r="DL47">
        <v>23.332699999999999</v>
      </c>
      <c r="DM47">
        <v>23.195799999999998</v>
      </c>
      <c r="DN47">
        <v>26.164999999999999</v>
      </c>
      <c r="DO47">
        <v>24.684699999999999</v>
      </c>
      <c r="DP47">
        <v>24.877500000000001</v>
      </c>
      <c r="DQ47">
        <v>25.8095</v>
      </c>
      <c r="DR47">
        <v>26.811599999999999</v>
      </c>
      <c r="DS47">
        <v>25.0608</v>
      </c>
      <c r="DT47">
        <v>25.152899999999999</v>
      </c>
      <c r="DU47">
        <v>24.781400000000001</v>
      </c>
      <c r="DV47">
        <v>24.6479</v>
      </c>
      <c r="DW47">
        <v>24.695799999999998</v>
      </c>
      <c r="DX47">
        <v>26.415400000000002</v>
      </c>
      <c r="DY47">
        <v>26.270199999999999</v>
      </c>
      <c r="DZ47">
        <v>24.437000000000001</v>
      </c>
      <c r="EA47">
        <v>24.4434</v>
      </c>
      <c r="EB47">
        <v>24.755800000000001</v>
      </c>
      <c r="EC47">
        <v>23.844899999999999</v>
      </c>
      <c r="ED47">
        <v>22.023299999999999</v>
      </c>
      <c r="EE47">
        <v>25.285</v>
      </c>
      <c r="EF47">
        <v>24.963899999999999</v>
      </c>
      <c r="EG47">
        <v>24.808800000000002</v>
      </c>
      <c r="EH47">
        <v>25.059699999999999</v>
      </c>
      <c r="EI47">
        <v>25.128900000000002</v>
      </c>
      <c r="EJ47">
        <v>25.168500000000002</v>
      </c>
      <c r="EK47">
        <v>24.9575</v>
      </c>
      <c r="EL47">
        <v>22.897300000000001</v>
      </c>
      <c r="EM47">
        <v>23.087</v>
      </c>
      <c r="EN47">
        <v>24.297899999999998</v>
      </c>
      <c r="EO47">
        <v>24.072800000000001</v>
      </c>
      <c r="EP47">
        <v>26.8094</v>
      </c>
      <c r="EQ47">
        <v>24.113199999999999</v>
      </c>
      <c r="ER47">
        <v>24.318300000000001</v>
      </c>
      <c r="ES47">
        <v>24.0656</v>
      </c>
      <c r="ET47">
        <v>26.300899999999999</v>
      </c>
      <c r="EU47">
        <v>26.369</v>
      </c>
      <c r="EV47">
        <v>26.401199999999999</v>
      </c>
      <c r="EW47">
        <v>26.401299999999999</v>
      </c>
      <c r="EX47">
        <v>26.1007</v>
      </c>
      <c r="EY47">
        <v>24.895</v>
      </c>
      <c r="EZ47">
        <v>25.692499999999999</v>
      </c>
      <c r="FA47">
        <v>23.657499999999999</v>
      </c>
      <c r="FB47">
        <v>24.586500000000001</v>
      </c>
      <c r="FC47">
        <v>24.349900000000002</v>
      </c>
      <c r="FD47">
        <v>24.7879</v>
      </c>
      <c r="FE47">
        <v>24.7926</v>
      </c>
      <c r="FF47">
        <v>26.305099999999999</v>
      </c>
      <c r="FG47">
        <v>0</v>
      </c>
      <c r="FH47">
        <v>25.674700000000001</v>
      </c>
      <c r="FI47">
        <v>24.3428</v>
      </c>
      <c r="FJ47">
        <v>25.302399999999999</v>
      </c>
      <c r="FK47">
        <v>25.532599999999999</v>
      </c>
      <c r="FL47">
        <v>24.819199999999999</v>
      </c>
      <c r="FM47">
        <v>24.794499999999999</v>
      </c>
      <c r="FN47">
        <v>26.3996</v>
      </c>
      <c r="FO47">
        <v>25.372599999999998</v>
      </c>
      <c r="FP47">
        <v>25.032</v>
      </c>
      <c r="FQ47">
        <v>23.962499999999999</v>
      </c>
      <c r="FR47">
        <v>22.1892</v>
      </c>
      <c r="FS47">
        <v>25.2684</v>
      </c>
      <c r="FT47">
        <v>22.217199999999998</v>
      </c>
      <c r="FU47">
        <v>24.254300000000001</v>
      </c>
      <c r="FV47">
        <v>24.475899999999999</v>
      </c>
      <c r="FW47">
        <v>25.472999999999999</v>
      </c>
      <c r="FX47">
        <v>27.092099999999999</v>
      </c>
      <c r="FY47">
        <v>27.778700000000001</v>
      </c>
      <c r="FZ47">
        <v>26.599399999999999</v>
      </c>
      <c r="GA47">
        <v>25.417400000000001</v>
      </c>
      <c r="GB47">
        <v>24.122599999999998</v>
      </c>
      <c r="GC47">
        <v>25.945599999999999</v>
      </c>
      <c r="GD47">
        <v>25.8874</v>
      </c>
      <c r="GE47">
        <v>26.284199999999998</v>
      </c>
      <c r="GF47">
        <v>22.8611</v>
      </c>
      <c r="GG47">
        <v>26.3901</v>
      </c>
      <c r="GH47">
        <v>23.365400000000001</v>
      </c>
      <c r="GI47">
        <v>23.808900000000001</v>
      </c>
      <c r="GJ47">
        <v>23.724499999999999</v>
      </c>
      <c r="GK47">
        <v>26.3461</v>
      </c>
      <c r="GL47">
        <v>26.995999999999999</v>
      </c>
      <c r="GM47">
        <v>23.448499999999999</v>
      </c>
      <c r="GN47">
        <v>26.9939</v>
      </c>
      <c r="GO47">
        <v>27.169899999999998</v>
      </c>
      <c r="GP47">
        <v>27.178100000000001</v>
      </c>
      <c r="GQ47">
        <v>27.058499999999999</v>
      </c>
      <c r="GR47">
        <v>26.8094</v>
      </c>
      <c r="GS47">
        <v>27.165099999999999</v>
      </c>
      <c r="GT47">
        <v>27.071999999999999</v>
      </c>
      <c r="GU47">
        <v>27.190300000000001</v>
      </c>
      <c r="GV47">
        <v>27.1799</v>
      </c>
      <c r="GW47">
        <v>27.158799999999999</v>
      </c>
      <c r="GX47">
        <v>26.729500000000002</v>
      </c>
      <c r="GY47">
        <v>25.023499999999999</v>
      </c>
      <c r="GZ47">
        <v>24.5717</v>
      </c>
      <c r="HA47">
        <v>24.7928</v>
      </c>
      <c r="HB47">
        <v>0</v>
      </c>
      <c r="HC47">
        <v>24.534700000000001</v>
      </c>
      <c r="HD47">
        <v>25.0535</v>
      </c>
      <c r="HE47">
        <v>24.534700000000001</v>
      </c>
      <c r="HF47">
        <v>24.391999999999999</v>
      </c>
      <c r="HG47">
        <v>24.437799999999999</v>
      </c>
      <c r="HH47">
        <v>24.871300000000002</v>
      </c>
      <c r="HI47">
        <v>25.0642</v>
      </c>
      <c r="HJ47">
        <v>25.028300000000002</v>
      </c>
      <c r="HK47">
        <v>26.674199999999999</v>
      </c>
      <c r="HL47">
        <v>24.915800000000001</v>
      </c>
      <c r="HM47">
        <v>24.974</v>
      </c>
      <c r="HN47">
        <v>25.2515</v>
      </c>
      <c r="HO47">
        <v>25.002600000000001</v>
      </c>
      <c r="HP47">
        <v>24.195499999999999</v>
      </c>
      <c r="HQ47">
        <v>24.7653</v>
      </c>
      <c r="HR47">
        <v>27.1707</v>
      </c>
      <c r="HS47">
        <v>24.5136</v>
      </c>
      <c r="HT47">
        <v>24.1953</v>
      </c>
      <c r="HU47">
        <v>23.7027</v>
      </c>
      <c r="HV47">
        <v>24.203700000000001</v>
      </c>
      <c r="HW47">
        <v>26.370100000000001</v>
      </c>
      <c r="HX47">
        <v>26.4162</v>
      </c>
      <c r="HY47">
        <v>26.790299999999998</v>
      </c>
      <c r="HZ47">
        <v>26.305099999999999</v>
      </c>
      <c r="IA47">
        <v>26.9237</v>
      </c>
      <c r="IB47">
        <v>26.305099999999999</v>
      </c>
      <c r="IC47">
        <v>26.532399999999999</v>
      </c>
      <c r="ID47">
        <v>26.4697</v>
      </c>
    </row>
    <row r="48" spans="1:238" x14ac:dyDescent="0.25">
      <c r="A48">
        <v>47</v>
      </c>
      <c r="B48">
        <v>24.630500000000001</v>
      </c>
      <c r="C48">
        <v>24.4406</v>
      </c>
      <c r="D48">
        <v>24.4861</v>
      </c>
      <c r="E48">
        <v>23.967600000000001</v>
      </c>
      <c r="F48">
        <v>23.158100000000001</v>
      </c>
      <c r="G48">
        <v>22.988900000000001</v>
      </c>
      <c r="H48">
        <v>22.873799999999999</v>
      </c>
      <c r="I48">
        <v>25.2195</v>
      </c>
      <c r="J48">
        <v>24.687100000000001</v>
      </c>
      <c r="K48">
        <v>25.9178</v>
      </c>
      <c r="L48">
        <v>25.224599999999999</v>
      </c>
      <c r="M48">
        <v>25.828399999999998</v>
      </c>
      <c r="N48">
        <v>24.9556</v>
      </c>
      <c r="O48">
        <v>24.052900000000001</v>
      </c>
      <c r="P48">
        <v>23.767299999999999</v>
      </c>
      <c r="Q48">
        <v>23.6431</v>
      </c>
      <c r="R48">
        <v>24.528300000000002</v>
      </c>
      <c r="S48">
        <v>24.613600000000002</v>
      </c>
      <c r="T48">
        <v>24.782</v>
      </c>
      <c r="U48">
        <v>24.461099999999998</v>
      </c>
      <c r="V48">
        <v>23.495999999999999</v>
      </c>
      <c r="W48">
        <v>22.990500000000001</v>
      </c>
      <c r="X48">
        <v>23.208200000000001</v>
      </c>
      <c r="Y48">
        <v>23.717199999999998</v>
      </c>
      <c r="Z48">
        <v>22.962199999999999</v>
      </c>
      <c r="AA48">
        <v>23.226600000000001</v>
      </c>
      <c r="AB48">
        <v>23.2818</v>
      </c>
      <c r="AC48">
        <v>24.1187</v>
      </c>
      <c r="AD48">
        <v>26.000399999999999</v>
      </c>
      <c r="AE48">
        <v>24.413900000000002</v>
      </c>
      <c r="AF48">
        <v>24.521599999999999</v>
      </c>
      <c r="AG48">
        <v>24.603100000000001</v>
      </c>
      <c r="AH48">
        <v>26.048999999999999</v>
      </c>
      <c r="AI48">
        <v>24.4406</v>
      </c>
      <c r="AJ48">
        <v>24.4269</v>
      </c>
      <c r="AK48">
        <v>25.5365</v>
      </c>
      <c r="AL48">
        <v>24.6252</v>
      </c>
      <c r="AM48">
        <v>24.002700000000001</v>
      </c>
      <c r="AN48">
        <v>24.571100000000001</v>
      </c>
      <c r="AO48">
        <v>24.681100000000001</v>
      </c>
      <c r="AP48">
        <v>25.681100000000001</v>
      </c>
      <c r="AQ48">
        <v>23.888999999999999</v>
      </c>
      <c r="AR48">
        <v>25.295999999999999</v>
      </c>
      <c r="AS48">
        <v>25.771100000000001</v>
      </c>
      <c r="AT48">
        <v>26.275500000000001</v>
      </c>
      <c r="AU48">
        <v>24.335799999999999</v>
      </c>
      <c r="AV48">
        <v>26.557400000000001</v>
      </c>
      <c r="AW48">
        <v>26.498100000000001</v>
      </c>
      <c r="AX48">
        <v>23.366</v>
      </c>
      <c r="AY48">
        <v>25.3215</v>
      </c>
      <c r="AZ48">
        <v>24.782399999999999</v>
      </c>
      <c r="BA48">
        <v>25.133900000000001</v>
      </c>
      <c r="BB48">
        <v>26.212800000000001</v>
      </c>
      <c r="BC48">
        <v>26.123699999999999</v>
      </c>
      <c r="BD48">
        <v>25.7746</v>
      </c>
      <c r="BE48">
        <v>25.257899999999999</v>
      </c>
      <c r="BF48">
        <v>24.6159</v>
      </c>
      <c r="BG48">
        <v>25.455100000000002</v>
      </c>
      <c r="BH48">
        <v>23.947099999999999</v>
      </c>
      <c r="BI48">
        <v>27.039400000000001</v>
      </c>
      <c r="BJ48">
        <v>26.056799999999999</v>
      </c>
      <c r="BK48">
        <v>26.097200000000001</v>
      </c>
      <c r="BL48">
        <v>25.5076</v>
      </c>
      <c r="BM48">
        <v>25.537400000000002</v>
      </c>
      <c r="BN48">
        <v>25.616</v>
      </c>
      <c r="BO48">
        <v>25.9224</v>
      </c>
      <c r="BP48">
        <v>25.973400000000002</v>
      </c>
      <c r="BQ48">
        <v>26.6661</v>
      </c>
      <c r="BR48">
        <v>26.223800000000001</v>
      </c>
      <c r="BS48">
        <v>26.302</v>
      </c>
      <c r="BT48">
        <v>26.317599999999999</v>
      </c>
      <c r="BU48">
        <v>26.545200000000001</v>
      </c>
      <c r="BV48">
        <v>26.507200000000001</v>
      </c>
      <c r="BW48">
        <v>26.061</v>
      </c>
      <c r="BX48">
        <v>24.553699999999999</v>
      </c>
      <c r="BY48">
        <v>24.1661</v>
      </c>
      <c r="BZ48">
        <v>24.527200000000001</v>
      </c>
      <c r="CA48">
        <v>26.0259</v>
      </c>
      <c r="CB48">
        <v>25.828600000000002</v>
      </c>
      <c r="CC48">
        <v>23.9849</v>
      </c>
      <c r="CD48">
        <v>24.181999999999999</v>
      </c>
      <c r="CE48">
        <v>24.7439</v>
      </c>
      <c r="CF48">
        <v>24.6328</v>
      </c>
      <c r="CG48">
        <v>24.659700000000001</v>
      </c>
      <c r="CH48">
        <v>24.724900000000002</v>
      </c>
      <c r="CI48">
        <v>24.7713</v>
      </c>
      <c r="CJ48">
        <v>24.7743</v>
      </c>
      <c r="CK48">
        <v>24.748200000000001</v>
      </c>
      <c r="CL48">
        <v>24.720199999999998</v>
      </c>
      <c r="CM48">
        <v>25.273499999999999</v>
      </c>
      <c r="CN48">
        <v>24.609200000000001</v>
      </c>
      <c r="CO48">
        <v>24.56</v>
      </c>
      <c r="CP48">
        <v>24.495100000000001</v>
      </c>
      <c r="CQ48">
        <v>24.327400000000001</v>
      </c>
      <c r="CR48">
        <v>24.1661</v>
      </c>
      <c r="CS48">
        <v>24.151</v>
      </c>
      <c r="CT48">
        <v>24.4405</v>
      </c>
      <c r="CU48">
        <v>24.075900000000001</v>
      </c>
      <c r="CV48">
        <v>0</v>
      </c>
      <c r="CW48">
        <v>25.212299999999999</v>
      </c>
      <c r="CX48">
        <v>25.474299999999999</v>
      </c>
      <c r="CY48">
        <v>24.657599999999999</v>
      </c>
      <c r="CZ48">
        <v>23.7867</v>
      </c>
      <c r="DA48">
        <v>24.261399999999998</v>
      </c>
      <c r="DB48">
        <v>24.842400000000001</v>
      </c>
      <c r="DC48">
        <v>24.8367</v>
      </c>
      <c r="DD48">
        <v>25.516500000000001</v>
      </c>
      <c r="DE48">
        <v>25.943200000000001</v>
      </c>
      <c r="DF48">
        <v>25.998699999999999</v>
      </c>
      <c r="DG48">
        <v>24.136800000000001</v>
      </c>
      <c r="DH48">
        <v>24.69</v>
      </c>
      <c r="DI48">
        <v>26.1812</v>
      </c>
      <c r="DJ48">
        <v>25.811900000000001</v>
      </c>
      <c r="DK48">
        <v>24.7393</v>
      </c>
      <c r="DL48">
        <v>22.863499999999998</v>
      </c>
      <c r="DM48">
        <v>22.7544</v>
      </c>
      <c r="DN48">
        <v>25.732099999999999</v>
      </c>
      <c r="DO48">
        <v>24.065200000000001</v>
      </c>
      <c r="DP48">
        <v>24.515599999999999</v>
      </c>
      <c r="DQ48">
        <v>25.2514</v>
      </c>
      <c r="DR48">
        <v>26.339700000000001</v>
      </c>
      <c r="DS48">
        <v>24.6614</v>
      </c>
      <c r="DT48">
        <v>24.748200000000001</v>
      </c>
      <c r="DU48">
        <v>24.366800000000001</v>
      </c>
      <c r="DV48">
        <v>24.1675</v>
      </c>
      <c r="DW48">
        <v>24.3063</v>
      </c>
      <c r="DX48">
        <v>25.9039</v>
      </c>
      <c r="DY48">
        <v>25.8171</v>
      </c>
      <c r="DZ48">
        <v>23.970500000000001</v>
      </c>
      <c r="EA48">
        <v>23.976800000000001</v>
      </c>
      <c r="EB48">
        <v>24.342700000000001</v>
      </c>
      <c r="EC48">
        <v>23.4512</v>
      </c>
      <c r="ED48">
        <v>21.621500000000001</v>
      </c>
      <c r="EE48">
        <v>24.834399999999999</v>
      </c>
      <c r="EF48">
        <v>24.5657</v>
      </c>
      <c r="EG48">
        <v>24.3935</v>
      </c>
      <c r="EH48">
        <v>24.689599999999999</v>
      </c>
      <c r="EI48">
        <v>24.729900000000001</v>
      </c>
      <c r="EJ48">
        <v>24.771899999999999</v>
      </c>
      <c r="EK48">
        <v>24.4556</v>
      </c>
      <c r="EL48">
        <v>22.477599999999999</v>
      </c>
      <c r="EM48">
        <v>22.667300000000001</v>
      </c>
      <c r="EN48">
        <v>23.904499999999999</v>
      </c>
      <c r="EO48">
        <v>23.6831</v>
      </c>
      <c r="EP48">
        <v>26.337499999999999</v>
      </c>
      <c r="EQ48">
        <v>23.747499999999999</v>
      </c>
      <c r="ER48">
        <v>23.9223</v>
      </c>
      <c r="ES48">
        <v>23.668299999999999</v>
      </c>
      <c r="ET48">
        <v>25.842600000000001</v>
      </c>
      <c r="EU48">
        <v>25.906300000000002</v>
      </c>
      <c r="EV48">
        <v>26.0365</v>
      </c>
      <c r="EW48">
        <v>26.1998</v>
      </c>
      <c r="EX48">
        <v>25.686</v>
      </c>
      <c r="EY48">
        <v>24.4954</v>
      </c>
      <c r="EZ48">
        <v>25.212399999999999</v>
      </c>
      <c r="FA48">
        <v>23.251200000000001</v>
      </c>
      <c r="FB48">
        <v>24.145600000000002</v>
      </c>
      <c r="FC48">
        <v>23.924099999999999</v>
      </c>
      <c r="FD48">
        <v>24.398800000000001</v>
      </c>
      <c r="FE48">
        <v>24.432200000000002</v>
      </c>
      <c r="FF48">
        <v>25.8522</v>
      </c>
      <c r="FG48">
        <v>0</v>
      </c>
      <c r="FH48">
        <v>25.250900000000001</v>
      </c>
      <c r="FI48">
        <v>23.973500000000001</v>
      </c>
      <c r="FJ48">
        <v>24.81</v>
      </c>
      <c r="FK48">
        <v>25.040500000000002</v>
      </c>
      <c r="FL48">
        <v>24.458200000000001</v>
      </c>
      <c r="FM48">
        <v>24.448</v>
      </c>
      <c r="FN48">
        <v>25.893699999999999</v>
      </c>
      <c r="FO48">
        <v>24.921199999999999</v>
      </c>
      <c r="FP48">
        <v>24.617000000000001</v>
      </c>
      <c r="FQ48">
        <v>23.470400000000001</v>
      </c>
      <c r="FR48">
        <v>21.712900000000001</v>
      </c>
      <c r="FS48">
        <v>24.8583</v>
      </c>
      <c r="FT48">
        <v>21.741499999999998</v>
      </c>
      <c r="FU48">
        <v>23.563800000000001</v>
      </c>
      <c r="FV48">
        <v>24.101400000000002</v>
      </c>
      <c r="FW48">
        <v>24.9206</v>
      </c>
      <c r="FX48">
        <v>27.019500000000001</v>
      </c>
      <c r="FY48">
        <v>27.215299999999999</v>
      </c>
      <c r="FZ48">
        <v>26.062200000000001</v>
      </c>
      <c r="GA48">
        <v>24.963799999999999</v>
      </c>
      <c r="GB48">
        <v>23.716000000000001</v>
      </c>
      <c r="GC48">
        <v>25.444900000000001</v>
      </c>
      <c r="GD48">
        <v>25.389700000000001</v>
      </c>
      <c r="GE48">
        <v>25.7987</v>
      </c>
      <c r="GF48">
        <v>22.310300000000002</v>
      </c>
      <c r="GG48">
        <v>25.910599999999999</v>
      </c>
      <c r="GH48">
        <v>22.908899999999999</v>
      </c>
      <c r="GI48">
        <v>23.3276</v>
      </c>
      <c r="GJ48">
        <v>23.2319</v>
      </c>
      <c r="GK48">
        <v>25.946300000000001</v>
      </c>
      <c r="GL48">
        <v>26.865500000000001</v>
      </c>
      <c r="GM48">
        <v>23.019500000000001</v>
      </c>
      <c r="GN48">
        <v>26.517499999999998</v>
      </c>
      <c r="GO48">
        <v>26.685199999999998</v>
      </c>
      <c r="GP48">
        <v>26.693100000000001</v>
      </c>
      <c r="GQ48">
        <v>26.580400000000001</v>
      </c>
      <c r="GR48">
        <v>26.337499999999999</v>
      </c>
      <c r="GS48">
        <v>26.680499999999999</v>
      </c>
      <c r="GT48">
        <v>26.591899999999999</v>
      </c>
      <c r="GU48">
        <v>26.709299999999999</v>
      </c>
      <c r="GV48">
        <v>26.694900000000001</v>
      </c>
      <c r="GW48">
        <v>26.6737</v>
      </c>
      <c r="GX48">
        <v>26.259899999999998</v>
      </c>
      <c r="GY48">
        <v>24.609200000000001</v>
      </c>
      <c r="GZ48">
        <v>24.165800000000001</v>
      </c>
      <c r="HA48">
        <v>24.432400000000001</v>
      </c>
      <c r="HB48">
        <v>0</v>
      </c>
      <c r="HC48">
        <v>24.1599</v>
      </c>
      <c r="HD48">
        <v>24.689</v>
      </c>
      <c r="HE48">
        <v>24.1599</v>
      </c>
      <c r="HF48">
        <v>23.998100000000001</v>
      </c>
      <c r="HG48">
        <v>24.0459</v>
      </c>
      <c r="HH48">
        <v>24.471299999999999</v>
      </c>
      <c r="HI48">
        <v>24.646100000000001</v>
      </c>
      <c r="HJ48">
        <v>24.628399999999999</v>
      </c>
      <c r="HK48">
        <v>26.139700000000001</v>
      </c>
      <c r="HL48">
        <v>24.5214</v>
      </c>
      <c r="HM48">
        <v>24.566800000000001</v>
      </c>
      <c r="HN48">
        <v>24.837700000000002</v>
      </c>
      <c r="HO48">
        <v>24.6038</v>
      </c>
      <c r="HP48">
        <v>23.842500000000001</v>
      </c>
      <c r="HQ48">
        <v>24.380500000000001</v>
      </c>
      <c r="HR48">
        <v>26.669799999999999</v>
      </c>
      <c r="HS48">
        <v>24.101800000000001</v>
      </c>
      <c r="HT48">
        <v>23.842300000000002</v>
      </c>
      <c r="HU48">
        <v>23.2758</v>
      </c>
      <c r="HV48">
        <v>23.737200000000001</v>
      </c>
      <c r="HW48">
        <v>25.8612</v>
      </c>
      <c r="HX48">
        <v>25.903600000000001</v>
      </c>
      <c r="HY48">
        <v>26.241499999999998</v>
      </c>
      <c r="HZ48">
        <v>25.8522</v>
      </c>
      <c r="IA48">
        <v>26.4496</v>
      </c>
      <c r="IB48">
        <v>25.8522</v>
      </c>
      <c r="IC48">
        <v>26.0733</v>
      </c>
      <c r="ID48">
        <v>26.006499999999999</v>
      </c>
    </row>
    <row r="49" spans="1:238" x14ac:dyDescent="0.25">
      <c r="A49">
        <v>48</v>
      </c>
      <c r="B49">
        <v>24.444800000000001</v>
      </c>
      <c r="C49">
        <v>24.3001</v>
      </c>
      <c r="D49">
        <v>24.339600000000001</v>
      </c>
      <c r="E49">
        <v>23.8642</v>
      </c>
      <c r="F49">
        <v>23.139500000000002</v>
      </c>
      <c r="G49">
        <v>22.842700000000001</v>
      </c>
      <c r="H49">
        <v>22.728999999999999</v>
      </c>
      <c r="I49">
        <v>24.961600000000001</v>
      </c>
      <c r="J49">
        <v>24.559100000000001</v>
      </c>
      <c r="K49">
        <v>25.6479</v>
      </c>
      <c r="L49">
        <v>25.018899999999999</v>
      </c>
      <c r="M49">
        <v>25.575299999999999</v>
      </c>
      <c r="N49">
        <v>24.821899999999999</v>
      </c>
      <c r="O49">
        <v>23.895299999999999</v>
      </c>
      <c r="P49">
        <v>23.635200000000001</v>
      </c>
      <c r="Q49">
        <v>23.557700000000001</v>
      </c>
      <c r="R49">
        <v>24.399000000000001</v>
      </c>
      <c r="S49">
        <v>24.478100000000001</v>
      </c>
      <c r="T49">
        <v>24.6434</v>
      </c>
      <c r="U49">
        <v>24.2913</v>
      </c>
      <c r="V49">
        <v>23.365100000000002</v>
      </c>
      <c r="W49">
        <v>22.859500000000001</v>
      </c>
      <c r="X49">
        <v>23.078199999999999</v>
      </c>
      <c r="Y49">
        <v>23.592099999999999</v>
      </c>
      <c r="Z49">
        <v>22.811800000000002</v>
      </c>
      <c r="AA49">
        <v>23.072700000000001</v>
      </c>
      <c r="AB49">
        <v>23.1282</v>
      </c>
      <c r="AC49">
        <v>23.9495</v>
      </c>
      <c r="AD49">
        <v>25.729600000000001</v>
      </c>
      <c r="AE49">
        <v>24.2759</v>
      </c>
      <c r="AF49">
        <v>24.394300000000001</v>
      </c>
      <c r="AG49">
        <v>24.468299999999999</v>
      </c>
      <c r="AH49">
        <v>25.767199999999999</v>
      </c>
      <c r="AI49">
        <v>24.286100000000001</v>
      </c>
      <c r="AJ49">
        <v>24.256599999999999</v>
      </c>
      <c r="AK49">
        <v>25.3079</v>
      </c>
      <c r="AL49">
        <v>24.5001</v>
      </c>
      <c r="AM49">
        <v>23.8276</v>
      </c>
      <c r="AN49">
        <v>24.4404</v>
      </c>
      <c r="AO49">
        <v>24.491800000000001</v>
      </c>
      <c r="AP49">
        <v>25.419599999999999</v>
      </c>
      <c r="AQ49">
        <v>23.686699999999998</v>
      </c>
      <c r="AR49">
        <v>25.0867</v>
      </c>
      <c r="AS49">
        <v>25.5031</v>
      </c>
      <c r="AT49">
        <v>25.982299999999999</v>
      </c>
      <c r="AU49">
        <v>24.134499999999999</v>
      </c>
      <c r="AV49">
        <v>26.374099999999999</v>
      </c>
      <c r="AW49">
        <v>26.313099999999999</v>
      </c>
      <c r="AX49">
        <v>23.243500000000001</v>
      </c>
      <c r="AY49">
        <v>25.1111</v>
      </c>
      <c r="AZ49">
        <v>24.573499999999999</v>
      </c>
      <c r="BA49">
        <v>24.893899999999999</v>
      </c>
      <c r="BB49">
        <v>26.005099999999999</v>
      </c>
      <c r="BC49">
        <v>25.934999999999999</v>
      </c>
      <c r="BD49">
        <v>25.534700000000001</v>
      </c>
      <c r="BE49">
        <v>25.0076</v>
      </c>
      <c r="BF49">
        <v>24.480699999999999</v>
      </c>
      <c r="BG49">
        <v>25.2439</v>
      </c>
      <c r="BH49">
        <v>23.762499999999999</v>
      </c>
      <c r="BI49">
        <v>26.824400000000001</v>
      </c>
      <c r="BJ49">
        <v>25.8779</v>
      </c>
      <c r="BK49">
        <v>25.917100000000001</v>
      </c>
      <c r="BL49">
        <v>25.3034</v>
      </c>
      <c r="BM49">
        <v>25.331900000000001</v>
      </c>
      <c r="BN49">
        <v>25.420300000000001</v>
      </c>
      <c r="BO49">
        <v>25.7423</v>
      </c>
      <c r="BP49">
        <v>25.790500000000002</v>
      </c>
      <c r="BQ49">
        <v>26.479399999999998</v>
      </c>
      <c r="BR49">
        <v>26.047699999999999</v>
      </c>
      <c r="BS49">
        <v>26.128399999999999</v>
      </c>
      <c r="BT49">
        <v>26.109100000000002</v>
      </c>
      <c r="BU49">
        <v>26.363</v>
      </c>
      <c r="BV49">
        <v>26.3018</v>
      </c>
      <c r="BW49">
        <v>25.882100000000001</v>
      </c>
      <c r="BX49">
        <v>24.3842</v>
      </c>
      <c r="BY49">
        <v>24.041</v>
      </c>
      <c r="BZ49">
        <v>24.389399999999998</v>
      </c>
      <c r="CA49">
        <v>25.751999999999999</v>
      </c>
      <c r="CB49">
        <v>25.573599999999999</v>
      </c>
      <c r="CC49">
        <v>23.806699999999999</v>
      </c>
      <c r="CD49">
        <v>24.181999999999999</v>
      </c>
      <c r="CE49">
        <v>24.605699999999999</v>
      </c>
      <c r="CF49">
        <v>24.507300000000001</v>
      </c>
      <c r="CG49">
        <v>24.534199999999998</v>
      </c>
      <c r="CH49">
        <v>24.595099999999999</v>
      </c>
      <c r="CI49">
        <v>24.6387</v>
      </c>
      <c r="CJ49">
        <v>24.641100000000002</v>
      </c>
      <c r="CK49">
        <v>24.6159</v>
      </c>
      <c r="CL49">
        <v>24.590900000000001</v>
      </c>
      <c r="CM49">
        <v>25.025600000000001</v>
      </c>
      <c r="CN49">
        <v>24.4665</v>
      </c>
      <c r="CO49">
        <v>24.43</v>
      </c>
      <c r="CP49">
        <v>24.364100000000001</v>
      </c>
      <c r="CQ49">
        <v>24.200099999999999</v>
      </c>
      <c r="CR49">
        <v>24.041</v>
      </c>
      <c r="CS49">
        <v>23.949200000000001</v>
      </c>
      <c r="CT49">
        <v>24.231400000000001</v>
      </c>
      <c r="CU49">
        <v>23.905999999999999</v>
      </c>
      <c r="CV49">
        <v>0</v>
      </c>
      <c r="CW49">
        <v>25.009499999999999</v>
      </c>
      <c r="CX49">
        <v>25.2502</v>
      </c>
      <c r="CY49">
        <v>24.523800000000001</v>
      </c>
      <c r="CZ49">
        <v>23.657399999999999</v>
      </c>
      <c r="DA49">
        <v>24.0947</v>
      </c>
      <c r="DB49">
        <v>24.6999</v>
      </c>
      <c r="DC49">
        <v>24.693899999999999</v>
      </c>
      <c r="DD49">
        <v>25.353300000000001</v>
      </c>
      <c r="DE49">
        <v>25.7666</v>
      </c>
      <c r="DF49">
        <v>25.821200000000001</v>
      </c>
      <c r="DG49">
        <v>24.171399999999998</v>
      </c>
      <c r="DH49">
        <v>24.543299999999999</v>
      </c>
      <c r="DI49">
        <v>25.974299999999999</v>
      </c>
      <c r="DJ49">
        <v>25.558299999999999</v>
      </c>
      <c r="DK49">
        <v>24.590900000000001</v>
      </c>
      <c r="DL49">
        <v>22.7105</v>
      </c>
      <c r="DM49">
        <v>22.610600000000002</v>
      </c>
      <c r="DN49">
        <v>25.563099999999999</v>
      </c>
      <c r="DO49">
        <v>23.8736</v>
      </c>
      <c r="DP49">
        <v>24.402100000000001</v>
      </c>
      <c r="DQ49">
        <v>25.0031</v>
      </c>
      <c r="DR49">
        <v>26.158300000000001</v>
      </c>
      <c r="DS49">
        <v>24.5244</v>
      </c>
      <c r="DT49">
        <v>24.606999999999999</v>
      </c>
      <c r="DU49">
        <v>24.232199999999999</v>
      </c>
      <c r="DV49">
        <v>23.9742</v>
      </c>
      <c r="DW49">
        <v>24.157599999999999</v>
      </c>
      <c r="DX49">
        <v>25.636600000000001</v>
      </c>
      <c r="DY49">
        <v>25.644600000000001</v>
      </c>
      <c r="DZ49">
        <v>23.786300000000001</v>
      </c>
      <c r="EA49">
        <v>23.7925</v>
      </c>
      <c r="EB49">
        <v>24.2134</v>
      </c>
      <c r="EC49">
        <v>23.326899999999998</v>
      </c>
      <c r="ED49">
        <v>21.479900000000001</v>
      </c>
      <c r="EE49">
        <v>24.607500000000002</v>
      </c>
      <c r="EF49">
        <v>24.436</v>
      </c>
      <c r="EG49">
        <v>24.231999999999999</v>
      </c>
      <c r="EH49">
        <v>24.559799999999999</v>
      </c>
      <c r="EI49">
        <v>24.586500000000001</v>
      </c>
      <c r="EJ49">
        <v>24.623899999999999</v>
      </c>
      <c r="EK49">
        <v>24.248899999999999</v>
      </c>
      <c r="EL49">
        <v>22.3324</v>
      </c>
      <c r="EM49">
        <v>22.522200000000002</v>
      </c>
      <c r="EN49">
        <v>23.778300000000002</v>
      </c>
      <c r="EO49">
        <v>23.5581</v>
      </c>
      <c r="EP49">
        <v>26.156400000000001</v>
      </c>
      <c r="EQ49">
        <v>23.645499999999998</v>
      </c>
      <c r="ER49">
        <v>23.794499999999999</v>
      </c>
      <c r="ES49">
        <v>23.542899999999999</v>
      </c>
      <c r="ET49">
        <v>25.666699999999999</v>
      </c>
      <c r="EU49">
        <v>25.727</v>
      </c>
      <c r="EV49">
        <v>25.732600000000001</v>
      </c>
      <c r="EW49">
        <v>25.8843</v>
      </c>
      <c r="EX49">
        <v>25.4055</v>
      </c>
      <c r="EY49">
        <v>24.365500000000001</v>
      </c>
      <c r="EZ49">
        <v>25.026299999999999</v>
      </c>
      <c r="FA49">
        <v>23.172999999999998</v>
      </c>
      <c r="FB49">
        <v>23.957999999999998</v>
      </c>
      <c r="FC49">
        <v>23.771799999999999</v>
      </c>
      <c r="FD49">
        <v>24.2729</v>
      </c>
      <c r="FE49">
        <v>24.322700000000001</v>
      </c>
      <c r="FF49">
        <v>25.679600000000001</v>
      </c>
      <c r="FG49">
        <v>0</v>
      </c>
      <c r="FH49">
        <v>25.100200000000001</v>
      </c>
      <c r="FI49">
        <v>23.8706</v>
      </c>
      <c r="FJ49">
        <v>24.601800000000001</v>
      </c>
      <c r="FK49">
        <v>24.834</v>
      </c>
      <c r="FL49">
        <v>24.347300000000001</v>
      </c>
      <c r="FM49">
        <v>24.341000000000001</v>
      </c>
      <c r="FN49">
        <v>25.632300000000001</v>
      </c>
      <c r="FO49">
        <v>24.753699999999998</v>
      </c>
      <c r="FP49">
        <v>24.473700000000001</v>
      </c>
      <c r="FQ49">
        <v>23.2577</v>
      </c>
      <c r="FR49">
        <v>21.4984</v>
      </c>
      <c r="FS49">
        <v>24.716000000000001</v>
      </c>
      <c r="FT49">
        <v>21.5276</v>
      </c>
      <c r="FU49">
        <v>23.203499999999998</v>
      </c>
      <c r="FV49">
        <v>23.936800000000002</v>
      </c>
      <c r="FW49">
        <v>24.706399999999999</v>
      </c>
      <c r="FX49">
        <v>26.664200000000001</v>
      </c>
      <c r="FY49">
        <v>26.831099999999999</v>
      </c>
      <c r="FZ49">
        <v>25.780200000000001</v>
      </c>
      <c r="GA49">
        <v>24.730899999999998</v>
      </c>
      <c r="GB49">
        <v>23.648</v>
      </c>
      <c r="GC49">
        <v>25.237400000000001</v>
      </c>
      <c r="GD49">
        <v>25.183199999999999</v>
      </c>
      <c r="GE49">
        <v>25.607399999999998</v>
      </c>
      <c r="GF49">
        <v>22.049299999999999</v>
      </c>
      <c r="GG49">
        <v>25.718900000000001</v>
      </c>
      <c r="GH49">
        <v>22.762499999999999</v>
      </c>
      <c r="GI49">
        <v>23.173999999999999</v>
      </c>
      <c r="GJ49">
        <v>23.0779</v>
      </c>
      <c r="GK49">
        <v>25.667100000000001</v>
      </c>
      <c r="GL49">
        <v>26.521000000000001</v>
      </c>
      <c r="GM49">
        <v>22.8706</v>
      </c>
      <c r="GN49">
        <v>26.329000000000001</v>
      </c>
      <c r="GO49">
        <v>26.501999999999999</v>
      </c>
      <c r="GP49">
        <v>26.509799999999998</v>
      </c>
      <c r="GQ49">
        <v>26.401199999999999</v>
      </c>
      <c r="GR49">
        <v>26.156400000000001</v>
      </c>
      <c r="GS49">
        <v>26.497399999999999</v>
      </c>
      <c r="GT49">
        <v>26.404499999999999</v>
      </c>
      <c r="GU49">
        <v>26.521999999999998</v>
      </c>
      <c r="GV49">
        <v>26.511600000000001</v>
      </c>
      <c r="GW49">
        <v>26.490100000000002</v>
      </c>
      <c r="GX49">
        <v>26.078900000000001</v>
      </c>
      <c r="GY49">
        <v>24.4665</v>
      </c>
      <c r="GZ49">
        <v>24.040700000000001</v>
      </c>
      <c r="HA49">
        <v>24.322900000000001</v>
      </c>
      <c r="HB49">
        <v>0</v>
      </c>
      <c r="HC49">
        <v>24.056000000000001</v>
      </c>
      <c r="HD49">
        <v>24.5609</v>
      </c>
      <c r="HE49">
        <v>24.056000000000001</v>
      </c>
      <c r="HF49">
        <v>23.871500000000001</v>
      </c>
      <c r="HG49">
        <v>23.9194</v>
      </c>
      <c r="HH49">
        <v>24.338999999999999</v>
      </c>
      <c r="HI49">
        <v>24.509399999999999</v>
      </c>
      <c r="HJ49">
        <v>24.4984</v>
      </c>
      <c r="HK49">
        <v>25.860199999999999</v>
      </c>
      <c r="HL49">
        <v>24.393999999999998</v>
      </c>
      <c r="HM49">
        <v>24.430099999999999</v>
      </c>
      <c r="HN49">
        <v>24.695599999999999</v>
      </c>
      <c r="HO49">
        <v>24.475300000000001</v>
      </c>
      <c r="HP49">
        <v>23.758299999999998</v>
      </c>
      <c r="HQ49">
        <v>24.239799999999999</v>
      </c>
      <c r="HR49">
        <v>26.461400000000001</v>
      </c>
      <c r="HS49">
        <v>23.968299999999999</v>
      </c>
      <c r="HT49">
        <v>23.758099999999999</v>
      </c>
      <c r="HU49">
        <v>23.117100000000001</v>
      </c>
      <c r="HV49">
        <v>23.541399999999999</v>
      </c>
      <c r="HW49">
        <v>25.603100000000001</v>
      </c>
      <c r="HX49">
        <v>25.6417</v>
      </c>
      <c r="HY49">
        <v>25.950099999999999</v>
      </c>
      <c r="HZ49">
        <v>25.679600000000001</v>
      </c>
      <c r="IA49">
        <v>26.261700000000001</v>
      </c>
      <c r="IB49">
        <v>25.679600000000001</v>
      </c>
      <c r="IC49">
        <v>25.894500000000001</v>
      </c>
      <c r="ID49">
        <v>25.826599999999999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B8DA6D-1A28-499D-8F99-A8450F9D5E13}">
  <dimension ref="A1:IK49"/>
  <sheetViews>
    <sheetView workbookViewId="0">
      <selection activeCell="B2" sqref="B2:HZ49"/>
    </sheetView>
  </sheetViews>
  <sheetFormatPr baseColWidth="10" defaultRowHeight="15" x14ac:dyDescent="0.25"/>
  <cols>
    <col min="1" max="1" width="15.7109375" bestFit="1" customWidth="1"/>
  </cols>
  <sheetData>
    <row r="1" spans="1:245" ht="38.25" x14ac:dyDescent="0.25">
      <c r="A1" s="9" t="s">
        <v>247</v>
      </c>
      <c r="B1" s="10" t="s">
        <v>248</v>
      </c>
      <c r="C1" s="10" t="s">
        <v>249</v>
      </c>
      <c r="D1" s="10" t="s">
        <v>46</v>
      </c>
      <c r="E1" s="10" t="s">
        <v>250</v>
      </c>
      <c r="F1" s="10" t="s">
        <v>7</v>
      </c>
      <c r="G1" s="10" t="s">
        <v>251</v>
      </c>
      <c r="H1" s="10" t="s">
        <v>252</v>
      </c>
      <c r="I1" s="10" t="s">
        <v>253</v>
      </c>
      <c r="J1" s="10" t="s">
        <v>254</v>
      </c>
      <c r="K1" s="10" t="s">
        <v>137</v>
      </c>
      <c r="L1" s="10" t="s">
        <v>184</v>
      </c>
      <c r="M1" s="10" t="s">
        <v>255</v>
      </c>
      <c r="N1" s="10" t="s">
        <v>57</v>
      </c>
      <c r="O1" s="10" t="s">
        <v>158</v>
      </c>
      <c r="P1" s="10" t="s">
        <v>256</v>
      </c>
      <c r="Q1" s="10" t="s">
        <v>201</v>
      </c>
      <c r="R1" s="10" t="s">
        <v>58</v>
      </c>
      <c r="S1" s="10" t="s">
        <v>159</v>
      </c>
      <c r="T1" s="10" t="s">
        <v>257</v>
      </c>
      <c r="U1" s="10" t="s">
        <v>258</v>
      </c>
      <c r="V1" s="10" t="s">
        <v>96</v>
      </c>
      <c r="W1" s="10" t="s">
        <v>259</v>
      </c>
      <c r="X1" s="10" t="s">
        <v>11</v>
      </c>
      <c r="Y1" s="10" t="s">
        <v>260</v>
      </c>
      <c r="Z1" s="10" t="s">
        <v>59</v>
      </c>
      <c r="AA1" s="10" t="s">
        <v>261</v>
      </c>
      <c r="AB1" s="10" t="s">
        <v>83</v>
      </c>
      <c r="AC1" s="10" t="s">
        <v>98</v>
      </c>
      <c r="AD1" s="10" t="s">
        <v>262</v>
      </c>
      <c r="AE1" s="10" t="s">
        <v>195</v>
      </c>
      <c r="AF1" s="10" t="s">
        <v>263</v>
      </c>
      <c r="AG1" s="10" t="s">
        <v>264</v>
      </c>
      <c r="AH1" s="10" t="s">
        <v>265</v>
      </c>
      <c r="AI1" s="10" t="s">
        <v>14</v>
      </c>
      <c r="AJ1" s="10" t="s">
        <v>266</v>
      </c>
      <c r="AK1" s="10" t="s">
        <v>267</v>
      </c>
      <c r="AL1" s="10" t="s">
        <v>268</v>
      </c>
      <c r="AM1" s="10" t="s">
        <v>138</v>
      </c>
      <c r="AN1" s="10" t="s">
        <v>60</v>
      </c>
      <c r="AO1" s="10" t="s">
        <v>269</v>
      </c>
      <c r="AP1" s="10" t="s">
        <v>270</v>
      </c>
      <c r="AQ1" s="10" t="s">
        <v>139</v>
      </c>
      <c r="AR1" s="10" t="s">
        <v>231</v>
      </c>
      <c r="AS1" s="10" t="s">
        <v>271</v>
      </c>
      <c r="AT1" s="10" t="s">
        <v>272</v>
      </c>
      <c r="AU1" s="10" t="s">
        <v>273</v>
      </c>
      <c r="AV1" s="10" t="s">
        <v>274</v>
      </c>
      <c r="AW1" s="10" t="s">
        <v>275</v>
      </c>
      <c r="AX1" s="10" t="s">
        <v>276</v>
      </c>
      <c r="AY1" s="10" t="s">
        <v>277</v>
      </c>
      <c r="AZ1" s="10" t="s">
        <v>278</v>
      </c>
      <c r="BA1" s="10" t="s">
        <v>279</v>
      </c>
      <c r="BB1" s="10" t="s">
        <v>280</v>
      </c>
      <c r="BC1" s="10" t="s">
        <v>281</v>
      </c>
      <c r="BD1" s="10" t="s">
        <v>82</v>
      </c>
      <c r="BE1" s="10" t="s">
        <v>282</v>
      </c>
      <c r="BF1" s="10" t="s">
        <v>283</v>
      </c>
      <c r="BG1" s="10" t="s">
        <v>284</v>
      </c>
      <c r="BH1" s="10" t="s">
        <v>285</v>
      </c>
      <c r="BI1" s="10" t="s">
        <v>286</v>
      </c>
      <c r="BJ1" s="10" t="s">
        <v>287</v>
      </c>
      <c r="BK1" s="10" t="s">
        <v>150</v>
      </c>
      <c r="BL1" s="10" t="s">
        <v>288</v>
      </c>
      <c r="BM1" s="10" t="s">
        <v>289</v>
      </c>
      <c r="BN1" s="10" t="s">
        <v>290</v>
      </c>
      <c r="BO1" s="10" t="s">
        <v>232</v>
      </c>
      <c r="BP1" s="10" t="s">
        <v>61</v>
      </c>
      <c r="BQ1" s="10" t="s">
        <v>291</v>
      </c>
      <c r="BR1" s="10" t="s">
        <v>292</v>
      </c>
      <c r="BS1" s="10" t="s">
        <v>81</v>
      </c>
      <c r="BT1" s="10" t="s">
        <v>293</v>
      </c>
      <c r="BU1" s="10" t="s">
        <v>294</v>
      </c>
      <c r="BV1" s="10" t="s">
        <v>295</v>
      </c>
      <c r="BW1" s="10" t="s">
        <v>296</v>
      </c>
      <c r="BX1" s="10" t="s">
        <v>297</v>
      </c>
      <c r="BY1" s="10" t="s">
        <v>298</v>
      </c>
      <c r="BZ1" s="10" t="s">
        <v>299</v>
      </c>
      <c r="CA1" s="10" t="s">
        <v>300</v>
      </c>
      <c r="CB1" s="10" t="s">
        <v>301</v>
      </c>
      <c r="CC1" s="10" t="s">
        <v>302</v>
      </c>
      <c r="CD1" s="10" t="s">
        <v>62</v>
      </c>
      <c r="CE1" s="10" t="s">
        <v>303</v>
      </c>
      <c r="CF1" s="10" t="s">
        <v>226</v>
      </c>
      <c r="CG1" s="10" t="s">
        <v>304</v>
      </c>
      <c r="CH1" s="10" t="s">
        <v>305</v>
      </c>
      <c r="CI1" s="10" t="s">
        <v>306</v>
      </c>
      <c r="CJ1" s="10" t="s">
        <v>307</v>
      </c>
      <c r="CK1" s="10" t="s">
        <v>308</v>
      </c>
      <c r="CL1" s="10" t="s">
        <v>309</v>
      </c>
      <c r="CM1" s="10" t="s">
        <v>310</v>
      </c>
      <c r="CN1" s="10" t="s">
        <v>18</v>
      </c>
      <c r="CO1" s="10" t="s">
        <v>311</v>
      </c>
      <c r="CP1" s="10" t="s">
        <v>20</v>
      </c>
      <c r="CQ1" s="10" t="s">
        <v>48</v>
      </c>
      <c r="CR1" s="10" t="s">
        <v>312</v>
      </c>
      <c r="CS1" s="10" t="s">
        <v>123</v>
      </c>
      <c r="CT1" s="10" t="s">
        <v>21</v>
      </c>
      <c r="CU1" s="10" t="s">
        <v>313</v>
      </c>
      <c r="CV1" s="10" t="s">
        <v>124</v>
      </c>
      <c r="CW1" s="10" t="s">
        <v>116</v>
      </c>
      <c r="CX1" s="10" t="s">
        <v>314</v>
      </c>
      <c r="CY1" s="10" t="s">
        <v>22</v>
      </c>
      <c r="CZ1" s="10" t="s">
        <v>315</v>
      </c>
      <c r="DA1" s="10" t="s">
        <v>87</v>
      </c>
      <c r="DB1" s="10" t="s">
        <v>23</v>
      </c>
      <c r="DC1" s="10" t="s">
        <v>316</v>
      </c>
      <c r="DD1" s="10" t="s">
        <v>317</v>
      </c>
      <c r="DE1" s="10" t="s">
        <v>80</v>
      </c>
      <c r="DF1" s="10" t="s">
        <v>318</v>
      </c>
      <c r="DG1" s="10" t="s">
        <v>24</v>
      </c>
      <c r="DH1" s="10" t="s">
        <v>88</v>
      </c>
      <c r="DI1" s="10" t="s">
        <v>319</v>
      </c>
      <c r="DJ1" s="10" t="s">
        <v>211</v>
      </c>
      <c r="DK1" s="10" t="s">
        <v>320</v>
      </c>
      <c r="DL1" s="10" t="s">
        <v>321</v>
      </c>
      <c r="DM1" s="10" t="s">
        <v>64</v>
      </c>
      <c r="DN1" s="10" t="s">
        <v>322</v>
      </c>
      <c r="DO1" s="10" t="s">
        <v>323</v>
      </c>
      <c r="DP1" s="10" t="s">
        <v>324</v>
      </c>
      <c r="DQ1" s="10" t="s">
        <v>325</v>
      </c>
      <c r="DR1" s="10" t="s">
        <v>326</v>
      </c>
      <c r="DS1" s="10" t="s">
        <v>327</v>
      </c>
      <c r="DT1" s="10" t="s">
        <v>328</v>
      </c>
      <c r="DU1" s="10" t="s">
        <v>329</v>
      </c>
      <c r="DV1" s="10" t="s">
        <v>132</v>
      </c>
      <c r="DW1" s="10" t="s">
        <v>330</v>
      </c>
      <c r="DX1" s="10" t="s">
        <v>76</v>
      </c>
      <c r="DY1" s="10" t="s">
        <v>65</v>
      </c>
      <c r="DZ1" s="10" t="s">
        <v>331</v>
      </c>
      <c r="EA1" s="10" t="s">
        <v>332</v>
      </c>
      <c r="EB1" s="10" t="s">
        <v>333</v>
      </c>
      <c r="EC1" s="10" t="s">
        <v>334</v>
      </c>
      <c r="ED1" s="10" t="s">
        <v>335</v>
      </c>
      <c r="EE1" s="10" t="s">
        <v>336</v>
      </c>
      <c r="EF1" s="10" t="s">
        <v>152</v>
      </c>
      <c r="EG1" s="10" t="s">
        <v>193</v>
      </c>
      <c r="EH1" s="10" t="s">
        <v>183</v>
      </c>
      <c r="EI1" s="10" t="s">
        <v>337</v>
      </c>
      <c r="EJ1" s="10" t="s">
        <v>338</v>
      </c>
      <c r="EK1" s="10" t="s">
        <v>66</v>
      </c>
      <c r="EL1" s="10" t="s">
        <v>339</v>
      </c>
      <c r="EM1" s="10" t="s">
        <v>115</v>
      </c>
      <c r="EN1" s="10" t="s">
        <v>68</v>
      </c>
      <c r="EO1" s="10" t="s">
        <v>67</v>
      </c>
      <c r="EP1" s="10" t="s">
        <v>26</v>
      </c>
      <c r="EQ1" s="10" t="s">
        <v>340</v>
      </c>
      <c r="ER1" s="10" t="s">
        <v>341</v>
      </c>
      <c r="ES1" s="10" t="s">
        <v>342</v>
      </c>
      <c r="ET1" s="10" t="s">
        <v>343</v>
      </c>
      <c r="EU1" s="10" t="s">
        <v>95</v>
      </c>
      <c r="EV1" s="10" t="s">
        <v>27</v>
      </c>
      <c r="EW1" s="10" t="s">
        <v>29</v>
      </c>
      <c r="EX1" s="10" t="s">
        <v>30</v>
      </c>
      <c r="EY1" s="10" t="s">
        <v>344</v>
      </c>
      <c r="EZ1" s="10" t="s">
        <v>235</v>
      </c>
      <c r="FA1" s="10" t="s">
        <v>345</v>
      </c>
      <c r="FB1" s="10" t="s">
        <v>31</v>
      </c>
      <c r="FC1" s="10" t="s">
        <v>104</v>
      </c>
      <c r="FD1" s="10" t="s">
        <v>346</v>
      </c>
      <c r="FE1" s="10" t="s">
        <v>34</v>
      </c>
      <c r="FF1" s="10" t="s">
        <v>347</v>
      </c>
      <c r="FG1" s="10" t="s">
        <v>348</v>
      </c>
      <c r="FH1" s="10" t="s">
        <v>35</v>
      </c>
      <c r="FI1" s="10" t="s">
        <v>349</v>
      </c>
      <c r="FJ1" s="10" t="s">
        <v>350</v>
      </c>
      <c r="FK1" s="10" t="s">
        <v>351</v>
      </c>
      <c r="FL1" s="10" t="s">
        <v>352</v>
      </c>
      <c r="FM1" s="10" t="s">
        <v>353</v>
      </c>
      <c r="FN1" s="10" t="s">
        <v>354</v>
      </c>
      <c r="FO1" s="10" t="s">
        <v>109</v>
      </c>
      <c r="FP1" s="10" t="s">
        <v>111</v>
      </c>
      <c r="FQ1" s="10" t="s">
        <v>355</v>
      </c>
      <c r="FR1" s="10" t="s">
        <v>47</v>
      </c>
      <c r="FS1" s="10" t="s">
        <v>50</v>
      </c>
      <c r="FT1" s="10" t="s">
        <v>356</v>
      </c>
      <c r="FU1" s="10" t="s">
        <v>357</v>
      </c>
      <c r="FV1" s="10" t="s">
        <v>358</v>
      </c>
      <c r="FW1" s="10" t="s">
        <v>359</v>
      </c>
      <c r="FX1" s="10" t="s">
        <v>360</v>
      </c>
      <c r="FY1" s="10" t="s">
        <v>70</v>
      </c>
      <c r="FZ1" s="10" t="s">
        <v>69</v>
      </c>
      <c r="GA1" s="10" t="s">
        <v>361</v>
      </c>
      <c r="GB1" s="10" t="s">
        <v>362</v>
      </c>
      <c r="GC1" s="10" t="s">
        <v>363</v>
      </c>
      <c r="GD1" s="10" t="s">
        <v>126</v>
      </c>
      <c r="GE1" s="10" t="s">
        <v>364</v>
      </c>
      <c r="GF1" s="10" t="s">
        <v>365</v>
      </c>
      <c r="GG1" s="10" t="s">
        <v>366</v>
      </c>
      <c r="GH1" s="10" t="s">
        <v>79</v>
      </c>
      <c r="GI1" s="10" t="s">
        <v>367</v>
      </c>
      <c r="GJ1" s="10" t="s">
        <v>368</v>
      </c>
      <c r="GK1" s="10" t="s">
        <v>369</v>
      </c>
      <c r="GL1" s="10" t="s">
        <v>370</v>
      </c>
      <c r="GM1" s="10" t="s">
        <v>179</v>
      </c>
      <c r="GN1" s="10" t="s">
        <v>371</v>
      </c>
      <c r="GO1" s="10" t="s">
        <v>134</v>
      </c>
      <c r="GP1" s="10" t="s">
        <v>36</v>
      </c>
      <c r="GQ1" s="10" t="s">
        <v>241</v>
      </c>
      <c r="GR1" s="10" t="s">
        <v>372</v>
      </c>
      <c r="GS1" s="10" t="s">
        <v>373</v>
      </c>
      <c r="GT1" s="10" t="s">
        <v>148</v>
      </c>
      <c r="GU1" s="10" t="s">
        <v>374</v>
      </c>
      <c r="GV1" s="10" t="s">
        <v>135</v>
      </c>
      <c r="GW1" s="10" t="s">
        <v>375</v>
      </c>
      <c r="GX1" s="10" t="s">
        <v>71</v>
      </c>
      <c r="GY1" s="10" t="s">
        <v>73</v>
      </c>
      <c r="GZ1" s="10" t="s">
        <v>72</v>
      </c>
      <c r="HA1" s="10" t="s">
        <v>376</v>
      </c>
      <c r="HB1" s="10" t="s">
        <v>377</v>
      </c>
      <c r="HC1" s="10" t="s">
        <v>378</v>
      </c>
      <c r="HD1" s="10" t="s">
        <v>379</v>
      </c>
      <c r="HE1" s="10" t="s">
        <v>380</v>
      </c>
      <c r="HF1" s="10" t="s">
        <v>381</v>
      </c>
      <c r="HG1" s="10" t="s">
        <v>39</v>
      </c>
      <c r="HH1" s="10" t="s">
        <v>382</v>
      </c>
      <c r="HI1" s="10" t="s">
        <v>40</v>
      </c>
      <c r="HJ1" s="10" t="s">
        <v>383</v>
      </c>
      <c r="HK1" s="10" t="s">
        <v>384</v>
      </c>
      <c r="HL1" s="10" t="s">
        <v>198</v>
      </c>
      <c r="HM1" s="10" t="s">
        <v>206</v>
      </c>
      <c r="HN1" s="10" t="s">
        <v>42</v>
      </c>
      <c r="HO1" s="10" t="s">
        <v>385</v>
      </c>
      <c r="HP1" s="10" t="s">
        <v>224</v>
      </c>
      <c r="HQ1" s="10" t="s">
        <v>386</v>
      </c>
      <c r="HR1" s="10" t="s">
        <v>43</v>
      </c>
      <c r="HS1" s="10" t="s">
        <v>44</v>
      </c>
      <c r="HT1" s="10" t="s">
        <v>149</v>
      </c>
      <c r="HU1" s="10" t="s">
        <v>387</v>
      </c>
      <c r="HV1" s="10" t="s">
        <v>388</v>
      </c>
      <c r="HW1" s="10" t="s">
        <v>147</v>
      </c>
      <c r="HX1" s="10" t="s">
        <v>389</v>
      </c>
      <c r="HY1" s="10" t="s">
        <v>45</v>
      </c>
      <c r="HZ1" s="10" t="s">
        <v>51</v>
      </c>
      <c r="IA1" s="10" t="s">
        <v>390</v>
      </c>
      <c r="IB1" s="10" t="s">
        <v>391</v>
      </c>
      <c r="IC1" s="10" t="s">
        <v>392</v>
      </c>
      <c r="ID1" s="10" t="s">
        <v>393</v>
      </c>
      <c r="IE1" s="10" t="s">
        <v>394</v>
      </c>
      <c r="IF1" s="10" t="s">
        <v>395</v>
      </c>
      <c r="IG1" s="10" t="s">
        <v>396</v>
      </c>
      <c r="IH1" s="10" t="s">
        <v>397</v>
      </c>
      <c r="II1" s="10" t="s">
        <v>398</v>
      </c>
      <c r="IJ1" s="10" t="s">
        <v>399</v>
      </c>
      <c r="IK1" s="10" t="s">
        <v>400</v>
      </c>
    </row>
    <row r="2" spans="1:245" x14ac:dyDescent="0.25">
      <c r="A2" s="11">
        <v>46049.020833333336</v>
      </c>
      <c r="B2" s="12">
        <v>83.733739029999995</v>
      </c>
      <c r="C2" s="12">
        <v>80.110834999999994</v>
      </c>
      <c r="D2" s="12">
        <v>80.257929000000004</v>
      </c>
      <c r="E2" s="12">
        <v>80.172743999999994</v>
      </c>
      <c r="F2" s="12">
        <v>80.110834999999994</v>
      </c>
      <c r="G2" s="12">
        <v>79.919683000000006</v>
      </c>
      <c r="H2" s="12">
        <v>86.866839999999996</v>
      </c>
      <c r="I2" s="12">
        <v>86.552699000000004</v>
      </c>
      <c r="J2" s="12">
        <v>87.063855000000004</v>
      </c>
      <c r="K2" s="12">
        <v>79.889837</v>
      </c>
      <c r="L2" s="12">
        <v>80.895656000000002</v>
      </c>
      <c r="M2" s="12">
        <v>83.243992000000006</v>
      </c>
      <c r="N2" s="12">
        <v>81.830423999999994</v>
      </c>
      <c r="O2" s="12">
        <v>84.358739</v>
      </c>
      <c r="P2" s="12">
        <v>77.537510069999996</v>
      </c>
      <c r="Q2" s="12">
        <v>86.711322999999993</v>
      </c>
      <c r="R2" s="12">
        <v>80.846082999999993</v>
      </c>
      <c r="S2" s="12">
        <v>83.117176000000001</v>
      </c>
      <c r="T2" s="12">
        <v>71.705040499999996</v>
      </c>
      <c r="U2" s="12">
        <v>72.314921999999996</v>
      </c>
      <c r="V2" s="12">
        <v>82.113702000000004</v>
      </c>
      <c r="W2" s="12">
        <v>80.252244000000005</v>
      </c>
      <c r="X2" s="12">
        <v>77.236979000000005</v>
      </c>
      <c r="Y2" s="12">
        <v>78.900111999999993</v>
      </c>
      <c r="Z2" s="12">
        <v>85.748519999999999</v>
      </c>
      <c r="AA2" s="12">
        <v>77.071680000000001</v>
      </c>
      <c r="AB2" s="12">
        <v>80.684055000000001</v>
      </c>
      <c r="AC2" s="12">
        <v>80.415923000000006</v>
      </c>
      <c r="AD2" s="12">
        <v>80.073822000000007</v>
      </c>
      <c r="AE2" s="12">
        <v>75.481847999999999</v>
      </c>
      <c r="AF2" s="12">
        <v>81.186308999999994</v>
      </c>
      <c r="AG2" s="12">
        <v>82.479420219999994</v>
      </c>
      <c r="AH2" s="12">
        <v>81.880161000000001</v>
      </c>
      <c r="AI2" s="12">
        <v>81.895234000000002</v>
      </c>
      <c r="AJ2" s="12">
        <v>74.283411000000001</v>
      </c>
      <c r="AK2" s="12">
        <v>82.301885999999996</v>
      </c>
      <c r="AL2" s="12">
        <v>76.847765330000001</v>
      </c>
      <c r="AM2" s="12">
        <v>77.254450000000006</v>
      </c>
      <c r="AN2" s="12">
        <v>85.482361999999995</v>
      </c>
      <c r="AO2" s="12">
        <v>76.407428999999993</v>
      </c>
      <c r="AP2" s="12">
        <v>70.890248999999997</v>
      </c>
      <c r="AQ2" s="12">
        <v>71.217015000000004</v>
      </c>
      <c r="AR2" s="12">
        <v>86.897504999999995</v>
      </c>
      <c r="AS2" s="12">
        <v>84.360810000000001</v>
      </c>
      <c r="AT2" s="12">
        <v>84.360810000000001</v>
      </c>
      <c r="AU2" s="12">
        <v>85.228892999999999</v>
      </c>
      <c r="AV2" s="12">
        <v>80.58739700000001</v>
      </c>
      <c r="AW2" s="12">
        <v>75.563377500000001</v>
      </c>
      <c r="AX2" s="12">
        <v>76.014911999999995</v>
      </c>
      <c r="AY2" s="12">
        <v>84.109887999999998</v>
      </c>
      <c r="AZ2" s="12">
        <v>79.902692999999999</v>
      </c>
      <c r="BA2" s="12">
        <v>79.6554</v>
      </c>
      <c r="BB2" s="12">
        <v>79.403576999999999</v>
      </c>
      <c r="BC2" s="12">
        <v>79.651872999999995</v>
      </c>
      <c r="BD2" s="12">
        <v>79.243071</v>
      </c>
      <c r="BE2" s="12">
        <v>79.651872999999995</v>
      </c>
      <c r="BF2" s="12">
        <v>84.826819999999998</v>
      </c>
      <c r="BG2" s="12">
        <v>85.298764000000006</v>
      </c>
      <c r="BH2" s="12">
        <v>85.298764000000006</v>
      </c>
      <c r="BI2" s="12">
        <v>85.298764000000006</v>
      </c>
      <c r="BJ2" s="12">
        <v>77.290616999999997</v>
      </c>
      <c r="BK2" s="12">
        <v>77.810086999999996</v>
      </c>
      <c r="BL2" s="12">
        <v>82.273398999999998</v>
      </c>
      <c r="BM2" s="12">
        <v>82.084940000000003</v>
      </c>
      <c r="BN2" s="12">
        <v>81.365037999999998</v>
      </c>
      <c r="BO2" s="12">
        <v>79.565028999999996</v>
      </c>
      <c r="BP2" s="12">
        <v>83.438174000000004</v>
      </c>
      <c r="BQ2" s="12">
        <v>74.310737000000003</v>
      </c>
      <c r="BR2" s="12">
        <v>74.349081339999998</v>
      </c>
      <c r="BS2" s="12">
        <v>81.067229999999995</v>
      </c>
      <c r="BT2" s="12">
        <v>77.605170999999999</v>
      </c>
      <c r="BU2" s="12">
        <v>83.856557219999999</v>
      </c>
      <c r="BV2" s="12">
        <v>84.091374999999999</v>
      </c>
      <c r="BW2" s="12">
        <v>85.417160999999993</v>
      </c>
      <c r="BX2" s="12">
        <v>81.796910999999994</v>
      </c>
      <c r="BY2" s="12">
        <v>81.796910999999994</v>
      </c>
      <c r="BZ2" s="12">
        <v>82.727007</v>
      </c>
      <c r="CA2" s="12">
        <v>82.469673</v>
      </c>
      <c r="CB2" s="12">
        <v>81.148877999999996</v>
      </c>
      <c r="CC2" s="12">
        <v>81.526458000000005</v>
      </c>
      <c r="CD2" s="12">
        <v>81.185424999999995</v>
      </c>
      <c r="CE2" s="12">
        <v>81.899255999999994</v>
      </c>
      <c r="CF2" s="12">
        <v>81.651263999999998</v>
      </c>
      <c r="CG2" s="12">
        <v>84.091374999999999</v>
      </c>
      <c r="CH2" s="12">
        <v>79.916270999999995</v>
      </c>
      <c r="CI2" s="12">
        <v>79.903671000000003</v>
      </c>
      <c r="CJ2" s="12">
        <v>81.877503000000004</v>
      </c>
      <c r="CK2" s="12">
        <v>84.532255000000006</v>
      </c>
      <c r="CL2" s="12">
        <v>85.316241000000005</v>
      </c>
      <c r="CM2" s="12">
        <v>84.143472000000003</v>
      </c>
      <c r="CN2" s="12">
        <v>83.994102999999996</v>
      </c>
      <c r="CO2" s="12">
        <v>84.913891000000007</v>
      </c>
      <c r="CP2" s="12">
        <v>78.729923999999997</v>
      </c>
      <c r="CQ2" s="12">
        <v>78.356329000000002</v>
      </c>
      <c r="CR2" s="12">
        <v>80.268867450000002</v>
      </c>
      <c r="CS2" s="12">
        <v>82.800871000000001</v>
      </c>
      <c r="CT2" s="12">
        <v>78.398921000000001</v>
      </c>
      <c r="CU2" s="12">
        <v>86.733221760000006</v>
      </c>
      <c r="CV2" s="12">
        <v>78.821286999999998</v>
      </c>
      <c r="CW2" s="12">
        <v>79.137704999999997</v>
      </c>
      <c r="CX2" s="12">
        <v>87.903551800000002</v>
      </c>
      <c r="CY2" s="12">
        <v>77.637067999999999</v>
      </c>
      <c r="CZ2" s="12">
        <v>78.460711669999995</v>
      </c>
      <c r="DA2" s="12">
        <v>78.875820000000004</v>
      </c>
      <c r="DB2" s="12">
        <v>81.614592999999999</v>
      </c>
      <c r="DC2" s="12">
        <v>86.956451000000001</v>
      </c>
      <c r="DD2" s="12">
        <v>87.137086999999994</v>
      </c>
      <c r="DE2" s="12">
        <v>85.417160999999993</v>
      </c>
      <c r="DF2" s="12">
        <v>85.093496999999999</v>
      </c>
      <c r="DG2" s="12">
        <v>81.310502999999997</v>
      </c>
      <c r="DH2" s="12">
        <v>81.796910999999994</v>
      </c>
      <c r="DI2" s="12">
        <v>80.5260435</v>
      </c>
      <c r="DJ2" s="12">
        <v>85.511653999999993</v>
      </c>
      <c r="DK2" s="12">
        <v>83.840813780000005</v>
      </c>
      <c r="DL2" s="12">
        <v>83.698522999999994</v>
      </c>
      <c r="DM2" s="12">
        <v>83.602267999999995</v>
      </c>
      <c r="DN2" s="12">
        <v>79.008157670000003</v>
      </c>
      <c r="DO2" s="12">
        <v>84.328715000000003</v>
      </c>
      <c r="DP2" s="12">
        <v>83.933285999999995</v>
      </c>
      <c r="DQ2" s="12">
        <v>81.082443999999995</v>
      </c>
      <c r="DR2" s="12">
        <v>71.637547999999995</v>
      </c>
      <c r="DS2" s="12">
        <v>83.869004000000004</v>
      </c>
      <c r="DT2" s="12">
        <v>79.059467999999995</v>
      </c>
      <c r="DU2" s="12">
        <v>79.354782999999998</v>
      </c>
      <c r="DV2" s="12">
        <v>79.627161999999998</v>
      </c>
      <c r="DW2" s="12">
        <v>85.810334999999995</v>
      </c>
      <c r="DX2" s="12">
        <v>86.015781000000004</v>
      </c>
      <c r="DY2" s="12">
        <v>76.860099000000005</v>
      </c>
      <c r="DZ2" s="12">
        <v>75.036793000000003</v>
      </c>
      <c r="EA2" s="12">
        <v>75.036793000000003</v>
      </c>
      <c r="EB2" s="12">
        <v>75.493155920000007</v>
      </c>
      <c r="EC2" s="12">
        <v>82.059272000000007</v>
      </c>
      <c r="ED2" s="12">
        <v>82.242908999999997</v>
      </c>
      <c r="EE2" s="12">
        <v>77.714966000000004</v>
      </c>
      <c r="EF2" s="12">
        <v>78.226652999999999</v>
      </c>
      <c r="EG2" s="12">
        <v>75.110264999999998</v>
      </c>
      <c r="EH2" s="12">
        <v>78.857211000000007</v>
      </c>
      <c r="EI2" s="12">
        <v>94.909634629999999</v>
      </c>
      <c r="EJ2" s="12">
        <v>87.445837999999995</v>
      </c>
      <c r="EK2" s="12">
        <v>87.445837999999995</v>
      </c>
      <c r="EL2" s="12">
        <v>78.698097000000004</v>
      </c>
      <c r="EM2" s="12">
        <v>85.200230000000005</v>
      </c>
      <c r="EN2" s="12">
        <v>85.511653999999993</v>
      </c>
      <c r="EO2" s="12">
        <v>85.417160999999993</v>
      </c>
      <c r="EP2" s="12">
        <v>79.135710000000003</v>
      </c>
      <c r="EQ2" s="12">
        <v>82.022042999999996</v>
      </c>
      <c r="ER2" s="12">
        <v>84.304242000000002</v>
      </c>
      <c r="ES2" s="12">
        <v>79.608429000000001</v>
      </c>
      <c r="ET2" s="12">
        <v>79.847423000000006</v>
      </c>
      <c r="EU2" s="12">
        <v>81.284790630000003</v>
      </c>
      <c r="EV2" s="12">
        <v>77.451696999999996</v>
      </c>
      <c r="EW2" s="12">
        <v>76.770195999999999</v>
      </c>
      <c r="EX2" s="12">
        <v>78.152550000000005</v>
      </c>
      <c r="EY2" s="12">
        <v>81.517948000000004</v>
      </c>
      <c r="EZ2" s="12">
        <v>78.712659000000002</v>
      </c>
      <c r="FA2" s="12">
        <v>76.443261000000007</v>
      </c>
      <c r="FB2" s="12">
        <v>75.479923999999997</v>
      </c>
      <c r="FC2" s="12">
        <v>78.517302999999998</v>
      </c>
      <c r="FD2" s="12">
        <v>78.799312999999998</v>
      </c>
      <c r="FE2" s="12">
        <v>78.917372999999998</v>
      </c>
      <c r="FF2" s="12">
        <v>86.686596210000005</v>
      </c>
      <c r="FG2" s="12">
        <v>78.732294999999993</v>
      </c>
      <c r="FH2" s="12">
        <v>84.463172999999998</v>
      </c>
      <c r="FI2" s="12">
        <v>80.368167</v>
      </c>
      <c r="FJ2" s="12">
        <v>96.414007479999995</v>
      </c>
      <c r="FK2" s="12">
        <v>83.200894579999996</v>
      </c>
      <c r="FL2" s="12">
        <v>87.491924999999995</v>
      </c>
      <c r="FM2" s="12">
        <v>75.001186500000003</v>
      </c>
      <c r="FN2" s="12">
        <v>75.497375000000005</v>
      </c>
      <c r="FO2" s="12">
        <v>78.403791999999996</v>
      </c>
      <c r="FP2" s="12">
        <v>81.881428999999997</v>
      </c>
      <c r="FQ2" s="12">
        <v>82.736355149999994</v>
      </c>
      <c r="FR2" s="12">
        <v>82.544357000000005</v>
      </c>
      <c r="FS2" s="12">
        <v>82.727007</v>
      </c>
      <c r="FT2" s="12">
        <v>84.827804999999998</v>
      </c>
      <c r="FU2" s="12">
        <v>84.827804999999998</v>
      </c>
      <c r="FV2" s="12">
        <v>79.850885000000005</v>
      </c>
      <c r="FW2" s="12">
        <v>79.850885000000005</v>
      </c>
      <c r="FX2" s="12">
        <v>79.315946999999994</v>
      </c>
      <c r="FY2" s="12">
        <v>83.850010999999995</v>
      </c>
      <c r="FZ2" s="12">
        <v>83.780727999999996</v>
      </c>
      <c r="GA2" s="12">
        <v>81.393056000000001</v>
      </c>
      <c r="GB2" s="12">
        <v>81.191922000000005</v>
      </c>
      <c r="GC2" s="12">
        <v>80.412448459999993</v>
      </c>
      <c r="GD2" s="12">
        <v>81.211830000000006</v>
      </c>
      <c r="GE2" s="12">
        <v>80.188647000000003</v>
      </c>
      <c r="GF2" s="12">
        <v>84.091374999999999</v>
      </c>
      <c r="GG2" s="12">
        <v>84.091374999999999</v>
      </c>
      <c r="GH2" s="12">
        <v>86.461271999999994</v>
      </c>
      <c r="GI2" s="12">
        <v>77.044898329999995</v>
      </c>
      <c r="GJ2" s="12">
        <v>85.200230000000005</v>
      </c>
      <c r="GK2" s="12">
        <v>85.093496999999999</v>
      </c>
      <c r="GL2" s="12">
        <v>87.813430109999999</v>
      </c>
      <c r="GM2" s="12">
        <v>73.090220000000002</v>
      </c>
      <c r="GN2" s="12">
        <v>87.813430109999999</v>
      </c>
      <c r="GO2" s="12">
        <v>84.827804999999998</v>
      </c>
      <c r="GP2" s="12">
        <v>80.108063000000001</v>
      </c>
      <c r="GQ2" s="12">
        <v>84.971733</v>
      </c>
      <c r="GR2" s="12">
        <v>83.462012000000001</v>
      </c>
      <c r="GS2" s="12">
        <v>78.362778000000006</v>
      </c>
      <c r="GT2" s="12">
        <v>74.667382000000003</v>
      </c>
      <c r="GU2" s="12">
        <v>80.576594999999998</v>
      </c>
      <c r="GV2" s="12">
        <v>78.270776999999995</v>
      </c>
      <c r="GW2" s="12">
        <v>83.861311000000001</v>
      </c>
      <c r="GX2" s="12">
        <v>84.348367999999994</v>
      </c>
      <c r="GY2" s="12">
        <v>85.088977</v>
      </c>
      <c r="GZ2" s="12">
        <v>84.945563000000007</v>
      </c>
      <c r="HA2" s="12">
        <v>80.576594999999998</v>
      </c>
      <c r="HB2" s="12">
        <v>80.576594999999998</v>
      </c>
      <c r="HC2" s="12">
        <v>80.576594999999998</v>
      </c>
      <c r="HD2" s="12">
        <v>84.971733</v>
      </c>
      <c r="HE2" s="12">
        <v>84.155171999999993</v>
      </c>
      <c r="HF2" s="12">
        <v>84.304242000000002</v>
      </c>
      <c r="HG2" s="12">
        <v>84.304242000000002</v>
      </c>
      <c r="HH2" s="12">
        <v>84.304242000000002</v>
      </c>
      <c r="HI2" s="12">
        <v>79.628686999999999</v>
      </c>
      <c r="HJ2" s="12">
        <v>85.775699000000003</v>
      </c>
      <c r="HK2" s="12">
        <v>85.516604999999998</v>
      </c>
      <c r="HL2" s="12">
        <v>83.501614000000004</v>
      </c>
      <c r="HM2" s="12">
        <v>87.472114000000005</v>
      </c>
      <c r="HN2" s="12">
        <v>83.100662999999997</v>
      </c>
      <c r="HO2" s="12">
        <v>71.734177149999994</v>
      </c>
      <c r="HP2" s="12">
        <v>84.491315999999998</v>
      </c>
      <c r="HQ2" s="12">
        <v>80.163838999999996</v>
      </c>
      <c r="HR2" s="12">
        <v>80.339911999999998</v>
      </c>
      <c r="HS2" s="12">
        <v>78.418439000000006</v>
      </c>
      <c r="HT2" s="12">
        <v>78.598815999999999</v>
      </c>
      <c r="HU2" s="12">
        <v>74.370726840000003</v>
      </c>
      <c r="HV2" s="12">
        <v>73.041432999999998</v>
      </c>
      <c r="HW2" s="12">
        <v>73.426212000000007</v>
      </c>
      <c r="HX2" s="12">
        <v>78.308872890000004</v>
      </c>
      <c r="HY2" s="12">
        <v>80.402299999999997</v>
      </c>
      <c r="HZ2" s="12">
        <v>85.857844999999998</v>
      </c>
      <c r="IA2" s="12"/>
      <c r="IB2" s="12"/>
      <c r="IC2" s="12"/>
      <c r="ID2" s="12"/>
      <c r="IE2" s="12"/>
      <c r="IF2" s="12"/>
      <c r="IG2" s="12"/>
      <c r="IH2" s="12"/>
      <c r="II2" s="12"/>
      <c r="IJ2" s="12"/>
      <c r="IK2" s="12"/>
    </row>
    <row r="3" spans="1:245" x14ac:dyDescent="0.25">
      <c r="A3" s="11">
        <v>46049.041666666664</v>
      </c>
      <c r="B3" s="12">
        <v>81.251466030000003</v>
      </c>
      <c r="C3" s="12">
        <v>77.540132999999997</v>
      </c>
      <c r="D3" s="12">
        <v>77.678939999999997</v>
      </c>
      <c r="E3" s="12">
        <v>77.599061000000006</v>
      </c>
      <c r="F3" s="12">
        <v>77.540132999999997</v>
      </c>
      <c r="G3" s="12">
        <v>77.619573000000003</v>
      </c>
      <c r="H3" s="12">
        <v>84.131317999999993</v>
      </c>
      <c r="I3" s="12">
        <v>83.805980000000005</v>
      </c>
      <c r="J3" s="12">
        <v>84.344026999999997</v>
      </c>
      <c r="K3" s="12">
        <v>77.700484000000003</v>
      </c>
      <c r="L3" s="12">
        <v>78.297113999999993</v>
      </c>
      <c r="M3" s="12">
        <v>80.610802000000007</v>
      </c>
      <c r="N3" s="12">
        <v>79.218233999999995</v>
      </c>
      <c r="O3" s="12">
        <v>81.75488</v>
      </c>
      <c r="P3" s="12">
        <v>75.256113240000005</v>
      </c>
      <c r="Q3" s="12">
        <v>84.061937999999998</v>
      </c>
      <c r="R3" s="12">
        <v>78.321940999999995</v>
      </c>
      <c r="S3" s="12">
        <v>80.577552999999995</v>
      </c>
      <c r="T3" s="12">
        <v>69.398593000000005</v>
      </c>
      <c r="U3" s="12">
        <v>70.003930999999994</v>
      </c>
      <c r="V3" s="12">
        <v>79.635344000000003</v>
      </c>
      <c r="W3" s="12">
        <v>77.833457999999993</v>
      </c>
      <c r="X3" s="12">
        <v>74.762551999999999</v>
      </c>
      <c r="Y3" s="12">
        <v>76.511926000000003</v>
      </c>
      <c r="Z3" s="12">
        <v>83.052807999999999</v>
      </c>
      <c r="AA3" s="12">
        <v>74.796351999999999</v>
      </c>
      <c r="AB3" s="12">
        <v>78.593490000000003</v>
      </c>
      <c r="AC3" s="12">
        <v>78.008308</v>
      </c>
      <c r="AD3" s="12">
        <v>77.667203999999998</v>
      </c>
      <c r="AE3" s="12">
        <v>73.137422000000001</v>
      </c>
      <c r="AF3" s="12">
        <v>78.694851</v>
      </c>
      <c r="AG3" s="12">
        <v>79.963600060000005</v>
      </c>
      <c r="AH3" s="12">
        <v>79.376320000000007</v>
      </c>
      <c r="AI3" s="12">
        <v>79.398061999999996</v>
      </c>
      <c r="AJ3" s="12">
        <v>71.992133999999993</v>
      </c>
      <c r="AK3" s="12">
        <v>79.818291000000002</v>
      </c>
      <c r="AL3" s="12">
        <v>74.547504329999995</v>
      </c>
      <c r="AM3" s="12">
        <v>74.950125</v>
      </c>
      <c r="AN3" s="12">
        <v>82.861185000000006</v>
      </c>
      <c r="AO3" s="12">
        <v>74.069757999999993</v>
      </c>
      <c r="AP3" s="12">
        <v>68.687258999999997</v>
      </c>
      <c r="AQ3" s="12">
        <v>69.003755999999996</v>
      </c>
      <c r="AR3" s="12">
        <v>84.193788999999995</v>
      </c>
      <c r="AS3" s="12">
        <v>81.743291999999997</v>
      </c>
      <c r="AT3" s="12">
        <v>81.743291999999997</v>
      </c>
      <c r="AU3" s="12">
        <v>82.576436999999999</v>
      </c>
      <c r="AV3" s="12">
        <v>78.152762999999993</v>
      </c>
      <c r="AW3" s="12">
        <v>73.224834000000001</v>
      </c>
      <c r="AX3" s="12">
        <v>73.666573</v>
      </c>
      <c r="AY3" s="12">
        <v>81.588093000000001</v>
      </c>
      <c r="AZ3" s="12">
        <v>77.575706999999994</v>
      </c>
      <c r="BA3" s="12">
        <v>77.366253</v>
      </c>
      <c r="BB3" s="12">
        <v>77.122523000000001</v>
      </c>
      <c r="BC3" s="12">
        <v>77.362838999999994</v>
      </c>
      <c r="BD3" s="12">
        <v>77.015574000000001</v>
      </c>
      <c r="BE3" s="12">
        <v>77.362838999999994</v>
      </c>
      <c r="BF3" s="12">
        <v>82.186600999999996</v>
      </c>
      <c r="BG3" s="12">
        <v>82.638861000000006</v>
      </c>
      <c r="BH3" s="12">
        <v>82.638861000000006</v>
      </c>
      <c r="BI3" s="12">
        <v>82.638861000000006</v>
      </c>
      <c r="BJ3" s="12">
        <v>74.983041999999998</v>
      </c>
      <c r="BK3" s="12">
        <v>75.489080000000001</v>
      </c>
      <c r="BL3" s="12">
        <v>80.001661999999996</v>
      </c>
      <c r="BM3" s="12">
        <v>79.75488</v>
      </c>
      <c r="BN3" s="12">
        <v>79.427334000000002</v>
      </c>
      <c r="BO3" s="12">
        <v>77.511456999999993</v>
      </c>
      <c r="BP3" s="12">
        <v>80.800196</v>
      </c>
      <c r="BQ3" s="12">
        <v>72.025176000000002</v>
      </c>
      <c r="BR3" s="12">
        <v>72.062340989999996</v>
      </c>
      <c r="BS3" s="12">
        <v>78.591986000000006</v>
      </c>
      <c r="BT3" s="12">
        <v>75.198360500000007</v>
      </c>
      <c r="BU3" s="12">
        <v>81.912177249999999</v>
      </c>
      <c r="BV3" s="12">
        <v>81.573992000000004</v>
      </c>
      <c r="BW3" s="12">
        <v>82.819143999999994</v>
      </c>
      <c r="BX3" s="12">
        <v>79.900288000000003</v>
      </c>
      <c r="BY3" s="12">
        <v>79.900288000000003</v>
      </c>
      <c r="BZ3" s="12">
        <v>80.008915000000002</v>
      </c>
      <c r="CA3" s="12">
        <v>79.858946000000003</v>
      </c>
      <c r="CB3" s="12">
        <v>79.151077999999998</v>
      </c>
      <c r="CC3" s="12">
        <v>78.948941000000005</v>
      </c>
      <c r="CD3" s="12">
        <v>78.633381</v>
      </c>
      <c r="CE3" s="12">
        <v>79.320849999999993</v>
      </c>
      <c r="CF3" s="12">
        <v>79.23218</v>
      </c>
      <c r="CG3" s="12">
        <v>81.573992000000004</v>
      </c>
      <c r="CH3" s="12">
        <v>77.588446000000005</v>
      </c>
      <c r="CI3" s="12">
        <v>77.576625000000007</v>
      </c>
      <c r="CJ3" s="12">
        <v>79.47193</v>
      </c>
      <c r="CK3" s="12">
        <v>81.862448000000001</v>
      </c>
      <c r="CL3" s="12">
        <v>82.620095000000006</v>
      </c>
      <c r="CM3" s="12">
        <v>81.687707000000003</v>
      </c>
      <c r="CN3" s="12">
        <v>81.499915999999999</v>
      </c>
      <c r="CO3" s="12">
        <v>82.351356999999993</v>
      </c>
      <c r="CP3" s="12">
        <v>76.322421000000006</v>
      </c>
      <c r="CQ3" s="12">
        <v>75.943271999999993</v>
      </c>
      <c r="CR3" s="12">
        <v>77.767696290000004</v>
      </c>
      <c r="CS3" s="12">
        <v>80.341564000000005</v>
      </c>
      <c r="CT3" s="12">
        <v>76.214918999999995</v>
      </c>
      <c r="CU3" s="12">
        <v>83.838161619999994</v>
      </c>
      <c r="CV3" s="12">
        <v>76.285704999999993</v>
      </c>
      <c r="CW3" s="12">
        <v>76.770574999999994</v>
      </c>
      <c r="CX3" s="12">
        <v>85.140091170000005</v>
      </c>
      <c r="CY3" s="12">
        <v>75.321133000000003</v>
      </c>
      <c r="CZ3" s="12">
        <v>76.047607999999997</v>
      </c>
      <c r="DA3" s="12">
        <v>76.464248999999995</v>
      </c>
      <c r="DB3" s="12">
        <v>79.773876000000001</v>
      </c>
      <c r="DC3" s="12">
        <v>84.291619999999995</v>
      </c>
      <c r="DD3" s="12">
        <v>84.470027999999999</v>
      </c>
      <c r="DE3" s="12">
        <v>82.819143999999994</v>
      </c>
      <c r="DF3" s="12">
        <v>82.508053000000004</v>
      </c>
      <c r="DG3" s="12">
        <v>79.450164999999998</v>
      </c>
      <c r="DH3" s="12">
        <v>79.900288000000003</v>
      </c>
      <c r="DI3" s="12">
        <v>78.133118499999995</v>
      </c>
      <c r="DJ3" s="12">
        <v>82.908823999999996</v>
      </c>
      <c r="DK3" s="12">
        <v>81.186680839999994</v>
      </c>
      <c r="DL3" s="12">
        <v>81.047128000000001</v>
      </c>
      <c r="DM3" s="12">
        <v>80.971582999999995</v>
      </c>
      <c r="DN3" s="12">
        <v>76.789231999999998</v>
      </c>
      <c r="DO3" s="12">
        <v>81.872127000000006</v>
      </c>
      <c r="DP3" s="12">
        <v>81.467955000000003</v>
      </c>
      <c r="DQ3" s="12">
        <v>78.640584000000004</v>
      </c>
      <c r="DR3" s="12">
        <v>69.407258999999996</v>
      </c>
      <c r="DS3" s="12">
        <v>81.410184999999998</v>
      </c>
      <c r="DT3" s="12">
        <v>76.907521000000003</v>
      </c>
      <c r="DU3" s="12">
        <v>77.134798000000004</v>
      </c>
      <c r="DV3" s="12">
        <v>77.197299000000001</v>
      </c>
      <c r="DW3" s="12">
        <v>83.196545999999998</v>
      </c>
      <c r="DX3" s="12">
        <v>83.400794000000005</v>
      </c>
      <c r="DY3" s="12">
        <v>74.504698000000005</v>
      </c>
      <c r="DZ3" s="12">
        <v>72.730914999999996</v>
      </c>
      <c r="EA3" s="12">
        <v>72.730914999999996</v>
      </c>
      <c r="EB3" s="12">
        <v>73.123767950000001</v>
      </c>
      <c r="EC3" s="12">
        <v>79.655958999999996</v>
      </c>
      <c r="ED3" s="12">
        <v>79.829355000000007</v>
      </c>
      <c r="EE3" s="12">
        <v>75.379363999999995</v>
      </c>
      <c r="EF3" s="12">
        <v>75.868330999999998</v>
      </c>
      <c r="EG3" s="12">
        <v>72.494861999999998</v>
      </c>
      <c r="EH3" s="12">
        <v>76.445808999999997</v>
      </c>
      <c r="EI3" s="12">
        <v>91.925920849999997</v>
      </c>
      <c r="EJ3" s="12">
        <v>84.729639000000006</v>
      </c>
      <c r="EK3" s="12">
        <v>84.729639000000006</v>
      </c>
      <c r="EL3" s="12">
        <v>76.457545999999994</v>
      </c>
      <c r="EM3" s="12">
        <v>82.612127999999998</v>
      </c>
      <c r="EN3" s="12">
        <v>82.908823999999996</v>
      </c>
      <c r="EO3" s="12">
        <v>82.819143999999994</v>
      </c>
      <c r="EP3" s="12">
        <v>77.056236999999996</v>
      </c>
      <c r="EQ3" s="12">
        <v>79.787733000000003</v>
      </c>
      <c r="ER3" s="12">
        <v>81.846101000000004</v>
      </c>
      <c r="ES3" s="12">
        <v>77.291016999999997</v>
      </c>
      <c r="ET3" s="12">
        <v>77.522236000000007</v>
      </c>
      <c r="EU3" s="12">
        <v>78.813939270000006</v>
      </c>
      <c r="EV3" s="12">
        <v>75.094126000000003</v>
      </c>
      <c r="EW3" s="12">
        <v>74.420801999999995</v>
      </c>
      <c r="EX3" s="12">
        <v>75.795518999999999</v>
      </c>
      <c r="EY3" s="12">
        <v>78.796968000000007</v>
      </c>
      <c r="EZ3" s="12">
        <v>76.219508000000005</v>
      </c>
      <c r="FA3" s="12">
        <v>74.066547999999997</v>
      </c>
      <c r="FB3" s="12">
        <v>73.132752999999994</v>
      </c>
      <c r="FC3" s="12">
        <v>76.155974000000001</v>
      </c>
      <c r="FD3" s="12">
        <v>76.404867999999993</v>
      </c>
      <c r="FE3" s="12">
        <v>76.509079999999997</v>
      </c>
      <c r="FF3" s="12">
        <v>83.950793559999994</v>
      </c>
      <c r="FG3" s="12">
        <v>76.208162999999999</v>
      </c>
      <c r="FH3" s="12">
        <v>81.992652000000007</v>
      </c>
      <c r="FI3" s="12">
        <v>77.991096999999996</v>
      </c>
      <c r="FJ3" s="12">
        <v>93.563739650000002</v>
      </c>
      <c r="FK3" s="12">
        <v>80.883615239999997</v>
      </c>
      <c r="FL3" s="12">
        <v>85.004797999999994</v>
      </c>
      <c r="FM3" s="12">
        <v>73.103834000000006</v>
      </c>
      <c r="FN3" s="12">
        <v>73.561130000000006</v>
      </c>
      <c r="FO3" s="12">
        <v>76.045545000000004</v>
      </c>
      <c r="FP3" s="12">
        <v>79.472673</v>
      </c>
      <c r="FQ3" s="12">
        <v>80.017956010000006</v>
      </c>
      <c r="FR3" s="12">
        <v>79.836517999999998</v>
      </c>
      <c r="FS3" s="12">
        <v>80.008915000000002</v>
      </c>
      <c r="FT3" s="12">
        <v>82.258617000000001</v>
      </c>
      <c r="FU3" s="12">
        <v>82.258617000000001</v>
      </c>
      <c r="FV3" s="12">
        <v>76.911131999999995</v>
      </c>
      <c r="FW3" s="12">
        <v>76.911131999999995</v>
      </c>
      <c r="FX3" s="12">
        <v>76.412411000000006</v>
      </c>
      <c r="FY3" s="12">
        <v>81.225567999999996</v>
      </c>
      <c r="FZ3" s="12">
        <v>81.158248</v>
      </c>
      <c r="GA3" s="12">
        <v>79.457336999999995</v>
      </c>
      <c r="GB3" s="12">
        <v>79.322882000000007</v>
      </c>
      <c r="GC3" s="12">
        <v>77.956445770000002</v>
      </c>
      <c r="GD3" s="12">
        <v>78.656423000000004</v>
      </c>
      <c r="GE3" s="12">
        <v>77.768820000000005</v>
      </c>
      <c r="GF3" s="12">
        <v>81.573992000000004</v>
      </c>
      <c r="GG3" s="12">
        <v>81.573992000000004</v>
      </c>
      <c r="GH3" s="12">
        <v>83.767474000000007</v>
      </c>
      <c r="GI3" s="12">
        <v>74.770075329999997</v>
      </c>
      <c r="GJ3" s="12">
        <v>82.612127999999998</v>
      </c>
      <c r="GK3" s="12">
        <v>82.508053000000004</v>
      </c>
      <c r="GL3" s="12">
        <v>85.052802670000005</v>
      </c>
      <c r="GM3" s="12">
        <v>70.630900999999994</v>
      </c>
      <c r="GN3" s="12">
        <v>85.052802670000005</v>
      </c>
      <c r="GO3" s="12">
        <v>82.258617000000001</v>
      </c>
      <c r="GP3" s="12">
        <v>77.772481999999997</v>
      </c>
      <c r="GQ3" s="12">
        <v>82.398391000000004</v>
      </c>
      <c r="GR3" s="12">
        <v>81.037912000000006</v>
      </c>
      <c r="GS3" s="12">
        <v>76.014509000000004</v>
      </c>
      <c r="GT3" s="12">
        <v>72.312780000000004</v>
      </c>
      <c r="GU3" s="12">
        <v>78.16498</v>
      </c>
      <c r="GV3" s="12">
        <v>75.873814999999993</v>
      </c>
      <c r="GW3" s="12">
        <v>81.382136000000003</v>
      </c>
      <c r="GX3" s="12">
        <v>81.729114999999993</v>
      </c>
      <c r="GY3" s="12">
        <v>82.489853999999994</v>
      </c>
      <c r="GZ3" s="12">
        <v>82.356534999999994</v>
      </c>
      <c r="HA3" s="12">
        <v>78.16498</v>
      </c>
      <c r="HB3" s="12">
        <v>78.16498</v>
      </c>
      <c r="HC3" s="12">
        <v>78.16498</v>
      </c>
      <c r="HD3" s="12">
        <v>82.398391000000004</v>
      </c>
      <c r="HE3" s="12">
        <v>81.696111000000002</v>
      </c>
      <c r="HF3" s="12">
        <v>81.846101000000004</v>
      </c>
      <c r="HG3" s="12">
        <v>81.846101000000004</v>
      </c>
      <c r="HH3" s="12">
        <v>81.846101000000004</v>
      </c>
      <c r="HI3" s="12">
        <v>77.082068000000007</v>
      </c>
      <c r="HJ3" s="12">
        <v>83.090542999999997</v>
      </c>
      <c r="HK3" s="12">
        <v>82.840120999999996</v>
      </c>
      <c r="HL3" s="12">
        <v>80.815882000000002</v>
      </c>
      <c r="HM3" s="12">
        <v>84.788246999999998</v>
      </c>
      <c r="HN3" s="12">
        <v>80.660770999999997</v>
      </c>
      <c r="HO3" s="12">
        <v>69.32048589</v>
      </c>
      <c r="HP3" s="12">
        <v>82.016737000000006</v>
      </c>
      <c r="HQ3" s="12">
        <v>77.730222499999996</v>
      </c>
      <c r="HR3" s="12">
        <v>77.900977999999995</v>
      </c>
      <c r="HS3" s="12">
        <v>75.957057000000006</v>
      </c>
      <c r="HT3" s="12">
        <v>76.256787000000003</v>
      </c>
      <c r="HU3" s="12">
        <v>72.096524869999996</v>
      </c>
      <c r="HV3" s="12">
        <v>70.7130765</v>
      </c>
      <c r="HW3" s="12">
        <v>71.092153999999994</v>
      </c>
      <c r="HX3" s="12">
        <v>75.953661449999998</v>
      </c>
      <c r="HY3" s="12">
        <v>77.986896999999999</v>
      </c>
      <c r="HZ3" s="12">
        <v>83.282053000000005</v>
      </c>
      <c r="IA3" s="12"/>
      <c r="IB3" s="12"/>
      <c r="IC3" s="12"/>
      <c r="ID3" s="12"/>
      <c r="IE3" s="12"/>
      <c r="IF3" s="12"/>
      <c r="IG3" s="12"/>
      <c r="IH3" s="12"/>
      <c r="II3" s="12"/>
      <c r="IJ3" s="12"/>
      <c r="IK3" s="12"/>
    </row>
    <row r="4" spans="1:245" x14ac:dyDescent="0.25">
      <c r="A4" s="11">
        <v>46049.0625</v>
      </c>
      <c r="B4" s="12">
        <v>79.140574790000002</v>
      </c>
      <c r="C4" s="12">
        <v>75.654884999999993</v>
      </c>
      <c r="D4" s="12">
        <v>75.779313999999999</v>
      </c>
      <c r="E4" s="12">
        <v>75.709193999999997</v>
      </c>
      <c r="F4" s="12">
        <v>75.654884999999993</v>
      </c>
      <c r="G4" s="12">
        <v>75.913274999999999</v>
      </c>
      <c r="H4" s="12">
        <v>81.893859000000006</v>
      </c>
      <c r="I4" s="12">
        <v>81.578391999999994</v>
      </c>
      <c r="J4" s="12">
        <v>82.094728000000003</v>
      </c>
      <c r="K4" s="12">
        <v>75.991839999999996</v>
      </c>
      <c r="L4" s="12">
        <v>76.323993999999999</v>
      </c>
      <c r="M4" s="12">
        <v>78.616719000000003</v>
      </c>
      <c r="N4" s="12">
        <v>77.321353000000002</v>
      </c>
      <c r="O4" s="12">
        <v>79.532045999999994</v>
      </c>
      <c r="P4" s="12">
        <v>73.25437599</v>
      </c>
      <c r="Q4" s="12">
        <v>81.836139000000003</v>
      </c>
      <c r="R4" s="12">
        <v>76.466824000000003</v>
      </c>
      <c r="S4" s="12">
        <v>78.481044999999995</v>
      </c>
      <c r="T4" s="12">
        <v>68.221228999999994</v>
      </c>
      <c r="U4" s="12">
        <v>68.780637999999996</v>
      </c>
      <c r="V4" s="12">
        <v>77.651373000000007</v>
      </c>
      <c r="W4" s="12">
        <v>76.116882000000004</v>
      </c>
      <c r="X4" s="12">
        <v>73.351207000000002</v>
      </c>
      <c r="Y4" s="12">
        <v>74.882304000000005</v>
      </c>
      <c r="Z4" s="12">
        <v>80.859652999999994</v>
      </c>
      <c r="AA4" s="12">
        <v>73.277737000000002</v>
      </c>
      <c r="AB4" s="12">
        <v>76.773515000000003</v>
      </c>
      <c r="AC4" s="12">
        <v>76.297607999999997</v>
      </c>
      <c r="AD4" s="12">
        <v>75.963363999999999</v>
      </c>
      <c r="AE4" s="12">
        <v>71.684123999999997</v>
      </c>
      <c r="AF4" s="12">
        <v>76.795596750000001</v>
      </c>
      <c r="AG4" s="12">
        <v>77.998340490000004</v>
      </c>
      <c r="AH4" s="12">
        <v>77.414840999999996</v>
      </c>
      <c r="AI4" s="12">
        <v>77.436639999999997</v>
      </c>
      <c r="AJ4" s="12">
        <v>70.399249999999995</v>
      </c>
      <c r="AK4" s="12">
        <v>77.819918999999999</v>
      </c>
      <c r="AL4" s="12">
        <v>73.046170669999995</v>
      </c>
      <c r="AM4" s="12">
        <v>73.420496999999997</v>
      </c>
      <c r="AN4" s="12">
        <v>80.740584999999996</v>
      </c>
      <c r="AO4" s="12">
        <v>71.818544000000003</v>
      </c>
      <c r="AP4" s="12">
        <v>67.545742000000004</v>
      </c>
      <c r="AQ4" s="12">
        <v>67.837925999999996</v>
      </c>
      <c r="AR4" s="12">
        <v>81.999015999999997</v>
      </c>
      <c r="AS4" s="12">
        <v>79.671441999999999</v>
      </c>
      <c r="AT4" s="12">
        <v>79.671441999999999</v>
      </c>
      <c r="AU4" s="12">
        <v>80.442108000000005</v>
      </c>
      <c r="AV4" s="12">
        <v>76.401466499999998</v>
      </c>
      <c r="AW4" s="12">
        <v>71.775976</v>
      </c>
      <c r="AX4" s="12">
        <v>72.186567999999994</v>
      </c>
      <c r="AY4" s="12">
        <v>79.449410999999998</v>
      </c>
      <c r="AZ4" s="12">
        <v>75.914991999999998</v>
      </c>
      <c r="BA4" s="12">
        <v>75.716672000000003</v>
      </c>
      <c r="BB4" s="12">
        <v>75.491175999999996</v>
      </c>
      <c r="BC4" s="12">
        <v>75.713514000000004</v>
      </c>
      <c r="BD4" s="12">
        <v>75.380769000000001</v>
      </c>
      <c r="BE4" s="12">
        <v>75.713514000000004</v>
      </c>
      <c r="BF4" s="12">
        <v>80.088279</v>
      </c>
      <c r="BG4" s="12">
        <v>80.495903999999996</v>
      </c>
      <c r="BH4" s="12">
        <v>80.495903999999996</v>
      </c>
      <c r="BI4" s="12">
        <v>80.495903999999996</v>
      </c>
      <c r="BJ4" s="12">
        <v>73.453361999999998</v>
      </c>
      <c r="BK4" s="12">
        <v>73.923872000000003</v>
      </c>
      <c r="BL4" s="12">
        <v>78.06232</v>
      </c>
      <c r="BM4" s="12">
        <v>77.831472000000005</v>
      </c>
      <c r="BN4" s="12">
        <v>77.494444999999999</v>
      </c>
      <c r="BO4" s="12">
        <v>75.742069000000001</v>
      </c>
      <c r="BP4" s="12">
        <v>78.754920999999996</v>
      </c>
      <c r="BQ4" s="12">
        <v>70.425976000000006</v>
      </c>
      <c r="BR4" s="12">
        <v>70.462315799999999</v>
      </c>
      <c r="BS4" s="12">
        <v>76.788622000000004</v>
      </c>
      <c r="BT4" s="12">
        <v>73.577209999999994</v>
      </c>
      <c r="BU4" s="12">
        <v>79.892435280000001</v>
      </c>
      <c r="BV4" s="12">
        <v>79.437574999999995</v>
      </c>
      <c r="BW4" s="12">
        <v>80.688436999999993</v>
      </c>
      <c r="BX4" s="12">
        <v>77.930154000000002</v>
      </c>
      <c r="BY4" s="12">
        <v>77.930154000000002</v>
      </c>
      <c r="BZ4" s="12">
        <v>77.866792000000004</v>
      </c>
      <c r="CA4" s="12">
        <v>77.819712999999993</v>
      </c>
      <c r="CB4" s="12">
        <v>77.259799999999998</v>
      </c>
      <c r="CC4" s="12">
        <v>77.014743999999993</v>
      </c>
      <c r="CD4" s="12">
        <v>76.734911999999994</v>
      </c>
      <c r="CE4" s="12">
        <v>77.355108999999999</v>
      </c>
      <c r="CF4" s="12">
        <v>77.341041000000004</v>
      </c>
      <c r="CG4" s="12">
        <v>79.437574999999995</v>
      </c>
      <c r="CH4" s="12">
        <v>75.927024000000003</v>
      </c>
      <c r="CI4" s="12">
        <v>75.915858999999998</v>
      </c>
      <c r="CJ4" s="12">
        <v>77.607180999999997</v>
      </c>
      <c r="CK4" s="12">
        <v>79.663426999999999</v>
      </c>
      <c r="CL4" s="12">
        <v>80.363855999999998</v>
      </c>
      <c r="CM4" s="12">
        <v>79.547453000000004</v>
      </c>
      <c r="CN4" s="12">
        <v>79.375400999999997</v>
      </c>
      <c r="CO4" s="12">
        <v>80.177509999999998</v>
      </c>
      <c r="CP4" s="12">
        <v>74.654949999999999</v>
      </c>
      <c r="CQ4" s="12">
        <v>74.264268000000001</v>
      </c>
      <c r="CR4" s="12">
        <v>75.991353090000004</v>
      </c>
      <c r="CS4" s="12">
        <v>78.351799</v>
      </c>
      <c r="CT4" s="12">
        <v>74.564482999999996</v>
      </c>
      <c r="CU4" s="12">
        <v>81.790230399999999</v>
      </c>
      <c r="CV4" s="12">
        <v>74.522886999999997</v>
      </c>
      <c r="CW4" s="12">
        <v>75.567999</v>
      </c>
      <c r="CX4" s="12">
        <v>82.891817799999998</v>
      </c>
      <c r="CY4" s="12">
        <v>73.895343999999994</v>
      </c>
      <c r="CZ4" s="12">
        <v>74.469552669999999</v>
      </c>
      <c r="DA4" s="12">
        <v>74.853836000000001</v>
      </c>
      <c r="DB4" s="12">
        <v>77.850106999999994</v>
      </c>
      <c r="DC4" s="12">
        <v>82.034909999999996</v>
      </c>
      <c r="DD4" s="12">
        <v>82.196327999999994</v>
      </c>
      <c r="DE4" s="12">
        <v>80.688436999999993</v>
      </c>
      <c r="DF4" s="12">
        <v>80.406749000000005</v>
      </c>
      <c r="DG4" s="12">
        <v>77.503077000000005</v>
      </c>
      <c r="DH4" s="12">
        <v>77.930154000000002</v>
      </c>
      <c r="DI4" s="12">
        <v>76.390073999999998</v>
      </c>
      <c r="DJ4" s="12">
        <v>80.770820000000001</v>
      </c>
      <c r="DK4" s="12">
        <v>79.113543550000003</v>
      </c>
      <c r="DL4" s="12">
        <v>79.011115000000004</v>
      </c>
      <c r="DM4" s="12">
        <v>78.941057000000001</v>
      </c>
      <c r="DN4" s="12">
        <v>75.172735000000003</v>
      </c>
      <c r="DO4" s="12">
        <v>79.722303999999994</v>
      </c>
      <c r="DP4" s="12">
        <v>79.364525999999998</v>
      </c>
      <c r="DQ4" s="12">
        <v>76.737246999999996</v>
      </c>
      <c r="DR4" s="12">
        <v>68.029572999999999</v>
      </c>
      <c r="DS4" s="12">
        <v>79.310982999999993</v>
      </c>
      <c r="DT4" s="12">
        <v>75.356246999999996</v>
      </c>
      <c r="DU4" s="12">
        <v>75.534796999999998</v>
      </c>
      <c r="DV4" s="12">
        <v>75.491868999999994</v>
      </c>
      <c r="DW4" s="12">
        <v>81.026195000000001</v>
      </c>
      <c r="DX4" s="12">
        <v>81.207714999999993</v>
      </c>
      <c r="DY4" s="12">
        <v>73.002954000000003</v>
      </c>
      <c r="DZ4" s="12">
        <v>68.337188999999995</v>
      </c>
      <c r="EA4" s="12">
        <v>68.337188999999995</v>
      </c>
      <c r="EB4" s="12">
        <v>71.486322869999995</v>
      </c>
      <c r="EC4" s="12">
        <v>77.753370000000004</v>
      </c>
      <c r="ED4" s="12">
        <v>77.918180000000007</v>
      </c>
      <c r="EE4" s="12">
        <v>73.847301999999999</v>
      </c>
      <c r="EF4" s="12">
        <v>74.294139000000001</v>
      </c>
      <c r="EG4" s="12">
        <v>70.952333999999993</v>
      </c>
      <c r="EH4" s="12">
        <v>74.759500000000003</v>
      </c>
      <c r="EI4" s="12">
        <v>89.498455750000005</v>
      </c>
      <c r="EJ4" s="12">
        <v>82.509855999999999</v>
      </c>
      <c r="EK4" s="12">
        <v>82.509855999999999</v>
      </c>
      <c r="EL4" s="12">
        <v>74.780516000000006</v>
      </c>
      <c r="EM4" s="12">
        <v>80.500185000000002</v>
      </c>
      <c r="EN4" s="12">
        <v>80.770820000000001</v>
      </c>
      <c r="EO4" s="12">
        <v>80.688436999999993</v>
      </c>
      <c r="EP4" s="12">
        <v>75.321901999999994</v>
      </c>
      <c r="EQ4" s="12">
        <v>77.905360000000002</v>
      </c>
      <c r="ER4" s="12">
        <v>79.698333000000005</v>
      </c>
      <c r="ES4" s="12">
        <v>75.691179000000005</v>
      </c>
      <c r="ET4" s="12">
        <v>75.872950000000003</v>
      </c>
      <c r="EU4" s="12">
        <v>77.06087325</v>
      </c>
      <c r="EV4" s="12">
        <v>73.423219000000003</v>
      </c>
      <c r="EW4" s="12">
        <v>72.622879999999995</v>
      </c>
      <c r="EX4" s="12">
        <v>74.149952999999996</v>
      </c>
      <c r="EY4" s="12">
        <v>76.872179000000003</v>
      </c>
      <c r="EZ4" s="12">
        <v>74.563209000000001</v>
      </c>
      <c r="FA4" s="12">
        <v>72.564008000000001</v>
      </c>
      <c r="FB4" s="12">
        <v>71.649675999999999</v>
      </c>
      <c r="FC4" s="12">
        <v>74.465587999999997</v>
      </c>
      <c r="FD4" s="12">
        <v>74.707830000000001</v>
      </c>
      <c r="FE4" s="12">
        <v>74.809247999999997</v>
      </c>
      <c r="FF4" s="12">
        <v>82.053998930000006</v>
      </c>
      <c r="FG4" s="12">
        <v>74.443479999999994</v>
      </c>
      <c r="FH4" s="12">
        <v>79.833377999999996</v>
      </c>
      <c r="FI4" s="12">
        <v>76.274298000000002</v>
      </c>
      <c r="FJ4" s="12">
        <v>91.152648799999994</v>
      </c>
      <c r="FK4" s="12">
        <v>78.879559159999999</v>
      </c>
      <c r="FL4" s="12">
        <v>82.622849000000002</v>
      </c>
      <c r="FM4" s="12">
        <v>71.913813000000005</v>
      </c>
      <c r="FN4" s="12">
        <v>72.318929999999995</v>
      </c>
      <c r="FO4" s="12">
        <v>74.390569999999997</v>
      </c>
      <c r="FP4" s="12">
        <v>77.608081999999996</v>
      </c>
      <c r="FQ4" s="12">
        <v>77.875590950000003</v>
      </c>
      <c r="FR4" s="12">
        <v>77.712303000000006</v>
      </c>
      <c r="FS4" s="12">
        <v>77.866792000000004</v>
      </c>
      <c r="FT4" s="12">
        <v>80.183761000000004</v>
      </c>
      <c r="FU4" s="12">
        <v>80.183761000000004</v>
      </c>
      <c r="FV4" s="12">
        <v>74.803365999999997</v>
      </c>
      <c r="FW4" s="12">
        <v>74.803365999999997</v>
      </c>
      <c r="FX4" s="12">
        <v>74.367896999999999</v>
      </c>
      <c r="FY4" s="12">
        <v>79.176394000000002</v>
      </c>
      <c r="FZ4" s="12">
        <v>79.118177000000003</v>
      </c>
      <c r="GA4" s="12">
        <v>77.644143</v>
      </c>
      <c r="GB4" s="12">
        <v>77.569084000000004</v>
      </c>
      <c r="GC4" s="12">
        <v>76.211787749999999</v>
      </c>
      <c r="GD4" s="12">
        <v>76.750719000000004</v>
      </c>
      <c r="GE4" s="12">
        <v>75.938828999999998</v>
      </c>
      <c r="GF4" s="12">
        <v>79.437574999999995</v>
      </c>
      <c r="GG4" s="12">
        <v>79.437574999999995</v>
      </c>
      <c r="GH4" s="12">
        <v>81.592547999999994</v>
      </c>
      <c r="GI4" s="12">
        <v>73.253453669999999</v>
      </c>
      <c r="GJ4" s="12">
        <v>80.500185000000002</v>
      </c>
      <c r="GK4" s="12">
        <v>80.406749000000005</v>
      </c>
      <c r="GL4" s="12">
        <v>82.806834300000006</v>
      </c>
      <c r="GM4" s="12">
        <v>69.315062999999995</v>
      </c>
      <c r="GN4" s="12">
        <v>82.806834300000006</v>
      </c>
      <c r="GO4" s="12">
        <v>80.183761000000004</v>
      </c>
      <c r="GP4" s="12">
        <v>76.044549000000004</v>
      </c>
      <c r="GQ4" s="12">
        <v>80.315504000000004</v>
      </c>
      <c r="GR4" s="12">
        <v>79.050195000000002</v>
      </c>
      <c r="GS4" s="12">
        <v>74.418542000000002</v>
      </c>
      <c r="GT4" s="12">
        <v>70.890687999999997</v>
      </c>
      <c r="GU4" s="12">
        <v>76.409916999999993</v>
      </c>
      <c r="GV4" s="12">
        <v>74.243448000000001</v>
      </c>
      <c r="GW4" s="12">
        <v>79.284959000000001</v>
      </c>
      <c r="GX4" s="12">
        <v>79.676349000000002</v>
      </c>
      <c r="GY4" s="12">
        <v>80.394042999999996</v>
      </c>
      <c r="GZ4" s="12">
        <v>80.272794000000005</v>
      </c>
      <c r="HA4" s="12">
        <v>76.409916999999993</v>
      </c>
      <c r="HB4" s="12">
        <v>76.409916999999993</v>
      </c>
      <c r="HC4" s="12">
        <v>76.409916999999993</v>
      </c>
      <c r="HD4" s="12">
        <v>80.315504000000004</v>
      </c>
      <c r="HE4" s="12">
        <v>79.558667999999997</v>
      </c>
      <c r="HF4" s="12">
        <v>79.698333000000005</v>
      </c>
      <c r="HG4" s="12">
        <v>79.698333000000005</v>
      </c>
      <c r="HH4" s="12">
        <v>79.698333000000005</v>
      </c>
      <c r="HI4" s="12">
        <v>75.244460000000004</v>
      </c>
      <c r="HJ4" s="12">
        <v>80.918261000000001</v>
      </c>
      <c r="HK4" s="12">
        <v>80.691265999999999</v>
      </c>
      <c r="HL4" s="12">
        <v>78.558805000000007</v>
      </c>
      <c r="HM4" s="12">
        <v>82.519197000000005</v>
      </c>
      <c r="HN4" s="12">
        <v>78.631647999999998</v>
      </c>
      <c r="HO4" s="12">
        <v>68.029060639999997</v>
      </c>
      <c r="HP4" s="12">
        <v>79.849913999999998</v>
      </c>
      <c r="HQ4" s="12">
        <v>76.015666999999993</v>
      </c>
      <c r="HR4" s="12">
        <v>76.173423999999997</v>
      </c>
      <c r="HS4" s="12">
        <v>74.256069999999994</v>
      </c>
      <c r="HT4" s="12">
        <v>74.637929</v>
      </c>
      <c r="HU4" s="12">
        <v>70.521380070000006</v>
      </c>
      <c r="HV4" s="12">
        <v>69.414559999999994</v>
      </c>
      <c r="HW4" s="12">
        <v>69.763732000000005</v>
      </c>
      <c r="HX4" s="12">
        <v>73.946746750000003</v>
      </c>
      <c r="HY4" s="12">
        <v>76.272264000000007</v>
      </c>
      <c r="HZ4" s="12">
        <v>80.981793999999994</v>
      </c>
      <c r="IA4" s="12"/>
      <c r="IB4" s="12"/>
      <c r="IC4" s="12"/>
      <c r="ID4" s="12"/>
      <c r="IE4" s="12"/>
      <c r="IF4" s="12"/>
      <c r="IG4" s="12"/>
      <c r="IH4" s="12"/>
      <c r="II4" s="12"/>
      <c r="IJ4" s="12"/>
      <c r="IK4" s="12"/>
    </row>
    <row r="5" spans="1:245" x14ac:dyDescent="0.25">
      <c r="A5" s="11">
        <v>46049.083333333336</v>
      </c>
      <c r="B5" s="12">
        <v>65.043823140000001</v>
      </c>
      <c r="C5" s="12">
        <v>61.977576999999997</v>
      </c>
      <c r="D5" s="12">
        <v>62.083091000000003</v>
      </c>
      <c r="E5" s="12">
        <v>62.024787000000003</v>
      </c>
      <c r="F5" s="12">
        <v>61.977576999999997</v>
      </c>
      <c r="G5" s="12">
        <v>62.269303999999998</v>
      </c>
      <c r="H5" s="12">
        <v>67.443686</v>
      </c>
      <c r="I5" s="12">
        <v>67.180723999999998</v>
      </c>
      <c r="J5" s="12">
        <v>67.612212999999997</v>
      </c>
      <c r="K5" s="12">
        <v>62.334105999999998</v>
      </c>
      <c r="L5" s="12">
        <v>62.535124000000003</v>
      </c>
      <c r="M5" s="12">
        <v>64.724061000000006</v>
      </c>
      <c r="N5" s="12">
        <v>63.598394999999996</v>
      </c>
      <c r="O5" s="12">
        <v>65.260069000000001</v>
      </c>
      <c r="P5" s="12">
        <v>60.335648169999999</v>
      </c>
      <c r="Q5" s="12">
        <v>67.444496000000001</v>
      </c>
      <c r="R5" s="12">
        <v>62.670436000000002</v>
      </c>
      <c r="S5" s="12">
        <v>64.369262000000006</v>
      </c>
      <c r="T5" s="12">
        <v>55.616525500000002</v>
      </c>
      <c r="U5" s="12">
        <v>56.098568999999998</v>
      </c>
      <c r="V5" s="12">
        <v>63.665691000000002</v>
      </c>
      <c r="W5" s="12">
        <v>62.464838</v>
      </c>
      <c r="X5" s="12">
        <v>60.10971</v>
      </c>
      <c r="Y5" s="12">
        <v>61.417293000000001</v>
      </c>
      <c r="Z5" s="12">
        <v>66.684916999999999</v>
      </c>
      <c r="AA5" s="12">
        <v>60.058680000000003</v>
      </c>
      <c r="AB5" s="12">
        <v>63.024175</v>
      </c>
      <c r="AC5" s="12">
        <v>62.616742000000002</v>
      </c>
      <c r="AD5" s="12">
        <v>62.335003999999998</v>
      </c>
      <c r="AE5" s="12">
        <v>58.639256000000003</v>
      </c>
      <c r="AF5" s="12">
        <v>62.891319250000002</v>
      </c>
      <c r="AG5" s="12">
        <v>63.906608820000002</v>
      </c>
      <c r="AH5" s="12">
        <v>63.426321999999999</v>
      </c>
      <c r="AI5" s="12">
        <v>63.456229999999998</v>
      </c>
      <c r="AJ5" s="12">
        <v>57.735914000000001</v>
      </c>
      <c r="AK5" s="12">
        <v>63.811509999999998</v>
      </c>
      <c r="AL5" s="12">
        <v>59.873193000000001</v>
      </c>
      <c r="AM5" s="12">
        <v>60.191583000000001</v>
      </c>
      <c r="AN5" s="12">
        <v>66.535730000000001</v>
      </c>
      <c r="AO5" s="12">
        <v>59.433196000000002</v>
      </c>
      <c r="AP5" s="12">
        <v>55.030323000000003</v>
      </c>
      <c r="AQ5" s="12">
        <v>55.285097999999998</v>
      </c>
      <c r="AR5" s="12">
        <v>67.667846999999995</v>
      </c>
      <c r="AS5" s="12">
        <v>65.612802000000002</v>
      </c>
      <c r="AT5" s="12">
        <v>65.612802000000002</v>
      </c>
      <c r="AU5" s="12">
        <v>66.285138000000003</v>
      </c>
      <c r="AV5" s="12">
        <v>62.695910499999997</v>
      </c>
      <c r="AW5" s="12">
        <v>58.693941500000001</v>
      </c>
      <c r="AX5" s="12">
        <v>59.047410999999997</v>
      </c>
      <c r="AY5" s="12">
        <v>65.251322000000002</v>
      </c>
      <c r="AZ5" s="12">
        <v>62.313360000000003</v>
      </c>
      <c r="BA5" s="12">
        <v>62.127706000000003</v>
      </c>
      <c r="BB5" s="12">
        <v>61.931797000000003</v>
      </c>
      <c r="BC5" s="12">
        <v>62.124961999999996</v>
      </c>
      <c r="BD5" s="12">
        <v>61.810482999999998</v>
      </c>
      <c r="BE5" s="12">
        <v>62.124961999999996</v>
      </c>
      <c r="BF5" s="12">
        <v>65.989058999999997</v>
      </c>
      <c r="BG5" s="12">
        <v>66.330194000000006</v>
      </c>
      <c r="BH5" s="12">
        <v>66.330194000000006</v>
      </c>
      <c r="BI5" s="12">
        <v>66.330194000000006</v>
      </c>
      <c r="BJ5" s="12">
        <v>60.205508999999999</v>
      </c>
      <c r="BK5" s="12">
        <v>60.609701000000001</v>
      </c>
      <c r="BL5" s="12">
        <v>63.942489000000002</v>
      </c>
      <c r="BM5" s="12">
        <v>63.804177000000003</v>
      </c>
      <c r="BN5" s="12">
        <v>63.685704000000001</v>
      </c>
      <c r="BO5" s="12">
        <v>62.179741999999997</v>
      </c>
      <c r="BP5" s="12">
        <v>64.750422</v>
      </c>
      <c r="BQ5" s="12">
        <v>57.750014</v>
      </c>
      <c r="BR5" s="12">
        <v>57.779813009999998</v>
      </c>
      <c r="BS5" s="12">
        <v>63.043286999999999</v>
      </c>
      <c r="BT5" s="12">
        <v>60.251342999999999</v>
      </c>
      <c r="BU5" s="12">
        <v>65.661447289999998</v>
      </c>
      <c r="BV5" s="12">
        <v>65.242645999999993</v>
      </c>
      <c r="BW5" s="12">
        <v>66.475757999999999</v>
      </c>
      <c r="BX5" s="12">
        <v>64.048700999999994</v>
      </c>
      <c r="BY5" s="12">
        <v>64.048700999999994</v>
      </c>
      <c r="BZ5" s="12">
        <v>63.852331999999997</v>
      </c>
      <c r="CA5" s="12">
        <v>63.664315999999999</v>
      </c>
      <c r="CB5" s="12">
        <v>63.481000999999999</v>
      </c>
      <c r="CC5" s="12">
        <v>63.139538999999999</v>
      </c>
      <c r="CD5" s="12">
        <v>62.902957000000001</v>
      </c>
      <c r="CE5" s="12">
        <v>63.249619000000003</v>
      </c>
      <c r="CF5" s="12">
        <v>63.722186000000001</v>
      </c>
      <c r="CG5" s="12">
        <v>65.242645999999993</v>
      </c>
      <c r="CH5" s="12">
        <v>62.323475000000002</v>
      </c>
      <c r="CI5" s="12">
        <v>62.314089000000003</v>
      </c>
      <c r="CJ5" s="12">
        <v>63.845548000000001</v>
      </c>
      <c r="CK5" s="12">
        <v>65.429761999999997</v>
      </c>
      <c r="CL5" s="12">
        <v>66.041346000000004</v>
      </c>
      <c r="CM5" s="12">
        <v>65.595108999999994</v>
      </c>
      <c r="CN5" s="12">
        <v>65.197066000000007</v>
      </c>
      <c r="CO5" s="12">
        <v>65.899805000000001</v>
      </c>
      <c r="CP5" s="12">
        <v>61.172626000000001</v>
      </c>
      <c r="CQ5" s="12">
        <v>60.830162999999999</v>
      </c>
      <c r="CR5" s="12">
        <v>62.293722340000002</v>
      </c>
      <c r="CS5" s="12">
        <v>64.352497999999997</v>
      </c>
      <c r="CT5" s="12">
        <v>61.168163</v>
      </c>
      <c r="CU5" s="12">
        <v>67.323336190000006</v>
      </c>
      <c r="CV5" s="12">
        <v>61.010612999999999</v>
      </c>
      <c r="CW5" s="12">
        <v>61.996810000000004</v>
      </c>
      <c r="CX5" s="12">
        <v>68.360842329999997</v>
      </c>
      <c r="CY5" s="12">
        <v>60.576706999999999</v>
      </c>
      <c r="CZ5" s="12">
        <v>61.035190999999998</v>
      </c>
      <c r="DA5" s="12">
        <v>61.369568000000001</v>
      </c>
      <c r="DB5" s="12">
        <v>64.001502000000002</v>
      </c>
      <c r="DC5" s="12">
        <v>67.619917000000001</v>
      </c>
      <c r="DD5" s="12">
        <v>67.770758999999998</v>
      </c>
      <c r="DE5" s="12">
        <v>66.475757999999999</v>
      </c>
      <c r="DF5" s="12">
        <v>66.231848999999997</v>
      </c>
      <c r="DG5" s="12">
        <v>63.692765000000001</v>
      </c>
      <c r="DH5" s="12">
        <v>64.048700999999994</v>
      </c>
      <c r="DI5" s="12">
        <v>62.692259999999997</v>
      </c>
      <c r="DJ5" s="12">
        <v>66.546700999999999</v>
      </c>
      <c r="DK5" s="12">
        <v>64.722798920000002</v>
      </c>
      <c r="DL5" s="12">
        <v>65.024754000000001</v>
      </c>
      <c r="DM5" s="12">
        <v>64.987257999999997</v>
      </c>
      <c r="DN5" s="12">
        <v>61.629134669999999</v>
      </c>
      <c r="DO5" s="12">
        <v>65.749245999999999</v>
      </c>
      <c r="DP5" s="12">
        <v>65.231862000000007</v>
      </c>
      <c r="DQ5" s="12">
        <v>62.892363000000003</v>
      </c>
      <c r="DR5" s="12">
        <v>55.663207</v>
      </c>
      <c r="DS5" s="12">
        <v>65.186972999999995</v>
      </c>
      <c r="DT5" s="12">
        <v>61.839294000000002</v>
      </c>
      <c r="DU5" s="12">
        <v>61.982162000000002</v>
      </c>
      <c r="DV5" s="12">
        <v>61.906419</v>
      </c>
      <c r="DW5" s="12">
        <v>66.776612</v>
      </c>
      <c r="DX5" s="12">
        <v>66.942693000000006</v>
      </c>
      <c r="DY5" s="12">
        <v>59.616202000000001</v>
      </c>
      <c r="DZ5" s="12">
        <v>58.366802999999997</v>
      </c>
      <c r="EA5" s="12">
        <v>58.366802999999997</v>
      </c>
      <c r="EB5" s="12">
        <v>58.549937440000001</v>
      </c>
      <c r="EC5" s="12">
        <v>64.026227000000006</v>
      </c>
      <c r="ED5" s="12">
        <v>64.169972000000001</v>
      </c>
      <c r="EE5" s="12">
        <v>60.509334000000003</v>
      </c>
      <c r="EF5" s="12">
        <v>60.901330999999999</v>
      </c>
      <c r="EG5" s="12">
        <v>58.021870999999997</v>
      </c>
      <c r="EH5" s="12">
        <v>61.255903000000004</v>
      </c>
      <c r="EI5" s="12">
        <v>73.809333480000006</v>
      </c>
      <c r="EJ5" s="12">
        <v>68.129046000000002</v>
      </c>
      <c r="EK5" s="12">
        <v>68.129046000000002</v>
      </c>
      <c r="EL5" s="12">
        <v>61.351644</v>
      </c>
      <c r="EM5" s="12">
        <v>66.313942999999995</v>
      </c>
      <c r="EN5" s="12">
        <v>66.546700999999999</v>
      </c>
      <c r="EO5" s="12">
        <v>66.475757999999999</v>
      </c>
      <c r="EP5" s="12">
        <v>61.748351</v>
      </c>
      <c r="EQ5" s="12">
        <v>64.131489999999999</v>
      </c>
      <c r="ER5" s="12">
        <v>65.741596999999999</v>
      </c>
      <c r="ES5" s="12">
        <v>62.155109000000003</v>
      </c>
      <c r="ET5" s="12">
        <v>62.283630000000002</v>
      </c>
      <c r="EU5" s="12">
        <v>63.228701639999997</v>
      </c>
      <c r="EV5" s="12">
        <v>60.247841999999999</v>
      </c>
      <c r="EW5" s="12">
        <v>59.714840000000002</v>
      </c>
      <c r="EX5" s="12">
        <v>60.824285000000003</v>
      </c>
      <c r="EY5" s="12">
        <v>63.275179999999999</v>
      </c>
      <c r="EZ5" s="12">
        <v>61.190513000000003</v>
      </c>
      <c r="FA5" s="12">
        <v>59.369300000000003</v>
      </c>
      <c r="FB5" s="12">
        <v>58.608714999999997</v>
      </c>
      <c r="FC5" s="12">
        <v>60.998652</v>
      </c>
      <c r="FD5" s="12">
        <v>61.206603000000001</v>
      </c>
      <c r="FE5" s="12">
        <v>61.293666000000002</v>
      </c>
      <c r="FF5" s="12">
        <v>67.226388990000004</v>
      </c>
      <c r="FG5" s="12">
        <v>60.917403</v>
      </c>
      <c r="FH5" s="12">
        <v>65.702314000000001</v>
      </c>
      <c r="FI5" s="12">
        <v>62.601540999999997</v>
      </c>
      <c r="FJ5" s="12">
        <v>74.803879050000006</v>
      </c>
      <c r="FK5" s="12">
        <v>64.623154270000001</v>
      </c>
      <c r="FL5" s="12">
        <v>68.173677999999995</v>
      </c>
      <c r="FM5" s="12">
        <v>58.4911745</v>
      </c>
      <c r="FN5" s="12">
        <v>58.879474000000002</v>
      </c>
      <c r="FO5" s="12">
        <v>61.018585999999999</v>
      </c>
      <c r="FP5" s="12">
        <v>63.845683000000001</v>
      </c>
      <c r="FQ5" s="12">
        <v>63.859547310000004</v>
      </c>
      <c r="FR5" s="12">
        <v>63.721369000000003</v>
      </c>
      <c r="FS5" s="12">
        <v>63.852331999999997</v>
      </c>
      <c r="FT5" s="12">
        <v>66.038736</v>
      </c>
      <c r="FU5" s="12">
        <v>66.038736</v>
      </c>
      <c r="FV5" s="12">
        <v>61.309964999999998</v>
      </c>
      <c r="FW5" s="12">
        <v>61.309964999999998</v>
      </c>
      <c r="FX5" s="12">
        <v>60.938200000000002</v>
      </c>
      <c r="FY5" s="12">
        <v>65.192240999999996</v>
      </c>
      <c r="FZ5" s="12">
        <v>65.140703999999999</v>
      </c>
      <c r="GA5" s="12">
        <v>63.894623000000003</v>
      </c>
      <c r="GB5" s="12">
        <v>63.834561000000001</v>
      </c>
      <c r="GC5" s="12">
        <v>62.444888159999998</v>
      </c>
      <c r="GD5" s="12">
        <v>62.919502000000001</v>
      </c>
      <c r="GE5" s="12">
        <v>62.214305000000003</v>
      </c>
      <c r="GF5" s="12">
        <v>65.242645999999993</v>
      </c>
      <c r="GG5" s="12">
        <v>65.242645999999993</v>
      </c>
      <c r="GH5" s="12">
        <v>67.300826000000001</v>
      </c>
      <c r="GI5" s="12">
        <v>60.037750670000001</v>
      </c>
      <c r="GJ5" s="12">
        <v>66.313942999999995</v>
      </c>
      <c r="GK5" s="12">
        <v>66.231848999999997</v>
      </c>
      <c r="GL5" s="12">
        <v>68.290756490000007</v>
      </c>
      <c r="GM5" s="12">
        <v>56.632513000000003</v>
      </c>
      <c r="GN5" s="12">
        <v>68.290756490000007</v>
      </c>
      <c r="GO5" s="12">
        <v>66.038736</v>
      </c>
      <c r="GP5" s="12">
        <v>62.384112999999999</v>
      </c>
      <c r="GQ5" s="12">
        <v>66.151960000000003</v>
      </c>
      <c r="GR5" s="12">
        <v>65.166983999999999</v>
      </c>
      <c r="GS5" s="12">
        <v>61.033417</v>
      </c>
      <c r="GT5" s="12">
        <v>57.963813000000002</v>
      </c>
      <c r="GU5" s="12">
        <v>62.704234999999997</v>
      </c>
      <c r="GV5" s="12">
        <v>60.756557999999998</v>
      </c>
      <c r="GW5" s="12">
        <v>65.064729999999997</v>
      </c>
      <c r="GX5" s="12">
        <v>65.640735000000006</v>
      </c>
      <c r="GY5" s="12">
        <v>66.228351000000004</v>
      </c>
      <c r="GZ5" s="12">
        <v>66.119794999999996</v>
      </c>
      <c r="HA5" s="12">
        <v>62.704234999999997</v>
      </c>
      <c r="HB5" s="12">
        <v>62.704234999999997</v>
      </c>
      <c r="HC5" s="12">
        <v>62.704234999999997</v>
      </c>
      <c r="HD5" s="12">
        <v>66.151960000000003</v>
      </c>
      <c r="HE5" s="12">
        <v>65.684825000000004</v>
      </c>
      <c r="HF5" s="12">
        <v>65.741596999999999</v>
      </c>
      <c r="HG5" s="12">
        <v>65.741596999999999</v>
      </c>
      <c r="HH5" s="12">
        <v>65.741596999999999</v>
      </c>
      <c r="HI5" s="12">
        <v>61.607166999999997</v>
      </c>
      <c r="HJ5" s="12">
        <v>66.727296999999993</v>
      </c>
      <c r="HK5" s="12">
        <v>66.525458999999998</v>
      </c>
      <c r="HL5" s="12">
        <v>64.454459</v>
      </c>
      <c r="HM5" s="12">
        <v>67.953526999999994</v>
      </c>
      <c r="HN5" s="12">
        <v>64.536629000000005</v>
      </c>
      <c r="HO5" s="12">
        <v>55.581809989999996</v>
      </c>
      <c r="HP5" s="12">
        <v>65.765591000000001</v>
      </c>
      <c r="HQ5" s="12">
        <v>62.362874499999997</v>
      </c>
      <c r="HR5" s="12">
        <v>62.499915000000001</v>
      </c>
      <c r="HS5" s="12">
        <v>60.818458999999997</v>
      </c>
      <c r="HT5" s="12">
        <v>61.223247000000001</v>
      </c>
      <c r="HU5" s="12">
        <v>57.785558870000003</v>
      </c>
      <c r="HV5" s="12">
        <v>56.664738499999999</v>
      </c>
      <c r="HW5" s="12">
        <v>56.973264999999998</v>
      </c>
      <c r="HX5" s="12">
        <v>60.734733499999997</v>
      </c>
      <c r="HY5" s="12">
        <v>62.592897999999998</v>
      </c>
      <c r="HZ5" s="12">
        <v>66.825201000000007</v>
      </c>
      <c r="IA5" s="12"/>
      <c r="IB5" s="12"/>
      <c r="IC5" s="12"/>
      <c r="ID5" s="12"/>
      <c r="IE5" s="12"/>
      <c r="IF5" s="12"/>
      <c r="IG5" s="12"/>
      <c r="IH5" s="12"/>
      <c r="II5" s="12"/>
      <c r="IJ5" s="12"/>
      <c r="IK5" s="12"/>
    </row>
    <row r="6" spans="1:245" x14ac:dyDescent="0.25">
      <c r="A6" s="11">
        <v>46049.104166666664</v>
      </c>
      <c r="B6" s="12">
        <v>64.218694659999997</v>
      </c>
      <c r="C6" s="12">
        <v>61.149585000000002</v>
      </c>
      <c r="D6" s="12">
        <v>61.245849</v>
      </c>
      <c r="E6" s="12">
        <v>61.191321000000002</v>
      </c>
      <c r="F6" s="12">
        <v>61.149585000000002</v>
      </c>
      <c r="G6" s="12">
        <v>61.464970999999998</v>
      </c>
      <c r="H6" s="12">
        <v>66.261999000000003</v>
      </c>
      <c r="I6" s="12">
        <v>66.037651999999994</v>
      </c>
      <c r="J6" s="12">
        <v>66.408710999999997</v>
      </c>
      <c r="K6" s="12">
        <v>61.440624</v>
      </c>
      <c r="L6" s="12">
        <v>61.688197000000002</v>
      </c>
      <c r="M6" s="12">
        <v>63.661720000000003</v>
      </c>
      <c r="N6" s="12">
        <v>62.619945000000001</v>
      </c>
      <c r="O6" s="12">
        <v>64.316393000000005</v>
      </c>
      <c r="P6" s="12">
        <v>59.697490180000003</v>
      </c>
      <c r="Q6" s="12">
        <v>66.225796000000003</v>
      </c>
      <c r="R6" s="12">
        <v>61.818931999999997</v>
      </c>
      <c r="S6" s="12">
        <v>63.476607999999999</v>
      </c>
      <c r="T6" s="12">
        <v>55.400470499999997</v>
      </c>
      <c r="U6" s="12">
        <v>55.839737999999997</v>
      </c>
      <c r="V6" s="12">
        <v>62.830751999999997</v>
      </c>
      <c r="W6" s="12">
        <v>61.618011000000003</v>
      </c>
      <c r="X6" s="12">
        <v>59.423617</v>
      </c>
      <c r="Y6" s="12">
        <v>60.633104000000003</v>
      </c>
      <c r="Z6" s="12">
        <v>65.490663999999995</v>
      </c>
      <c r="AA6" s="12">
        <v>59.305708000000003</v>
      </c>
      <c r="AB6" s="12">
        <v>61.883639000000002</v>
      </c>
      <c r="AC6" s="12">
        <v>61.762703999999999</v>
      </c>
      <c r="AD6" s="12">
        <v>61.497711000000002</v>
      </c>
      <c r="AE6" s="12">
        <v>58.036929000000001</v>
      </c>
      <c r="AF6" s="12">
        <v>62.181148499999999</v>
      </c>
      <c r="AG6" s="12">
        <v>63.14236511</v>
      </c>
      <c r="AH6" s="12">
        <v>62.660142</v>
      </c>
      <c r="AI6" s="12">
        <v>62.688017000000002</v>
      </c>
      <c r="AJ6" s="12">
        <v>57.010733000000002</v>
      </c>
      <c r="AK6" s="12">
        <v>62.965819000000003</v>
      </c>
      <c r="AL6" s="12">
        <v>59.160561000000001</v>
      </c>
      <c r="AM6" s="12">
        <v>59.455567000000002</v>
      </c>
      <c r="AN6" s="12">
        <v>65.356541000000007</v>
      </c>
      <c r="AO6" s="12">
        <v>58.172528</v>
      </c>
      <c r="AP6" s="12">
        <v>54.685415499999998</v>
      </c>
      <c r="AQ6" s="12">
        <v>54.921965999999998</v>
      </c>
      <c r="AR6" s="12">
        <v>66.413754999999995</v>
      </c>
      <c r="AS6" s="12">
        <v>64.458574999999996</v>
      </c>
      <c r="AT6" s="12">
        <v>64.458574999999996</v>
      </c>
      <c r="AU6" s="12">
        <v>65.088702999999995</v>
      </c>
      <c r="AV6" s="12">
        <v>61.833871000000002</v>
      </c>
      <c r="AW6" s="12">
        <v>58.168973999999999</v>
      </c>
      <c r="AX6" s="12">
        <v>58.493071999999998</v>
      </c>
      <c r="AY6" s="12">
        <v>64.377972</v>
      </c>
      <c r="AZ6" s="12">
        <v>61.486094999999999</v>
      </c>
      <c r="BA6" s="12">
        <v>61.326171000000002</v>
      </c>
      <c r="BB6" s="12">
        <v>61.144589000000003</v>
      </c>
      <c r="BC6" s="12">
        <v>61.323627999999999</v>
      </c>
      <c r="BD6" s="12">
        <v>61.055132999999998</v>
      </c>
      <c r="BE6" s="12">
        <v>61.323627999999999</v>
      </c>
      <c r="BF6" s="12">
        <v>64.807315000000003</v>
      </c>
      <c r="BG6" s="12">
        <v>65.130173999999997</v>
      </c>
      <c r="BH6" s="12">
        <v>65.130173999999997</v>
      </c>
      <c r="BI6" s="12">
        <v>65.130173999999997</v>
      </c>
      <c r="BJ6" s="12">
        <v>59.508930999999997</v>
      </c>
      <c r="BK6" s="12">
        <v>59.880172000000002</v>
      </c>
      <c r="BL6" s="12">
        <v>63.062795000000001</v>
      </c>
      <c r="BM6" s="12">
        <v>62.937989999999999</v>
      </c>
      <c r="BN6" s="12">
        <v>62.292766</v>
      </c>
      <c r="BO6" s="12">
        <v>60.997630000000001</v>
      </c>
      <c r="BP6" s="12">
        <v>63.741262999999996</v>
      </c>
      <c r="BQ6" s="12">
        <v>57.016120000000001</v>
      </c>
      <c r="BR6" s="12">
        <v>57.045540320000001</v>
      </c>
      <c r="BS6" s="12">
        <v>62.127305</v>
      </c>
      <c r="BT6" s="12">
        <v>59.531122170000003</v>
      </c>
      <c r="BU6" s="12">
        <v>64.101692310000004</v>
      </c>
      <c r="BV6" s="12">
        <v>64.364180000000005</v>
      </c>
      <c r="BW6" s="12">
        <v>65.312584000000001</v>
      </c>
      <c r="BX6" s="12">
        <v>62.527256000000001</v>
      </c>
      <c r="BY6" s="12">
        <v>62.527256000000001</v>
      </c>
      <c r="BZ6" s="12">
        <v>62.861753999999998</v>
      </c>
      <c r="CA6" s="12">
        <v>62.871262000000002</v>
      </c>
      <c r="CB6" s="12">
        <v>62.188626999999997</v>
      </c>
      <c r="CC6" s="12">
        <v>62.259273</v>
      </c>
      <c r="CD6" s="12">
        <v>62.043652999999999</v>
      </c>
      <c r="CE6" s="12">
        <v>62.499211000000003</v>
      </c>
      <c r="CF6" s="12">
        <v>62.734045999999999</v>
      </c>
      <c r="CG6" s="12">
        <v>64.364180000000005</v>
      </c>
      <c r="CH6" s="12">
        <v>61.495626000000001</v>
      </c>
      <c r="CI6" s="12">
        <v>61.486781999999998</v>
      </c>
      <c r="CJ6" s="12">
        <v>62.869453999999998</v>
      </c>
      <c r="CK6" s="12">
        <v>64.460356000000004</v>
      </c>
      <c r="CL6" s="12">
        <v>65.029019000000005</v>
      </c>
      <c r="CM6" s="12">
        <v>65.057176999999996</v>
      </c>
      <c r="CN6" s="12">
        <v>64.291687999999994</v>
      </c>
      <c r="CO6" s="12">
        <v>64.935001999999997</v>
      </c>
      <c r="CP6" s="12">
        <v>60.442005000000002</v>
      </c>
      <c r="CQ6" s="12">
        <v>60.08764</v>
      </c>
      <c r="CR6" s="12">
        <v>61.521134429999996</v>
      </c>
      <c r="CS6" s="12">
        <v>63.387751000000002</v>
      </c>
      <c r="CT6" s="12">
        <v>60.198771000000001</v>
      </c>
      <c r="CU6" s="12">
        <v>66.411909019999996</v>
      </c>
      <c r="CV6" s="12">
        <v>60.249490999999999</v>
      </c>
      <c r="CW6" s="12">
        <v>61.168312</v>
      </c>
      <c r="CX6" s="12">
        <v>67.136575370000003</v>
      </c>
      <c r="CY6" s="12">
        <v>59.805796000000001</v>
      </c>
      <c r="CZ6" s="12">
        <v>60.287722000000002</v>
      </c>
      <c r="DA6" s="12">
        <v>60.598992000000003</v>
      </c>
      <c r="DB6" s="12">
        <v>62.557338000000001</v>
      </c>
      <c r="DC6" s="12">
        <v>66.392899</v>
      </c>
      <c r="DD6" s="12">
        <v>66.538658999999996</v>
      </c>
      <c r="DE6" s="12">
        <v>65.312584000000001</v>
      </c>
      <c r="DF6" s="12">
        <v>65.084806</v>
      </c>
      <c r="DG6" s="12">
        <v>62.193455</v>
      </c>
      <c r="DH6" s="12">
        <v>62.527256000000001</v>
      </c>
      <c r="DI6" s="12">
        <v>61.836217499999997</v>
      </c>
      <c r="DJ6" s="12">
        <v>65.380114000000006</v>
      </c>
      <c r="DK6" s="12">
        <v>63.916559599999999</v>
      </c>
      <c r="DL6" s="12">
        <v>63.955491000000002</v>
      </c>
      <c r="DM6" s="12">
        <v>63.913214000000004</v>
      </c>
      <c r="DN6" s="12">
        <v>60.910886669999996</v>
      </c>
      <c r="DO6" s="12">
        <v>65.198981000000003</v>
      </c>
      <c r="DP6" s="12">
        <v>64.414376000000004</v>
      </c>
      <c r="DQ6" s="12">
        <v>62.077781999999999</v>
      </c>
      <c r="DR6" s="12">
        <v>55.114654999999999</v>
      </c>
      <c r="DS6" s="12">
        <v>64.373153000000002</v>
      </c>
      <c r="DT6" s="12">
        <v>61.057690000000001</v>
      </c>
      <c r="DU6" s="12">
        <v>61.190685000000002</v>
      </c>
      <c r="DV6" s="12">
        <v>61.117144000000003</v>
      </c>
      <c r="DW6" s="12">
        <v>65.588804999999994</v>
      </c>
      <c r="DX6" s="12">
        <v>65.737454</v>
      </c>
      <c r="DY6" s="12">
        <v>59.029867000000003</v>
      </c>
      <c r="DZ6" s="12">
        <v>55.353188000000003</v>
      </c>
      <c r="EA6" s="12">
        <v>55.353188000000003</v>
      </c>
      <c r="EB6" s="12">
        <v>57.854205190000002</v>
      </c>
      <c r="EC6" s="12">
        <v>63.016931999999997</v>
      </c>
      <c r="ED6" s="12">
        <v>63.151283999999997</v>
      </c>
      <c r="EE6" s="12">
        <v>59.808214</v>
      </c>
      <c r="EF6" s="12">
        <v>60.164327</v>
      </c>
      <c r="EG6" s="12">
        <v>57.437297000000001</v>
      </c>
      <c r="EH6" s="12">
        <v>60.521591000000001</v>
      </c>
      <c r="EI6" s="12">
        <v>72.487490070000007</v>
      </c>
      <c r="EJ6" s="12">
        <v>66.844876999999997</v>
      </c>
      <c r="EK6" s="12">
        <v>66.844876999999997</v>
      </c>
      <c r="EL6" s="12">
        <v>60.367699999999999</v>
      </c>
      <c r="EM6" s="12">
        <v>65.161510000000007</v>
      </c>
      <c r="EN6" s="12">
        <v>65.380114000000006</v>
      </c>
      <c r="EO6" s="12">
        <v>65.312584000000001</v>
      </c>
      <c r="EP6" s="12">
        <v>60.988858</v>
      </c>
      <c r="EQ6" s="12">
        <v>62.998120999999998</v>
      </c>
      <c r="ER6" s="12">
        <v>65.210368000000003</v>
      </c>
      <c r="ES6" s="12">
        <v>61.339191999999997</v>
      </c>
      <c r="ET6" s="12">
        <v>61.458497000000001</v>
      </c>
      <c r="EU6" s="12">
        <v>62.365131679999998</v>
      </c>
      <c r="EV6" s="12">
        <v>59.45599</v>
      </c>
      <c r="EW6" s="12">
        <v>58.825209999999998</v>
      </c>
      <c r="EX6" s="12">
        <v>60.040215000000003</v>
      </c>
      <c r="EY6" s="12">
        <v>62.418557</v>
      </c>
      <c r="EZ6" s="12">
        <v>60.377695000000003</v>
      </c>
      <c r="FA6" s="12">
        <v>58.742797000000003</v>
      </c>
      <c r="FB6" s="12">
        <v>58.007966000000003</v>
      </c>
      <c r="FC6" s="12">
        <v>60.307662999999998</v>
      </c>
      <c r="FD6" s="12">
        <v>60.484940999999999</v>
      </c>
      <c r="FE6" s="12">
        <v>60.559173000000001</v>
      </c>
      <c r="FF6" s="12">
        <v>66.362759699999998</v>
      </c>
      <c r="FG6" s="12">
        <v>60.172767</v>
      </c>
      <c r="FH6" s="12">
        <v>64.951863000000003</v>
      </c>
      <c r="FI6" s="12">
        <v>61.751359000000001</v>
      </c>
      <c r="FJ6" s="12">
        <v>73.778456340000005</v>
      </c>
      <c r="FK6" s="12">
        <v>63.70870232</v>
      </c>
      <c r="FL6" s="12">
        <v>67.254772000000003</v>
      </c>
      <c r="FM6" s="12">
        <v>58.010154499999999</v>
      </c>
      <c r="FN6" s="12">
        <v>58.366298</v>
      </c>
      <c r="FO6" s="12">
        <v>60.234769999999997</v>
      </c>
      <c r="FP6" s="12">
        <v>62.869453999999998</v>
      </c>
      <c r="FQ6" s="12">
        <v>62.868857380000001</v>
      </c>
      <c r="FR6" s="12">
        <v>62.742125000000001</v>
      </c>
      <c r="FS6" s="12">
        <v>62.861753999999998</v>
      </c>
      <c r="FT6" s="12">
        <v>64.905924999999996</v>
      </c>
      <c r="FU6" s="12">
        <v>64.905924999999996</v>
      </c>
      <c r="FV6" s="12">
        <v>60.462967999999996</v>
      </c>
      <c r="FW6" s="12">
        <v>60.462967999999996</v>
      </c>
      <c r="FX6" s="12">
        <v>60.120820999999999</v>
      </c>
      <c r="FY6" s="12">
        <v>64.105059999999995</v>
      </c>
      <c r="FZ6" s="12">
        <v>64.057845999999998</v>
      </c>
      <c r="GA6" s="12">
        <v>62.596319000000001</v>
      </c>
      <c r="GB6" s="12">
        <v>62.532344999999999</v>
      </c>
      <c r="GC6" s="12">
        <v>61.694357670000002</v>
      </c>
      <c r="GD6" s="12">
        <v>62.065984999999998</v>
      </c>
      <c r="GE6" s="12">
        <v>61.423327</v>
      </c>
      <c r="GF6" s="12">
        <v>64.364180000000005</v>
      </c>
      <c r="GG6" s="12">
        <v>64.364180000000005</v>
      </c>
      <c r="GH6" s="12">
        <v>66.070665000000005</v>
      </c>
      <c r="GI6" s="12">
        <v>59.286423329999998</v>
      </c>
      <c r="GJ6" s="12">
        <v>65.161510000000007</v>
      </c>
      <c r="GK6" s="12">
        <v>65.084806</v>
      </c>
      <c r="GL6" s="12">
        <v>67.067744680000004</v>
      </c>
      <c r="GM6" s="12">
        <v>56.157665000000001</v>
      </c>
      <c r="GN6" s="12">
        <v>67.067744680000004</v>
      </c>
      <c r="GO6" s="12">
        <v>64.905924999999996</v>
      </c>
      <c r="GP6" s="12">
        <v>61.561356000000004</v>
      </c>
      <c r="GQ6" s="12">
        <v>65.011381999999998</v>
      </c>
      <c r="GR6" s="12">
        <v>64.059229000000002</v>
      </c>
      <c r="GS6" s="12">
        <v>60.271405000000001</v>
      </c>
      <c r="GT6" s="12">
        <v>57.398763000000002</v>
      </c>
      <c r="GU6" s="12">
        <v>61.845914</v>
      </c>
      <c r="GV6" s="12">
        <v>60.051614000000001</v>
      </c>
      <c r="GW6" s="12">
        <v>64.172813000000005</v>
      </c>
      <c r="GX6" s="12">
        <v>64.485832000000002</v>
      </c>
      <c r="GY6" s="12">
        <v>65.070403999999996</v>
      </c>
      <c r="GZ6" s="12">
        <v>64.974221</v>
      </c>
      <c r="HA6" s="12">
        <v>61.845914</v>
      </c>
      <c r="HB6" s="12">
        <v>61.845914</v>
      </c>
      <c r="HC6" s="12">
        <v>61.845914</v>
      </c>
      <c r="HD6" s="12">
        <v>65.011381999999998</v>
      </c>
      <c r="HE6" s="12">
        <v>65.249916999999996</v>
      </c>
      <c r="HF6" s="12">
        <v>65.210368000000003</v>
      </c>
      <c r="HG6" s="12">
        <v>65.210368000000003</v>
      </c>
      <c r="HH6" s="12">
        <v>65.210368000000003</v>
      </c>
      <c r="HI6" s="12">
        <v>60.820528000000003</v>
      </c>
      <c r="HJ6" s="12">
        <v>65.527405999999999</v>
      </c>
      <c r="HK6" s="12">
        <v>65.337992</v>
      </c>
      <c r="HL6" s="12">
        <v>63.484558999999997</v>
      </c>
      <c r="HM6" s="12">
        <v>66.713910999999996</v>
      </c>
      <c r="HN6" s="12">
        <v>63.656123000000001</v>
      </c>
      <c r="HO6" s="12">
        <v>55.115771840000001</v>
      </c>
      <c r="HP6" s="12">
        <v>65.078325000000007</v>
      </c>
      <c r="HQ6" s="12">
        <v>61.5221625</v>
      </c>
      <c r="HR6" s="12">
        <v>61.649438000000004</v>
      </c>
      <c r="HS6" s="12">
        <v>60.095851000000003</v>
      </c>
      <c r="HT6" s="12">
        <v>60.444603000000001</v>
      </c>
      <c r="HU6" s="12">
        <v>57.095391630000002</v>
      </c>
      <c r="HV6" s="12">
        <v>56.2119</v>
      </c>
      <c r="HW6" s="12">
        <v>56.493715999999999</v>
      </c>
      <c r="HX6" s="12">
        <v>59.913103210000003</v>
      </c>
      <c r="HY6" s="12">
        <v>61.74006</v>
      </c>
      <c r="HZ6" s="12">
        <v>66.207161999999997</v>
      </c>
      <c r="IA6" s="12"/>
      <c r="IB6" s="12"/>
      <c r="IC6" s="12"/>
      <c r="ID6" s="12"/>
      <c r="IE6" s="12"/>
      <c r="IF6" s="12"/>
      <c r="IG6" s="12"/>
      <c r="IH6" s="12"/>
      <c r="II6" s="12"/>
      <c r="IJ6" s="12"/>
      <c r="IK6" s="12"/>
    </row>
    <row r="7" spans="1:245" x14ac:dyDescent="0.25">
      <c r="A7" s="11">
        <v>46049.125</v>
      </c>
      <c r="B7" s="12">
        <v>65.124372649999998</v>
      </c>
      <c r="C7" s="12">
        <v>61.821751999999996</v>
      </c>
      <c r="D7" s="12">
        <v>61.923785000000002</v>
      </c>
      <c r="E7" s="12">
        <v>61.867134</v>
      </c>
      <c r="F7" s="12">
        <v>61.821751999999996</v>
      </c>
      <c r="G7" s="12">
        <v>62.162163</v>
      </c>
      <c r="H7" s="12">
        <v>67.431006999999994</v>
      </c>
      <c r="I7" s="12">
        <v>67.159006000000005</v>
      </c>
      <c r="J7" s="12">
        <v>67.600994</v>
      </c>
      <c r="K7" s="12">
        <v>62.257572000000003</v>
      </c>
      <c r="L7" s="12">
        <v>62.351477000000003</v>
      </c>
      <c r="M7" s="12">
        <v>64.620043999999993</v>
      </c>
      <c r="N7" s="12">
        <v>63.499825999999999</v>
      </c>
      <c r="O7" s="12">
        <v>65.136311000000006</v>
      </c>
      <c r="P7" s="12">
        <v>60.551803759999999</v>
      </c>
      <c r="Q7" s="12">
        <v>67.412593000000001</v>
      </c>
      <c r="R7" s="12">
        <v>62.612617</v>
      </c>
      <c r="S7" s="12">
        <v>64.277013999999994</v>
      </c>
      <c r="T7" s="12">
        <v>55.466645499999998</v>
      </c>
      <c r="U7" s="12">
        <v>55.951048</v>
      </c>
      <c r="V7" s="12">
        <v>63.607900000000001</v>
      </c>
      <c r="W7" s="12">
        <v>62.353068999999998</v>
      </c>
      <c r="X7" s="12">
        <v>60.018726000000001</v>
      </c>
      <c r="Y7" s="12">
        <v>61.318655</v>
      </c>
      <c r="Z7" s="12">
        <v>66.602613000000005</v>
      </c>
      <c r="AA7" s="12">
        <v>60.007412000000002</v>
      </c>
      <c r="AB7" s="12">
        <v>62.984321000000001</v>
      </c>
      <c r="AC7" s="12">
        <v>62.508656000000002</v>
      </c>
      <c r="AD7" s="12">
        <v>62.226553000000003</v>
      </c>
      <c r="AE7" s="12">
        <v>58.552304999999997</v>
      </c>
      <c r="AF7" s="12">
        <v>62.862383999999999</v>
      </c>
      <c r="AG7" s="12">
        <v>63.87389417</v>
      </c>
      <c r="AH7" s="12">
        <v>63.392611000000002</v>
      </c>
      <c r="AI7" s="12">
        <v>63.422756</v>
      </c>
      <c r="AJ7" s="12">
        <v>57.690491000000002</v>
      </c>
      <c r="AK7" s="12">
        <v>63.752574000000003</v>
      </c>
      <c r="AL7" s="12">
        <v>59.826729669999999</v>
      </c>
      <c r="AM7" s="12">
        <v>60.141038000000002</v>
      </c>
      <c r="AN7" s="12">
        <v>66.477363999999994</v>
      </c>
      <c r="AO7" s="12">
        <v>59.376511000000001</v>
      </c>
      <c r="AP7" s="12">
        <v>54.9517205</v>
      </c>
      <c r="AQ7" s="12">
        <v>55.206308999999997</v>
      </c>
      <c r="AR7" s="12">
        <v>67.612125000000006</v>
      </c>
      <c r="AS7" s="12">
        <v>65.543619000000007</v>
      </c>
      <c r="AT7" s="12">
        <v>65.543619000000007</v>
      </c>
      <c r="AU7" s="12">
        <v>66.214060000000003</v>
      </c>
      <c r="AV7" s="12">
        <v>62.575049999999997</v>
      </c>
      <c r="AW7" s="12">
        <v>58.592891999999999</v>
      </c>
      <c r="AX7" s="12">
        <v>58.946334</v>
      </c>
      <c r="AY7" s="12">
        <v>65.269914999999997</v>
      </c>
      <c r="AZ7" s="12">
        <v>62.217224999999999</v>
      </c>
      <c r="BA7" s="12">
        <v>62.031796</v>
      </c>
      <c r="BB7" s="12">
        <v>61.8364695</v>
      </c>
      <c r="BC7" s="12">
        <v>62.029060000000001</v>
      </c>
      <c r="BD7" s="12">
        <v>61.715045000000003</v>
      </c>
      <c r="BE7" s="12">
        <v>62.029060000000001</v>
      </c>
      <c r="BF7" s="12">
        <v>65.925573</v>
      </c>
      <c r="BG7" s="12">
        <v>66.25761</v>
      </c>
      <c r="BH7" s="12">
        <v>66.25761</v>
      </c>
      <c r="BI7" s="12">
        <v>66.25761</v>
      </c>
      <c r="BJ7" s="12">
        <v>60.137461999999999</v>
      </c>
      <c r="BK7" s="12">
        <v>60.537700999999998</v>
      </c>
      <c r="BL7" s="12">
        <v>63.883155000000002</v>
      </c>
      <c r="BM7" s="12">
        <v>63.752983999999998</v>
      </c>
      <c r="BN7" s="12">
        <v>63.665920999999997</v>
      </c>
      <c r="BO7" s="12">
        <v>62.159351000000001</v>
      </c>
      <c r="BP7" s="12">
        <v>64.682322999999997</v>
      </c>
      <c r="BQ7" s="12">
        <v>57.701318000000001</v>
      </c>
      <c r="BR7" s="12">
        <v>57.731091880000001</v>
      </c>
      <c r="BS7" s="12">
        <v>63.002501000000002</v>
      </c>
      <c r="BT7" s="12">
        <v>60.165422</v>
      </c>
      <c r="BU7" s="12">
        <v>65.678859970000005</v>
      </c>
      <c r="BV7" s="12">
        <v>65.258609000000007</v>
      </c>
      <c r="BW7" s="12">
        <v>66.424706</v>
      </c>
      <c r="BX7" s="12">
        <v>64.065685999999999</v>
      </c>
      <c r="BY7" s="12">
        <v>64.065685999999999</v>
      </c>
      <c r="BZ7" s="12">
        <v>63.635415000000002</v>
      </c>
      <c r="CA7" s="12">
        <v>63.61309</v>
      </c>
      <c r="CB7" s="12">
        <v>63.440171999999997</v>
      </c>
      <c r="CC7" s="12">
        <v>63.073466000000003</v>
      </c>
      <c r="CD7" s="12">
        <v>62.845813999999997</v>
      </c>
      <c r="CE7" s="12">
        <v>63.223106000000001</v>
      </c>
      <c r="CF7" s="12">
        <v>63.708410000000001</v>
      </c>
      <c r="CG7" s="12">
        <v>65.258609000000007</v>
      </c>
      <c r="CH7" s="12">
        <v>62.227331</v>
      </c>
      <c r="CI7" s="12">
        <v>62.217953000000001</v>
      </c>
      <c r="CJ7" s="12">
        <v>63.796826000000003</v>
      </c>
      <c r="CK7" s="12">
        <v>65.348889</v>
      </c>
      <c r="CL7" s="12">
        <v>65.961646000000002</v>
      </c>
      <c r="CM7" s="12">
        <v>65.991354000000001</v>
      </c>
      <c r="CN7" s="12">
        <v>65.199190000000002</v>
      </c>
      <c r="CO7" s="12">
        <v>65.892000999999993</v>
      </c>
      <c r="CP7" s="12">
        <v>61.071362999999998</v>
      </c>
      <c r="CQ7" s="12">
        <v>60.747630999999998</v>
      </c>
      <c r="CR7" s="12">
        <v>62.211466520000002</v>
      </c>
      <c r="CS7" s="12">
        <v>64.213431999999997</v>
      </c>
      <c r="CT7" s="12">
        <v>61.126415999999999</v>
      </c>
      <c r="CU7" s="12">
        <v>67.458962400000004</v>
      </c>
      <c r="CV7" s="12">
        <v>60.868186999999999</v>
      </c>
      <c r="CW7" s="12">
        <v>61.899417</v>
      </c>
      <c r="CX7" s="12">
        <v>68.27646987</v>
      </c>
      <c r="CY7" s="12">
        <v>60.506188999999999</v>
      </c>
      <c r="CZ7" s="12">
        <v>60.927999</v>
      </c>
      <c r="DA7" s="12">
        <v>61.262051999999997</v>
      </c>
      <c r="DB7" s="12">
        <v>64.028784000000002</v>
      </c>
      <c r="DC7" s="12">
        <v>67.566305999999997</v>
      </c>
      <c r="DD7" s="12">
        <v>67.711754999999997</v>
      </c>
      <c r="DE7" s="12">
        <v>66.424706</v>
      </c>
      <c r="DF7" s="12">
        <v>66.180111999999994</v>
      </c>
      <c r="DG7" s="12">
        <v>63.704127</v>
      </c>
      <c r="DH7" s="12">
        <v>64.065685999999999</v>
      </c>
      <c r="DI7" s="12">
        <v>62.579917999999999</v>
      </c>
      <c r="DJ7" s="12">
        <v>66.496190999999996</v>
      </c>
      <c r="DK7" s="12">
        <v>64.670721229999998</v>
      </c>
      <c r="DL7" s="12">
        <v>64.937364000000002</v>
      </c>
      <c r="DM7" s="12">
        <v>64.891906000000006</v>
      </c>
      <c r="DN7" s="12">
        <v>61.533442000000001</v>
      </c>
      <c r="DO7" s="12">
        <v>66.138056000000006</v>
      </c>
      <c r="DP7" s="12">
        <v>65.312483</v>
      </c>
      <c r="DQ7" s="12">
        <v>62.817146000000001</v>
      </c>
      <c r="DR7" s="12">
        <v>55.649897000000003</v>
      </c>
      <c r="DS7" s="12">
        <v>65.268617000000006</v>
      </c>
      <c r="DT7" s="12">
        <v>61.745963000000003</v>
      </c>
      <c r="DU7" s="12">
        <v>61.887551999999999</v>
      </c>
      <c r="DV7" s="12">
        <v>61.800919999999998</v>
      </c>
      <c r="DW7" s="12">
        <v>66.721322000000001</v>
      </c>
      <c r="DX7" s="12">
        <v>66.882442999999995</v>
      </c>
      <c r="DY7" s="12">
        <v>59.582704999999997</v>
      </c>
      <c r="DZ7" s="12">
        <v>58.310299999999998</v>
      </c>
      <c r="EA7" s="12">
        <v>58.310299999999998</v>
      </c>
      <c r="EB7" s="12">
        <v>58.463863490000001</v>
      </c>
      <c r="EC7" s="12">
        <v>63.999051000000001</v>
      </c>
      <c r="ED7" s="12">
        <v>64.138299000000004</v>
      </c>
      <c r="EE7" s="12">
        <v>60.411785999999999</v>
      </c>
      <c r="EF7" s="12">
        <v>60.803311999999998</v>
      </c>
      <c r="EG7" s="12">
        <v>57.896729000000001</v>
      </c>
      <c r="EH7" s="12">
        <v>61.154113000000002</v>
      </c>
      <c r="EI7" s="12">
        <v>73.71823637</v>
      </c>
      <c r="EJ7" s="12">
        <v>68.079937999999999</v>
      </c>
      <c r="EK7" s="12">
        <v>68.079937999999999</v>
      </c>
      <c r="EL7" s="12">
        <v>61.305582000000001</v>
      </c>
      <c r="EM7" s="12">
        <v>66.262505000000004</v>
      </c>
      <c r="EN7" s="12">
        <v>66.496190999999996</v>
      </c>
      <c r="EO7" s="12">
        <v>66.424706</v>
      </c>
      <c r="EP7" s="12">
        <v>61.633766999999999</v>
      </c>
      <c r="EQ7" s="12">
        <v>64.145810999999995</v>
      </c>
      <c r="ER7" s="12">
        <v>66.149846999999994</v>
      </c>
      <c r="ES7" s="12">
        <v>62.059486999999997</v>
      </c>
      <c r="ET7" s="12">
        <v>62.187590999999998</v>
      </c>
      <c r="EU7" s="12">
        <v>63.106698870000002</v>
      </c>
      <c r="EV7" s="12">
        <v>60.171768</v>
      </c>
      <c r="EW7" s="12">
        <v>59.656106999999999</v>
      </c>
      <c r="EX7" s="12">
        <v>60.742449999999998</v>
      </c>
      <c r="EY7" s="12">
        <v>63.402650999999999</v>
      </c>
      <c r="EZ7" s="12">
        <v>61.096119000000002</v>
      </c>
      <c r="FA7" s="12">
        <v>59.288350000000001</v>
      </c>
      <c r="FB7" s="12">
        <v>58.52749</v>
      </c>
      <c r="FC7" s="12">
        <v>60.874307999999999</v>
      </c>
      <c r="FD7" s="12">
        <v>61.098649999999999</v>
      </c>
      <c r="FE7" s="12">
        <v>61.192563999999997</v>
      </c>
      <c r="FF7" s="12">
        <v>67.130167130000004</v>
      </c>
      <c r="FG7" s="12">
        <v>60.770653000000003</v>
      </c>
      <c r="FH7" s="12">
        <v>65.878113999999997</v>
      </c>
      <c r="FI7" s="12">
        <v>62.497774</v>
      </c>
      <c r="FJ7" s="12">
        <v>74.79229943</v>
      </c>
      <c r="FK7" s="12">
        <v>64.554550090000006</v>
      </c>
      <c r="FL7" s="12">
        <v>68.376569000000003</v>
      </c>
      <c r="FM7" s="12">
        <v>58.384870999999997</v>
      </c>
      <c r="FN7" s="12">
        <v>58.774462999999997</v>
      </c>
      <c r="FO7" s="12">
        <v>60.934322999999999</v>
      </c>
      <c r="FP7" s="12">
        <v>63.796826000000003</v>
      </c>
      <c r="FQ7" s="12">
        <v>63.642605799999998</v>
      </c>
      <c r="FR7" s="12">
        <v>63.508687000000002</v>
      </c>
      <c r="FS7" s="12">
        <v>63.635415000000002</v>
      </c>
      <c r="FT7" s="12">
        <v>65.988057999999995</v>
      </c>
      <c r="FU7" s="12">
        <v>65.988057999999995</v>
      </c>
      <c r="FV7" s="12">
        <v>61.127586000000001</v>
      </c>
      <c r="FW7" s="12">
        <v>61.127586000000001</v>
      </c>
      <c r="FX7" s="12">
        <v>60.762265999999997</v>
      </c>
      <c r="FY7" s="12">
        <v>65.102976999999996</v>
      </c>
      <c r="FZ7" s="12">
        <v>65.052882999999994</v>
      </c>
      <c r="GA7" s="12">
        <v>63.997598000000004</v>
      </c>
      <c r="GB7" s="12">
        <v>63.950944</v>
      </c>
      <c r="GC7" s="12">
        <v>62.338534060000001</v>
      </c>
      <c r="GD7" s="12">
        <v>62.867142999999999</v>
      </c>
      <c r="GE7" s="12">
        <v>62.133099000000001</v>
      </c>
      <c r="GF7" s="12">
        <v>65.258609000000007</v>
      </c>
      <c r="GG7" s="12">
        <v>65.258609000000007</v>
      </c>
      <c r="GH7" s="12">
        <v>67.239819999999995</v>
      </c>
      <c r="GI7" s="12">
        <v>59.986391670000003</v>
      </c>
      <c r="GJ7" s="12">
        <v>66.262505000000004</v>
      </c>
      <c r="GK7" s="12">
        <v>66.180111999999994</v>
      </c>
      <c r="GL7" s="12">
        <v>68.206470519999996</v>
      </c>
      <c r="GM7" s="12">
        <v>56.542167999999997</v>
      </c>
      <c r="GN7" s="12">
        <v>68.206470519999996</v>
      </c>
      <c r="GO7" s="12">
        <v>65.988057999999995</v>
      </c>
      <c r="GP7" s="12">
        <v>62.269889999999997</v>
      </c>
      <c r="GQ7" s="12">
        <v>66.102132999999995</v>
      </c>
      <c r="GR7" s="12">
        <v>65.073188000000002</v>
      </c>
      <c r="GS7" s="12">
        <v>60.957765000000002</v>
      </c>
      <c r="GT7" s="12">
        <v>57.884749999999997</v>
      </c>
      <c r="GU7" s="12">
        <v>62.584645000000002</v>
      </c>
      <c r="GV7" s="12">
        <v>60.714697999999999</v>
      </c>
      <c r="GW7" s="12">
        <v>65.054658000000003</v>
      </c>
      <c r="GX7" s="12">
        <v>65.586178000000004</v>
      </c>
      <c r="GY7" s="12">
        <v>66.172152999999994</v>
      </c>
      <c r="GZ7" s="12">
        <v>66.064218999999994</v>
      </c>
      <c r="HA7" s="12">
        <v>62.584645000000002</v>
      </c>
      <c r="HB7" s="12">
        <v>62.584645000000002</v>
      </c>
      <c r="HC7" s="12">
        <v>62.584645000000002</v>
      </c>
      <c r="HD7" s="12">
        <v>66.102132999999995</v>
      </c>
      <c r="HE7" s="12">
        <v>66.191694999999996</v>
      </c>
      <c r="HF7" s="12">
        <v>66.149846999999994</v>
      </c>
      <c r="HG7" s="12">
        <v>66.149846999999994</v>
      </c>
      <c r="HH7" s="12">
        <v>66.149846999999994</v>
      </c>
      <c r="HI7" s="12">
        <v>61.454853999999997</v>
      </c>
      <c r="HJ7" s="12">
        <v>66.628788</v>
      </c>
      <c r="HK7" s="12">
        <v>66.424109999999999</v>
      </c>
      <c r="HL7" s="12">
        <v>64.209052</v>
      </c>
      <c r="HM7" s="12">
        <v>67.950885999999997</v>
      </c>
      <c r="HN7" s="12">
        <v>64.512433000000001</v>
      </c>
      <c r="HO7" s="12">
        <v>55.49314116</v>
      </c>
      <c r="HP7" s="12">
        <v>66.009686000000002</v>
      </c>
      <c r="HQ7" s="12">
        <v>62.244480500000002</v>
      </c>
      <c r="HR7" s="12">
        <v>62.380975999999997</v>
      </c>
      <c r="HS7" s="12">
        <v>60.729235000000003</v>
      </c>
      <c r="HT7" s="12">
        <v>61.146909000000001</v>
      </c>
      <c r="HU7" s="12">
        <v>57.689902699999998</v>
      </c>
      <c r="HV7" s="12">
        <v>56.591324499999999</v>
      </c>
      <c r="HW7" s="12">
        <v>56.898211000000003</v>
      </c>
      <c r="HX7" s="12">
        <v>60.749551369999999</v>
      </c>
      <c r="HY7" s="12">
        <v>62.48272</v>
      </c>
      <c r="HZ7" s="12">
        <v>67.206441999999996</v>
      </c>
      <c r="IA7" s="12"/>
      <c r="IB7" s="12"/>
      <c r="IC7" s="12"/>
      <c r="ID7" s="12"/>
      <c r="IE7" s="12"/>
      <c r="IF7" s="12"/>
      <c r="IG7" s="12"/>
      <c r="IH7" s="12"/>
      <c r="II7" s="12"/>
      <c r="IJ7" s="12"/>
      <c r="IK7" s="12"/>
    </row>
    <row r="8" spans="1:245" x14ac:dyDescent="0.25">
      <c r="A8" s="11">
        <v>46049.145833333336</v>
      </c>
      <c r="B8" s="12">
        <v>2.7870084400000001</v>
      </c>
      <c r="C8" s="12">
        <v>2.6501749999999999</v>
      </c>
      <c r="D8" s="12">
        <v>2.6543510000000001</v>
      </c>
      <c r="E8" s="12">
        <v>2.6520630000000001</v>
      </c>
      <c r="F8" s="12">
        <v>2.6501749999999999</v>
      </c>
      <c r="G8" s="12">
        <v>2.666509</v>
      </c>
      <c r="H8" s="12">
        <v>2.8824830000000001</v>
      </c>
      <c r="I8" s="12">
        <v>2.8722759999999998</v>
      </c>
      <c r="J8" s="12">
        <v>2.8891810000000002</v>
      </c>
      <c r="K8" s="12">
        <v>2.6668970000000001</v>
      </c>
      <c r="L8" s="12">
        <v>2.6726930000000002</v>
      </c>
      <c r="M8" s="12">
        <v>2.7653059999999998</v>
      </c>
      <c r="N8" s="12">
        <v>2.719096</v>
      </c>
      <c r="O8" s="12">
        <v>2.7883049999999998</v>
      </c>
      <c r="P8" s="12">
        <v>2.5885888800000001</v>
      </c>
      <c r="Q8" s="12">
        <v>2.8760300000000001</v>
      </c>
      <c r="R8" s="12">
        <v>2.6893989999999999</v>
      </c>
      <c r="S8" s="12">
        <v>2.752516</v>
      </c>
      <c r="T8" s="12">
        <v>2.3968880000000001</v>
      </c>
      <c r="U8" s="12">
        <v>2.4164029999999999</v>
      </c>
      <c r="V8" s="12">
        <v>2.7248290000000002</v>
      </c>
      <c r="W8" s="12">
        <v>2.6723509999999999</v>
      </c>
      <c r="X8" s="12">
        <v>2.5759720000000002</v>
      </c>
      <c r="Y8" s="12">
        <v>2.6297060000000001</v>
      </c>
      <c r="Z8" s="12">
        <v>2.8454220000000001</v>
      </c>
      <c r="AA8" s="12">
        <v>2.5725199999999999</v>
      </c>
      <c r="AB8" s="12">
        <v>2.6877420000000001</v>
      </c>
      <c r="AC8" s="12">
        <v>2.678725</v>
      </c>
      <c r="AD8" s="12">
        <v>2.6671670000000001</v>
      </c>
      <c r="AE8" s="12">
        <v>2.514869</v>
      </c>
      <c r="AF8" s="12">
        <v>2.6959819999999999</v>
      </c>
      <c r="AG8" s="12">
        <v>2.7381398199999998</v>
      </c>
      <c r="AH8" s="12">
        <v>2.717495</v>
      </c>
      <c r="AI8" s="12">
        <v>2.7185440000000001</v>
      </c>
      <c r="AJ8" s="12">
        <v>2.4724490000000001</v>
      </c>
      <c r="AK8" s="12">
        <v>2.7309260000000002</v>
      </c>
      <c r="AL8" s="12">
        <v>2.5655503300000002</v>
      </c>
      <c r="AM8" s="12">
        <v>2.5786989999999999</v>
      </c>
      <c r="AN8" s="12">
        <v>2.8401709999999998</v>
      </c>
      <c r="AO8" s="12">
        <v>2.530977</v>
      </c>
      <c r="AP8" s="12">
        <v>2.3669530000000001</v>
      </c>
      <c r="AQ8" s="12">
        <v>2.3773970000000002</v>
      </c>
      <c r="AR8" s="12">
        <v>2.886028</v>
      </c>
      <c r="AS8" s="12">
        <v>2.8007909999999998</v>
      </c>
      <c r="AT8" s="12">
        <v>2.8007909999999998</v>
      </c>
      <c r="AU8" s="12">
        <v>2.828274</v>
      </c>
      <c r="AV8" s="12">
        <v>2.6815224999999998</v>
      </c>
      <c r="AW8" s="12">
        <v>2.5199600000000002</v>
      </c>
      <c r="AX8" s="12">
        <v>2.5343279999999999</v>
      </c>
      <c r="AY8" s="12">
        <v>2.7934459999999999</v>
      </c>
      <c r="AZ8" s="12">
        <v>2.6672760000000002</v>
      </c>
      <c r="BA8" s="12">
        <v>2.6604869999999998</v>
      </c>
      <c r="BB8" s="12">
        <v>2.6524489999999998</v>
      </c>
      <c r="BC8" s="12">
        <v>2.6603750000000002</v>
      </c>
      <c r="BD8" s="12">
        <v>2.6490079999999998</v>
      </c>
      <c r="BE8" s="12">
        <v>2.6603750000000002</v>
      </c>
      <c r="BF8" s="12">
        <v>2.815671</v>
      </c>
      <c r="BG8" s="12">
        <v>2.8300640000000001</v>
      </c>
      <c r="BH8" s="12">
        <v>2.8300640000000001</v>
      </c>
      <c r="BI8" s="12">
        <v>2.8300640000000001</v>
      </c>
      <c r="BJ8" s="12">
        <v>2.5830009999999999</v>
      </c>
      <c r="BK8" s="12">
        <v>2.598462</v>
      </c>
      <c r="BL8" s="12">
        <v>2.7352210000000001</v>
      </c>
      <c r="BM8" s="12">
        <v>2.7298909999999998</v>
      </c>
      <c r="BN8" s="12">
        <v>2.706404</v>
      </c>
      <c r="BO8" s="12">
        <v>2.6490239999999998</v>
      </c>
      <c r="BP8" s="12">
        <v>2.771798</v>
      </c>
      <c r="BQ8" s="12">
        <v>2.4731960000000002</v>
      </c>
      <c r="BR8" s="12">
        <v>2.4744721699999999</v>
      </c>
      <c r="BS8" s="12">
        <v>2.6998310000000001</v>
      </c>
      <c r="BT8" s="12">
        <v>2.5789276700000001</v>
      </c>
      <c r="BU8" s="12">
        <v>2.7868185599999999</v>
      </c>
      <c r="BV8" s="12">
        <v>2.7929789999999999</v>
      </c>
      <c r="BW8" s="12">
        <v>2.8384800000000001</v>
      </c>
      <c r="BX8" s="12">
        <v>2.7183700000000002</v>
      </c>
      <c r="BY8" s="12">
        <v>2.7183700000000002</v>
      </c>
      <c r="BZ8" s="12">
        <v>2.7243729999999999</v>
      </c>
      <c r="CA8" s="12">
        <v>2.72845</v>
      </c>
      <c r="CB8" s="12">
        <v>2.700952</v>
      </c>
      <c r="CC8" s="12">
        <v>2.7082890000000002</v>
      </c>
      <c r="CD8" s="12">
        <v>2.6990150000000002</v>
      </c>
      <c r="CE8" s="12">
        <v>2.7129599999999998</v>
      </c>
      <c r="CF8" s="12">
        <v>2.7279840000000002</v>
      </c>
      <c r="CG8" s="12">
        <v>2.7929789999999999</v>
      </c>
      <c r="CH8" s="12">
        <v>2.6677209999999998</v>
      </c>
      <c r="CI8" s="12">
        <v>2.6673079999999998</v>
      </c>
      <c r="CJ8" s="12">
        <v>2.73108</v>
      </c>
      <c r="CK8" s="12">
        <v>2.7989160000000002</v>
      </c>
      <c r="CL8" s="12">
        <v>2.8241139999999998</v>
      </c>
      <c r="CM8" s="12">
        <v>2.8206410000000002</v>
      </c>
      <c r="CN8" s="12">
        <v>2.790527</v>
      </c>
      <c r="CO8" s="12">
        <v>2.8195990000000002</v>
      </c>
      <c r="CP8" s="12">
        <v>2.6207310000000001</v>
      </c>
      <c r="CQ8" s="12">
        <v>2.6036280000000001</v>
      </c>
      <c r="CR8" s="12">
        <v>2.6667377999999999</v>
      </c>
      <c r="CS8" s="12">
        <v>2.7501449999999998</v>
      </c>
      <c r="CT8" s="12">
        <v>2.6128800000000001</v>
      </c>
      <c r="CU8" s="12">
        <v>2.8738869999999999</v>
      </c>
      <c r="CV8" s="12">
        <v>2.6106229999999999</v>
      </c>
      <c r="CW8" s="12">
        <v>2.6529410000000002</v>
      </c>
      <c r="CX8" s="12">
        <v>2.9169331500000002</v>
      </c>
      <c r="CY8" s="12">
        <v>2.5938729999999999</v>
      </c>
      <c r="CZ8" s="12">
        <v>2.6135213300000002</v>
      </c>
      <c r="DA8" s="12">
        <v>2.6273219999999999</v>
      </c>
      <c r="DB8" s="12">
        <v>2.720723</v>
      </c>
      <c r="DC8" s="12">
        <v>2.8861330000000001</v>
      </c>
      <c r="DD8" s="12">
        <v>2.8919769999999998</v>
      </c>
      <c r="DE8" s="12">
        <v>2.8384800000000001</v>
      </c>
      <c r="DF8" s="12">
        <v>2.8284579999999999</v>
      </c>
      <c r="DG8" s="12">
        <v>2.703119</v>
      </c>
      <c r="DH8" s="12">
        <v>2.7183700000000002</v>
      </c>
      <c r="DI8" s="12">
        <v>2.6821229999999998</v>
      </c>
      <c r="DJ8" s="12">
        <v>2.8411209999999998</v>
      </c>
      <c r="DK8" s="12">
        <v>2.7738132100000001</v>
      </c>
      <c r="DL8" s="12">
        <v>2.7785899999999999</v>
      </c>
      <c r="DM8" s="12">
        <v>2.7765949999999999</v>
      </c>
      <c r="DN8" s="12">
        <v>2.6427036699999999</v>
      </c>
      <c r="DO8" s="12">
        <v>2.826854</v>
      </c>
      <c r="DP8" s="12">
        <v>2.7943389999999999</v>
      </c>
      <c r="DQ8" s="12">
        <v>2.691649</v>
      </c>
      <c r="DR8" s="12">
        <v>2.3867280000000002</v>
      </c>
      <c r="DS8" s="12">
        <v>2.7924349999999998</v>
      </c>
      <c r="DT8" s="12">
        <v>2.6489120000000002</v>
      </c>
      <c r="DU8" s="12">
        <v>2.6546460000000001</v>
      </c>
      <c r="DV8" s="12">
        <v>2.6500710000000001</v>
      </c>
      <c r="DW8" s="12">
        <v>2.8507180000000001</v>
      </c>
      <c r="DX8" s="12">
        <v>2.8573430000000002</v>
      </c>
      <c r="DY8" s="12">
        <v>2.5662370000000001</v>
      </c>
      <c r="DZ8" s="12">
        <v>2.4361739999999998</v>
      </c>
      <c r="EA8" s="12">
        <v>2.4361739999999998</v>
      </c>
      <c r="EB8" s="12">
        <v>2.5081441199999999</v>
      </c>
      <c r="EC8" s="12">
        <v>2.7396780000000001</v>
      </c>
      <c r="ED8" s="12">
        <v>2.7458909999999999</v>
      </c>
      <c r="EE8" s="12">
        <v>2.5945559999999999</v>
      </c>
      <c r="EF8" s="12">
        <v>2.6097290000000002</v>
      </c>
      <c r="EG8" s="12">
        <v>2.4867729999999999</v>
      </c>
      <c r="EH8" s="12">
        <v>2.6242049999999999</v>
      </c>
      <c r="EI8" s="12">
        <v>3.1494183499999999</v>
      </c>
      <c r="EJ8" s="12">
        <v>2.9046120000000002</v>
      </c>
      <c r="EK8" s="12">
        <v>2.9046120000000002</v>
      </c>
      <c r="EL8" s="12">
        <v>2.6205940000000001</v>
      </c>
      <c r="EM8" s="12">
        <v>2.831823</v>
      </c>
      <c r="EN8" s="12">
        <v>2.8411209999999998</v>
      </c>
      <c r="EO8" s="12">
        <v>2.8384800000000001</v>
      </c>
      <c r="EP8" s="12">
        <v>2.643389</v>
      </c>
      <c r="EQ8" s="12">
        <v>2.7402000000000002</v>
      </c>
      <c r="ER8" s="12">
        <v>2.82741</v>
      </c>
      <c r="ES8" s="12">
        <v>2.6605409999999998</v>
      </c>
      <c r="ET8" s="12">
        <v>2.6660110000000001</v>
      </c>
      <c r="EU8" s="12">
        <v>2.7042691200000002</v>
      </c>
      <c r="EV8" s="12">
        <v>2.579151</v>
      </c>
      <c r="EW8" s="12">
        <v>2.5534150000000002</v>
      </c>
      <c r="EX8" s="12">
        <v>2.6043449999999999</v>
      </c>
      <c r="EY8" s="12">
        <v>2.7010800000000001</v>
      </c>
      <c r="EZ8" s="12">
        <v>2.6197900000000001</v>
      </c>
      <c r="FA8" s="12">
        <v>2.5456560000000001</v>
      </c>
      <c r="FB8" s="12">
        <v>2.5136590000000001</v>
      </c>
      <c r="FC8" s="12">
        <v>2.6148769999999999</v>
      </c>
      <c r="FD8" s="12">
        <v>2.6225489999999998</v>
      </c>
      <c r="FE8" s="12">
        <v>2.6257619999999999</v>
      </c>
      <c r="FF8" s="12">
        <v>2.8749885900000001</v>
      </c>
      <c r="FG8" s="12">
        <v>2.606792</v>
      </c>
      <c r="FH8" s="12">
        <v>2.817005</v>
      </c>
      <c r="FI8" s="12">
        <v>2.6785610000000002</v>
      </c>
      <c r="FJ8" s="12">
        <v>3.2017710699999999</v>
      </c>
      <c r="FK8" s="12">
        <v>2.7630137000000001</v>
      </c>
      <c r="FL8" s="12">
        <v>2.9221309999999998</v>
      </c>
      <c r="FM8" s="12">
        <v>2.5196749999999999</v>
      </c>
      <c r="FN8" s="12">
        <v>2.5347940000000002</v>
      </c>
      <c r="FO8" s="12">
        <v>2.6127389999999999</v>
      </c>
      <c r="FP8" s="12">
        <v>2.73108</v>
      </c>
      <c r="FQ8" s="12">
        <v>2.7246808499999999</v>
      </c>
      <c r="FR8" s="12">
        <v>2.7191879999999999</v>
      </c>
      <c r="FS8" s="12">
        <v>2.7243729999999999</v>
      </c>
      <c r="FT8" s="12">
        <v>2.8205360000000002</v>
      </c>
      <c r="FU8" s="12">
        <v>2.8205360000000002</v>
      </c>
      <c r="FV8" s="12">
        <v>2.619774</v>
      </c>
      <c r="FW8" s="12">
        <v>2.619774</v>
      </c>
      <c r="FX8" s="12">
        <v>2.6047370000000001</v>
      </c>
      <c r="FY8" s="12">
        <v>2.7850130000000002</v>
      </c>
      <c r="FZ8" s="12">
        <v>2.7829259999999998</v>
      </c>
      <c r="GA8" s="12">
        <v>2.7261419999999998</v>
      </c>
      <c r="GB8" s="12">
        <v>2.7242739999999999</v>
      </c>
      <c r="GC8" s="12">
        <v>2.6748054400000001</v>
      </c>
      <c r="GD8" s="12">
        <v>2.6999559999999998</v>
      </c>
      <c r="GE8" s="12">
        <v>2.66289</v>
      </c>
      <c r="GF8" s="12">
        <v>2.7929789999999999</v>
      </c>
      <c r="GG8" s="12">
        <v>2.7929789999999999</v>
      </c>
      <c r="GH8" s="12">
        <v>2.8712399999999998</v>
      </c>
      <c r="GI8" s="12">
        <v>2.5716626699999998</v>
      </c>
      <c r="GJ8" s="12">
        <v>2.831823</v>
      </c>
      <c r="GK8" s="12">
        <v>2.8284579999999999</v>
      </c>
      <c r="GL8" s="12">
        <v>2.9139426099999999</v>
      </c>
      <c r="GM8" s="12">
        <v>2.4308700000000001</v>
      </c>
      <c r="GN8" s="12">
        <v>2.9139426099999999</v>
      </c>
      <c r="GO8" s="12">
        <v>2.8205360000000002</v>
      </c>
      <c r="GP8" s="12">
        <v>2.67048</v>
      </c>
      <c r="GQ8" s="12">
        <v>2.8251520000000001</v>
      </c>
      <c r="GR8" s="12">
        <v>2.784805</v>
      </c>
      <c r="GS8" s="12">
        <v>2.6146569999999998</v>
      </c>
      <c r="GT8" s="12">
        <v>2.4868220000000001</v>
      </c>
      <c r="GU8" s="12">
        <v>2.682331</v>
      </c>
      <c r="GV8" s="12">
        <v>2.6109490000000002</v>
      </c>
      <c r="GW8" s="12">
        <v>2.7849140000000001</v>
      </c>
      <c r="GX8" s="12">
        <v>2.8014779999999999</v>
      </c>
      <c r="GY8" s="12">
        <v>2.8276789999999998</v>
      </c>
      <c r="GZ8" s="12">
        <v>2.8235809999999999</v>
      </c>
      <c r="HA8" s="12">
        <v>2.682331</v>
      </c>
      <c r="HB8" s="12">
        <v>2.682331</v>
      </c>
      <c r="HC8" s="12">
        <v>2.682331</v>
      </c>
      <c r="HD8" s="12">
        <v>2.8251520000000001</v>
      </c>
      <c r="HE8" s="12">
        <v>2.8290899999999999</v>
      </c>
      <c r="HF8" s="12">
        <v>2.82741</v>
      </c>
      <c r="HG8" s="12">
        <v>2.82741</v>
      </c>
      <c r="HH8" s="12">
        <v>2.82741</v>
      </c>
      <c r="HI8" s="12">
        <v>2.6354419999999998</v>
      </c>
      <c r="HJ8" s="12">
        <v>2.8481610000000002</v>
      </c>
      <c r="HK8" s="12">
        <v>2.8398330000000001</v>
      </c>
      <c r="HL8" s="12">
        <v>2.7501709999999999</v>
      </c>
      <c r="HM8" s="12">
        <v>2.9030459999999998</v>
      </c>
      <c r="HN8" s="12">
        <v>2.7615940000000001</v>
      </c>
      <c r="HO8" s="12">
        <v>2.38577007</v>
      </c>
      <c r="HP8" s="12">
        <v>2.8220860000000001</v>
      </c>
      <c r="HQ8" s="12">
        <v>2.6676090000000001</v>
      </c>
      <c r="HR8" s="12">
        <v>2.673241</v>
      </c>
      <c r="HS8" s="12">
        <v>2.605318</v>
      </c>
      <c r="HT8" s="12">
        <v>2.6223939999999999</v>
      </c>
      <c r="HU8" s="12">
        <v>2.47562375</v>
      </c>
      <c r="HV8" s="12">
        <v>2.4340194999999998</v>
      </c>
      <c r="HW8" s="12">
        <v>2.4465699999999999</v>
      </c>
      <c r="HX8" s="12">
        <v>2.5997263799999999</v>
      </c>
      <c r="HY8" s="12">
        <v>2.6776330000000002</v>
      </c>
      <c r="HZ8" s="12">
        <v>2.87209</v>
      </c>
      <c r="IA8" s="12"/>
      <c r="IB8" s="12"/>
      <c r="IC8" s="12"/>
      <c r="ID8" s="12"/>
      <c r="IE8" s="12"/>
      <c r="IF8" s="12"/>
      <c r="IG8" s="12"/>
      <c r="IH8" s="12"/>
      <c r="II8" s="12"/>
      <c r="IJ8" s="12"/>
      <c r="IK8" s="12"/>
    </row>
    <row r="9" spans="1:245" x14ac:dyDescent="0.25">
      <c r="A9" s="11">
        <v>46049.166666666664</v>
      </c>
      <c r="B9" s="12">
        <v>64.721536760000006</v>
      </c>
      <c r="C9" s="12">
        <v>61.360951999999997</v>
      </c>
      <c r="D9" s="12">
        <v>61.460259000000001</v>
      </c>
      <c r="E9" s="12">
        <v>61.405085999999997</v>
      </c>
      <c r="F9" s="12">
        <v>61.360951999999997</v>
      </c>
      <c r="G9" s="12">
        <v>61.651685000000001</v>
      </c>
      <c r="H9" s="12">
        <v>66.570646999999994</v>
      </c>
      <c r="I9" s="12">
        <v>66.302980000000005</v>
      </c>
      <c r="J9" s="12">
        <v>66.757520999999997</v>
      </c>
      <c r="K9" s="12">
        <v>61.749490000000002</v>
      </c>
      <c r="L9" s="12">
        <v>61.914895000000001</v>
      </c>
      <c r="M9" s="12">
        <v>64.180600999999996</v>
      </c>
      <c r="N9" s="12">
        <v>63.054167999999997</v>
      </c>
      <c r="O9" s="12">
        <v>64.756906000000001</v>
      </c>
      <c r="P9" s="12">
        <v>60.155169030000003</v>
      </c>
      <c r="Q9" s="12">
        <v>66.689554000000001</v>
      </c>
      <c r="R9" s="12">
        <v>62.217998000000001</v>
      </c>
      <c r="S9" s="12">
        <v>63.891691999999999</v>
      </c>
      <c r="T9" s="12">
        <v>55.027485499999997</v>
      </c>
      <c r="U9" s="12">
        <v>55.506349</v>
      </c>
      <c r="V9" s="12">
        <v>63.224930000000001</v>
      </c>
      <c r="W9" s="12">
        <v>61.857666000000002</v>
      </c>
      <c r="X9" s="12">
        <v>59.569718000000002</v>
      </c>
      <c r="Y9" s="12">
        <v>60.845329</v>
      </c>
      <c r="Z9" s="12">
        <v>66.180173999999994</v>
      </c>
      <c r="AA9" s="12">
        <v>59.608404</v>
      </c>
      <c r="AB9" s="12">
        <v>62.470326999999997</v>
      </c>
      <c r="AC9" s="12">
        <v>62.015379000000003</v>
      </c>
      <c r="AD9" s="12">
        <v>61.733474000000001</v>
      </c>
      <c r="AE9" s="12">
        <v>58.105933</v>
      </c>
      <c r="AF9" s="12">
        <v>62.468587999999997</v>
      </c>
      <c r="AG9" s="12">
        <v>63.475986450000001</v>
      </c>
      <c r="AH9" s="12">
        <v>62.993440999999997</v>
      </c>
      <c r="AI9" s="12">
        <v>63.028218000000003</v>
      </c>
      <c r="AJ9" s="12">
        <v>57.222667000000001</v>
      </c>
      <c r="AK9" s="12">
        <v>63.370469</v>
      </c>
      <c r="AL9" s="12">
        <v>59.488700000000001</v>
      </c>
      <c r="AM9" s="12">
        <v>59.779257000000001</v>
      </c>
      <c r="AN9" s="12">
        <v>66.007893999999993</v>
      </c>
      <c r="AO9" s="12">
        <v>58.914841000000003</v>
      </c>
      <c r="AP9" s="12">
        <v>54.546829500000001</v>
      </c>
      <c r="AQ9" s="12">
        <v>54.798887000000001</v>
      </c>
      <c r="AR9" s="12">
        <v>67.124733000000006</v>
      </c>
      <c r="AS9" s="12">
        <v>65.145055999999997</v>
      </c>
      <c r="AT9" s="12">
        <v>65.145055999999997</v>
      </c>
      <c r="AU9" s="12">
        <v>65.803712000000004</v>
      </c>
      <c r="AV9" s="12">
        <v>62.067462999999996</v>
      </c>
      <c r="AW9" s="12">
        <v>58.1454515</v>
      </c>
      <c r="AX9" s="12">
        <v>58.496659999999999</v>
      </c>
      <c r="AY9" s="12">
        <v>64.860699999999994</v>
      </c>
      <c r="AZ9" s="12">
        <v>61.718587999999997</v>
      </c>
      <c r="BA9" s="12">
        <v>61.530946</v>
      </c>
      <c r="BB9" s="12">
        <v>61.337890999999999</v>
      </c>
      <c r="BC9" s="12">
        <v>61.528241999999999</v>
      </c>
      <c r="BD9" s="12">
        <v>61.209631000000002</v>
      </c>
      <c r="BE9" s="12">
        <v>61.528241999999999</v>
      </c>
      <c r="BF9" s="12">
        <v>65.536536999999996</v>
      </c>
      <c r="BG9" s="12">
        <v>65.846768999999995</v>
      </c>
      <c r="BH9" s="12">
        <v>65.846768999999995</v>
      </c>
      <c r="BI9" s="12">
        <v>65.846768999999995</v>
      </c>
      <c r="BJ9" s="12">
        <v>59.710802999999999</v>
      </c>
      <c r="BK9" s="12">
        <v>60.104315</v>
      </c>
      <c r="BL9" s="12">
        <v>63.625886000000001</v>
      </c>
      <c r="BM9" s="12">
        <v>63.434350000000002</v>
      </c>
      <c r="BN9" s="12">
        <v>63.128839999999997</v>
      </c>
      <c r="BO9" s="12">
        <v>61.685924</v>
      </c>
      <c r="BP9" s="12">
        <v>64.276104000000004</v>
      </c>
      <c r="BQ9" s="12">
        <v>57.236539</v>
      </c>
      <c r="BR9" s="12">
        <v>57.266073050000003</v>
      </c>
      <c r="BS9" s="12">
        <v>62.550441999999997</v>
      </c>
      <c r="BT9" s="12">
        <v>59.811880670000001</v>
      </c>
      <c r="BU9" s="12">
        <v>65.126795419999993</v>
      </c>
      <c r="BV9" s="12">
        <v>64.851431000000005</v>
      </c>
      <c r="BW9" s="12">
        <v>65.923274000000006</v>
      </c>
      <c r="BX9" s="12">
        <v>63.527180999999999</v>
      </c>
      <c r="BY9" s="12">
        <v>63.527180999999999</v>
      </c>
      <c r="BZ9" s="12">
        <v>63.126455999999997</v>
      </c>
      <c r="CA9" s="12">
        <v>63.103673000000001</v>
      </c>
      <c r="CB9" s="12">
        <v>62.901684000000003</v>
      </c>
      <c r="CC9" s="12">
        <v>62.678283999999998</v>
      </c>
      <c r="CD9" s="12">
        <v>62.455382999999998</v>
      </c>
      <c r="CE9" s="12">
        <v>62.786152999999999</v>
      </c>
      <c r="CF9" s="12">
        <v>63.360287999999997</v>
      </c>
      <c r="CG9" s="12">
        <v>64.851431000000005</v>
      </c>
      <c r="CH9" s="12">
        <v>61.728844000000002</v>
      </c>
      <c r="CI9" s="12">
        <v>61.719327</v>
      </c>
      <c r="CJ9" s="12">
        <v>63.355902999999998</v>
      </c>
      <c r="CK9" s="12">
        <v>64.997461999999999</v>
      </c>
      <c r="CL9" s="12">
        <v>65.593890000000002</v>
      </c>
      <c r="CM9" s="12">
        <v>65.553279000000003</v>
      </c>
      <c r="CN9" s="12">
        <v>64.802723999999998</v>
      </c>
      <c r="CO9" s="12">
        <v>65.494743</v>
      </c>
      <c r="CP9" s="12">
        <v>60.608226999999999</v>
      </c>
      <c r="CQ9" s="12">
        <v>60.388531</v>
      </c>
      <c r="CR9" s="12">
        <v>61.800357689999998</v>
      </c>
      <c r="CS9" s="12">
        <v>63.703795999999997</v>
      </c>
      <c r="CT9" s="12">
        <v>60.695993000000001</v>
      </c>
      <c r="CU9" s="12">
        <v>66.833848250000003</v>
      </c>
      <c r="CV9" s="12">
        <v>60.392358999999999</v>
      </c>
      <c r="CW9" s="12">
        <v>61.427931999999998</v>
      </c>
      <c r="CX9" s="12">
        <v>67.843414129999999</v>
      </c>
      <c r="CY9" s="12">
        <v>60.087252999999997</v>
      </c>
      <c r="CZ9" s="12">
        <v>60.445037329999998</v>
      </c>
      <c r="DA9" s="12">
        <v>60.776488000000001</v>
      </c>
      <c r="DB9" s="12">
        <v>63.506048</v>
      </c>
      <c r="DC9" s="12">
        <v>66.980559</v>
      </c>
      <c r="DD9" s="12">
        <v>67.151190999999997</v>
      </c>
      <c r="DE9" s="12">
        <v>65.923274000000006</v>
      </c>
      <c r="DF9" s="12">
        <v>65.68938</v>
      </c>
      <c r="DG9" s="12">
        <v>63.166882000000001</v>
      </c>
      <c r="DH9" s="12">
        <v>63.527180999999999</v>
      </c>
      <c r="DI9" s="12">
        <v>62.076359500000002</v>
      </c>
      <c r="DJ9" s="12">
        <v>66.307062000000002</v>
      </c>
      <c r="DK9" s="12">
        <v>64.152834670000004</v>
      </c>
      <c r="DL9" s="12">
        <v>64.482284000000007</v>
      </c>
      <c r="DM9" s="12">
        <v>64.434955000000002</v>
      </c>
      <c r="DN9" s="12">
        <v>61.027634669999998</v>
      </c>
      <c r="DO9" s="12">
        <v>65.700517000000005</v>
      </c>
      <c r="DP9" s="12">
        <v>64.911248999999998</v>
      </c>
      <c r="DQ9" s="12">
        <v>62.450122</v>
      </c>
      <c r="DR9" s="12">
        <v>55.166024999999998</v>
      </c>
      <c r="DS9" s="12">
        <v>64.870790999999997</v>
      </c>
      <c r="DT9" s="12">
        <v>61.247340000000001</v>
      </c>
      <c r="DU9" s="12">
        <v>61.387825999999997</v>
      </c>
      <c r="DV9" s="12">
        <v>61.322637999999998</v>
      </c>
      <c r="DW9" s="12">
        <v>66.232878999999997</v>
      </c>
      <c r="DX9" s="12">
        <v>66.426029</v>
      </c>
      <c r="DY9" s="12">
        <v>59.210262</v>
      </c>
      <c r="DZ9" s="12">
        <v>57.855983000000002</v>
      </c>
      <c r="EA9" s="12">
        <v>57.855983000000002</v>
      </c>
      <c r="EB9" s="12">
        <v>58.053014300000001</v>
      </c>
      <c r="EC9" s="12">
        <v>63.593314999999997</v>
      </c>
      <c r="ED9" s="12">
        <v>63.731971000000001</v>
      </c>
      <c r="EE9" s="12">
        <v>59.955962999999997</v>
      </c>
      <c r="EF9" s="12">
        <v>60.339920999999997</v>
      </c>
      <c r="EG9" s="12">
        <v>57.446607999999998</v>
      </c>
      <c r="EH9" s="12">
        <v>60.697442000000002</v>
      </c>
      <c r="EI9" s="12">
        <v>73.250665249999997</v>
      </c>
      <c r="EJ9" s="12">
        <v>67.582851000000005</v>
      </c>
      <c r="EK9" s="12">
        <v>67.582851000000005</v>
      </c>
      <c r="EL9" s="12">
        <v>60.892881000000003</v>
      </c>
      <c r="EM9" s="12">
        <v>65.767449999999997</v>
      </c>
      <c r="EN9" s="12">
        <v>65.993566000000001</v>
      </c>
      <c r="EO9" s="12">
        <v>65.923274000000006</v>
      </c>
      <c r="EP9" s="12">
        <v>61.114521000000003</v>
      </c>
      <c r="EQ9" s="12">
        <v>63.703935000000001</v>
      </c>
      <c r="ER9" s="12">
        <v>65.713868000000005</v>
      </c>
      <c r="ES9" s="12">
        <v>61.536082999999998</v>
      </c>
      <c r="ET9" s="12">
        <v>61.684303999999997</v>
      </c>
      <c r="EU9" s="12">
        <v>62.595934079999999</v>
      </c>
      <c r="EV9" s="12">
        <v>59.715254000000002</v>
      </c>
      <c r="EW9" s="12">
        <v>59.190266999999999</v>
      </c>
      <c r="EX9" s="12">
        <v>60.287273999999996</v>
      </c>
      <c r="EY9" s="12">
        <v>62.815125000000002</v>
      </c>
      <c r="EZ9" s="12">
        <v>60.674778000000003</v>
      </c>
      <c r="FA9" s="12">
        <v>58.823965000000001</v>
      </c>
      <c r="FB9" s="12">
        <v>58.087147000000002</v>
      </c>
      <c r="FC9" s="12">
        <v>60.373807999999997</v>
      </c>
      <c r="FD9" s="12">
        <v>60.632050999999997</v>
      </c>
      <c r="FE9" s="12">
        <v>60.740129000000003</v>
      </c>
      <c r="FF9" s="12">
        <v>66.695779340000001</v>
      </c>
      <c r="FG9" s="12">
        <v>60.320404000000003</v>
      </c>
      <c r="FH9" s="12">
        <v>65.464061000000001</v>
      </c>
      <c r="FI9" s="12">
        <v>62.003430000000002</v>
      </c>
      <c r="FJ9" s="12">
        <v>74.381382819999999</v>
      </c>
      <c r="FK9" s="12">
        <v>64.291628979999999</v>
      </c>
      <c r="FL9" s="12">
        <v>68.060303000000005</v>
      </c>
      <c r="FM9" s="12">
        <v>58.047560500000003</v>
      </c>
      <c r="FN9" s="12">
        <v>58.417287000000002</v>
      </c>
      <c r="FO9" s="12">
        <v>60.477299000000002</v>
      </c>
      <c r="FP9" s="12">
        <v>63.355902999999998</v>
      </c>
      <c r="FQ9" s="12">
        <v>63.133589290000003</v>
      </c>
      <c r="FR9" s="12">
        <v>63.003073999999998</v>
      </c>
      <c r="FS9" s="12">
        <v>63.126455999999997</v>
      </c>
      <c r="FT9" s="12">
        <v>65.502647999999994</v>
      </c>
      <c r="FU9" s="12">
        <v>65.502647999999994</v>
      </c>
      <c r="FV9" s="12">
        <v>60.653039999999997</v>
      </c>
      <c r="FW9" s="12">
        <v>60.653039999999997</v>
      </c>
      <c r="FX9" s="12">
        <v>60.290666999999999</v>
      </c>
      <c r="FY9" s="12">
        <v>64.638587999999999</v>
      </c>
      <c r="FZ9" s="12">
        <v>64.588441000000003</v>
      </c>
      <c r="GA9" s="12">
        <v>63.502085999999998</v>
      </c>
      <c r="GB9" s="12">
        <v>63.453673000000002</v>
      </c>
      <c r="GC9" s="12">
        <v>61.873875920000003</v>
      </c>
      <c r="GD9" s="12">
        <v>62.481490000000001</v>
      </c>
      <c r="GE9" s="12">
        <v>61.777527999999997</v>
      </c>
      <c r="GF9" s="12">
        <v>64.851431000000005</v>
      </c>
      <c r="GG9" s="12">
        <v>64.851431000000005</v>
      </c>
      <c r="GH9" s="12">
        <v>66.760160999999997</v>
      </c>
      <c r="GI9" s="12">
        <v>59.587614670000001</v>
      </c>
      <c r="GJ9" s="12">
        <v>65.767449999999997</v>
      </c>
      <c r="GK9" s="12">
        <v>65.68938</v>
      </c>
      <c r="GL9" s="12">
        <v>67.773858770000004</v>
      </c>
      <c r="GM9" s="12">
        <v>56.098039</v>
      </c>
      <c r="GN9" s="12">
        <v>67.773858770000004</v>
      </c>
      <c r="GO9" s="12">
        <v>65.502647999999994</v>
      </c>
      <c r="GP9" s="12">
        <v>61.761415</v>
      </c>
      <c r="GQ9" s="12">
        <v>65.614706999999996</v>
      </c>
      <c r="GR9" s="12">
        <v>64.665408999999997</v>
      </c>
      <c r="GS9" s="12">
        <v>60.516961999999999</v>
      </c>
      <c r="GT9" s="12">
        <v>57.449154</v>
      </c>
      <c r="GU9" s="12">
        <v>62.076281000000002</v>
      </c>
      <c r="GV9" s="12">
        <v>60.321517</v>
      </c>
      <c r="GW9" s="12">
        <v>64.697241000000005</v>
      </c>
      <c r="GX9" s="12">
        <v>65.204526000000001</v>
      </c>
      <c r="GY9" s="12">
        <v>65.705928</v>
      </c>
      <c r="GZ9" s="12">
        <v>65.592157</v>
      </c>
      <c r="HA9" s="12">
        <v>62.076281000000002</v>
      </c>
      <c r="HB9" s="12">
        <v>62.076281000000002</v>
      </c>
      <c r="HC9" s="12">
        <v>62.076281000000002</v>
      </c>
      <c r="HD9" s="12">
        <v>65.614706999999996</v>
      </c>
      <c r="HE9" s="12">
        <v>65.754727000000003</v>
      </c>
      <c r="HF9" s="12">
        <v>65.713868000000005</v>
      </c>
      <c r="HG9" s="12">
        <v>65.713868000000005</v>
      </c>
      <c r="HH9" s="12">
        <v>65.713868000000005</v>
      </c>
      <c r="HI9" s="12">
        <v>61.010207999999999</v>
      </c>
      <c r="HJ9" s="12">
        <v>66.181855999999996</v>
      </c>
      <c r="HK9" s="12">
        <v>65.976896999999994</v>
      </c>
      <c r="HL9" s="12">
        <v>63.792161999999998</v>
      </c>
      <c r="HM9" s="12">
        <v>67.099192000000002</v>
      </c>
      <c r="HN9" s="12">
        <v>64.137891999999994</v>
      </c>
      <c r="HO9" s="12">
        <v>55.057252079999998</v>
      </c>
      <c r="HP9" s="12">
        <v>65.583550000000002</v>
      </c>
      <c r="HQ9" s="12">
        <v>61.740389499999999</v>
      </c>
      <c r="HR9" s="12">
        <v>61.876539999999999</v>
      </c>
      <c r="HS9" s="12">
        <v>60.302382999999999</v>
      </c>
      <c r="HT9" s="12">
        <v>60.704422999999998</v>
      </c>
      <c r="HU9" s="12">
        <v>57.252410079999997</v>
      </c>
      <c r="HV9" s="12">
        <v>56.171590000000002</v>
      </c>
      <c r="HW9" s="12">
        <v>56.476252000000002</v>
      </c>
      <c r="HX9" s="12">
        <v>60.365210529999999</v>
      </c>
      <c r="HY9" s="12">
        <v>61.987270000000002</v>
      </c>
      <c r="HZ9" s="12">
        <v>66.794949000000003</v>
      </c>
      <c r="IA9" s="12"/>
      <c r="IB9" s="12"/>
      <c r="IC9" s="12"/>
      <c r="ID9" s="12"/>
      <c r="IE9" s="12"/>
      <c r="IF9" s="12"/>
      <c r="IG9" s="12"/>
      <c r="IH9" s="12"/>
      <c r="II9" s="12"/>
      <c r="IJ9" s="12"/>
      <c r="IK9" s="12"/>
    </row>
    <row r="10" spans="1:245" x14ac:dyDescent="0.25">
      <c r="A10" s="11">
        <v>46049.1875</v>
      </c>
      <c r="B10" s="12">
        <v>65.332247370000005</v>
      </c>
      <c r="C10" s="12">
        <v>61.869638999999999</v>
      </c>
      <c r="D10" s="12">
        <v>61.968800000000002</v>
      </c>
      <c r="E10" s="12">
        <v>61.915303999999999</v>
      </c>
      <c r="F10" s="12">
        <v>61.869638999999999</v>
      </c>
      <c r="G10" s="12">
        <v>62.228628999999998</v>
      </c>
      <c r="H10" s="12">
        <v>67.298385999999994</v>
      </c>
      <c r="I10" s="12">
        <v>67.027350999999996</v>
      </c>
      <c r="J10" s="12">
        <v>67.487092000000004</v>
      </c>
      <c r="K10" s="12">
        <v>62.346507000000003</v>
      </c>
      <c r="L10" s="12">
        <v>62.459248000000002</v>
      </c>
      <c r="M10" s="12">
        <v>64.847927999999996</v>
      </c>
      <c r="N10" s="12">
        <v>63.710842999999997</v>
      </c>
      <c r="O10" s="12">
        <v>65.395959000000005</v>
      </c>
      <c r="P10" s="12">
        <v>60.715716319999999</v>
      </c>
      <c r="Q10" s="12">
        <v>67.410608999999994</v>
      </c>
      <c r="R10" s="12">
        <v>62.876308000000002</v>
      </c>
      <c r="S10" s="12">
        <v>64.511848000000001</v>
      </c>
      <c r="T10" s="12">
        <v>55.496626999999997</v>
      </c>
      <c r="U10" s="12">
        <v>55.982557999999997</v>
      </c>
      <c r="V10" s="12">
        <v>63.832098000000002</v>
      </c>
      <c r="W10" s="12">
        <v>62.425099000000003</v>
      </c>
      <c r="X10" s="12">
        <v>60.096457999999998</v>
      </c>
      <c r="Y10" s="12">
        <v>61.388362999999998</v>
      </c>
      <c r="Z10" s="12">
        <v>66.858553000000001</v>
      </c>
      <c r="AA10" s="12">
        <v>60.093027999999997</v>
      </c>
      <c r="AB10" s="12">
        <v>63.103107000000001</v>
      </c>
      <c r="AC10" s="12">
        <v>62.588861000000001</v>
      </c>
      <c r="AD10" s="12">
        <v>62.298867000000001</v>
      </c>
      <c r="AE10" s="12">
        <v>58.578085999999999</v>
      </c>
      <c r="AF10" s="12">
        <v>63.103107250000001</v>
      </c>
      <c r="AG10" s="12">
        <v>64.107837919999994</v>
      </c>
      <c r="AH10" s="12">
        <v>63.620610999999997</v>
      </c>
      <c r="AI10" s="12">
        <v>63.654437999999999</v>
      </c>
      <c r="AJ10" s="12">
        <v>57.700637999999998</v>
      </c>
      <c r="AK10" s="12">
        <v>63.980145999999998</v>
      </c>
      <c r="AL10" s="12">
        <v>59.894627</v>
      </c>
      <c r="AM10" s="12">
        <v>60.217927000000003</v>
      </c>
      <c r="AN10" s="12">
        <v>66.680021999999994</v>
      </c>
      <c r="AO10" s="12">
        <v>59.409315999999997</v>
      </c>
      <c r="AP10" s="12">
        <v>54.982757999999997</v>
      </c>
      <c r="AQ10" s="12">
        <v>55.237366999999999</v>
      </c>
      <c r="AR10" s="12">
        <v>67.857294999999993</v>
      </c>
      <c r="AS10" s="12">
        <v>65.796791999999996</v>
      </c>
      <c r="AT10" s="12">
        <v>65.796791999999996</v>
      </c>
      <c r="AU10" s="12">
        <v>66.457885000000005</v>
      </c>
      <c r="AV10" s="12">
        <v>62.642868499999999</v>
      </c>
      <c r="AW10" s="12">
        <v>58.664551500000002</v>
      </c>
      <c r="AX10" s="12">
        <v>59.020395000000001</v>
      </c>
      <c r="AY10" s="12">
        <v>65.471729999999994</v>
      </c>
      <c r="AZ10" s="12">
        <v>62.294567999999998</v>
      </c>
      <c r="BA10" s="12">
        <v>62.107132</v>
      </c>
      <c r="BB10" s="12">
        <v>61.9113635</v>
      </c>
      <c r="BC10" s="12">
        <v>62.104391</v>
      </c>
      <c r="BD10" s="12">
        <v>61.786245000000001</v>
      </c>
      <c r="BE10" s="12">
        <v>62.104391</v>
      </c>
      <c r="BF10" s="12">
        <v>66.174862000000005</v>
      </c>
      <c r="BG10" s="12">
        <v>66.503056000000001</v>
      </c>
      <c r="BH10" s="12">
        <v>66.503056000000001</v>
      </c>
      <c r="BI10" s="12">
        <v>66.503056000000001</v>
      </c>
      <c r="BJ10" s="12">
        <v>60.210092000000003</v>
      </c>
      <c r="BK10" s="12">
        <v>60.615245999999999</v>
      </c>
      <c r="BL10" s="12">
        <v>64.206091000000001</v>
      </c>
      <c r="BM10" s="12">
        <v>64.011612999999997</v>
      </c>
      <c r="BN10" s="12">
        <v>63.798743000000002</v>
      </c>
      <c r="BO10" s="12">
        <v>62.275485000000003</v>
      </c>
      <c r="BP10" s="12">
        <v>64.961855</v>
      </c>
      <c r="BQ10" s="12">
        <v>57.713259000000001</v>
      </c>
      <c r="BR10" s="12">
        <v>57.743039039999999</v>
      </c>
      <c r="BS10" s="12">
        <v>63.168852999999999</v>
      </c>
      <c r="BT10" s="12">
        <v>60.371411999999999</v>
      </c>
      <c r="BU10" s="12">
        <v>65.823203269999993</v>
      </c>
      <c r="BV10" s="12">
        <v>65.458639000000005</v>
      </c>
      <c r="BW10" s="12">
        <v>66.592231999999996</v>
      </c>
      <c r="BX10" s="12">
        <v>64.206484000000003</v>
      </c>
      <c r="BY10" s="12">
        <v>64.206484000000003</v>
      </c>
      <c r="BZ10" s="12">
        <v>63.630879999999998</v>
      </c>
      <c r="CA10" s="12">
        <v>63.746879</v>
      </c>
      <c r="CB10" s="12">
        <v>63.568345000000001</v>
      </c>
      <c r="CC10" s="12">
        <v>63.351370000000003</v>
      </c>
      <c r="CD10" s="12">
        <v>63.122689999999999</v>
      </c>
      <c r="CE10" s="12">
        <v>63.420180999999999</v>
      </c>
      <c r="CF10" s="12">
        <v>64.126735999999994</v>
      </c>
      <c r="CG10" s="12">
        <v>65.458639000000005</v>
      </c>
      <c r="CH10" s="12">
        <v>62.304879</v>
      </c>
      <c r="CI10" s="12">
        <v>62.295310999999998</v>
      </c>
      <c r="CJ10" s="12">
        <v>63.984994</v>
      </c>
      <c r="CK10" s="12">
        <v>65.587294</v>
      </c>
      <c r="CL10" s="12">
        <v>66.198274999999995</v>
      </c>
      <c r="CM10" s="12">
        <v>66.162171999999998</v>
      </c>
      <c r="CN10" s="12">
        <v>65.389837</v>
      </c>
      <c r="CO10" s="12">
        <v>66.088904999999997</v>
      </c>
      <c r="CP10" s="12">
        <v>61.15972</v>
      </c>
      <c r="CQ10" s="12">
        <v>60.951388000000001</v>
      </c>
      <c r="CR10" s="12">
        <v>62.377434479999998</v>
      </c>
      <c r="CS10" s="12">
        <v>64.278328999999999</v>
      </c>
      <c r="CT10" s="12">
        <v>61.231762000000003</v>
      </c>
      <c r="CU10" s="12">
        <v>67.337276419999995</v>
      </c>
      <c r="CV10" s="12">
        <v>60.899791999999998</v>
      </c>
      <c r="CW10" s="12">
        <v>61.982529</v>
      </c>
      <c r="CX10" s="12">
        <v>68.538842149999994</v>
      </c>
      <c r="CY10" s="12">
        <v>60.59648</v>
      </c>
      <c r="CZ10" s="12">
        <v>60.999586669999999</v>
      </c>
      <c r="DA10" s="12">
        <v>61.333826999999999</v>
      </c>
      <c r="DB10" s="12">
        <v>64.202715999999995</v>
      </c>
      <c r="DC10" s="12">
        <v>67.672757000000004</v>
      </c>
      <c r="DD10" s="12">
        <v>67.844920999999999</v>
      </c>
      <c r="DE10" s="12">
        <v>66.592231999999996</v>
      </c>
      <c r="DF10" s="12">
        <v>66.353521000000001</v>
      </c>
      <c r="DG10" s="12">
        <v>63.836137999999998</v>
      </c>
      <c r="DH10" s="12">
        <v>64.206484000000003</v>
      </c>
      <c r="DI10" s="12">
        <v>62.6529855</v>
      </c>
      <c r="DJ10" s="12">
        <v>66.997984000000002</v>
      </c>
      <c r="DK10" s="12">
        <v>64.806734610000007</v>
      </c>
      <c r="DL10" s="12">
        <v>65.155353000000005</v>
      </c>
      <c r="DM10" s="12">
        <v>65.115962999999994</v>
      </c>
      <c r="DN10" s="12">
        <v>61.605497669999998</v>
      </c>
      <c r="DO10" s="12">
        <v>66.307903999999994</v>
      </c>
      <c r="DP10" s="12">
        <v>65.508718999999999</v>
      </c>
      <c r="DQ10" s="12">
        <v>63.039687999999998</v>
      </c>
      <c r="DR10" s="12">
        <v>55.631912999999997</v>
      </c>
      <c r="DS10" s="12">
        <v>65.465239999999994</v>
      </c>
      <c r="DT10" s="12">
        <v>61.821139000000002</v>
      </c>
      <c r="DU10" s="12">
        <v>61.962808000000003</v>
      </c>
      <c r="DV10" s="12">
        <v>61.886963999999999</v>
      </c>
      <c r="DW10" s="12">
        <v>66.912779</v>
      </c>
      <c r="DX10" s="12">
        <v>67.109288000000006</v>
      </c>
      <c r="DY10" s="12">
        <v>59.84787</v>
      </c>
      <c r="DZ10" s="12">
        <v>58.342931</v>
      </c>
      <c r="EA10" s="12">
        <v>58.342931</v>
      </c>
      <c r="EB10" s="12">
        <v>58.521370959999999</v>
      </c>
      <c r="EC10" s="12">
        <v>64.285368000000005</v>
      </c>
      <c r="ED10" s="12">
        <v>64.435182999999995</v>
      </c>
      <c r="EE10" s="12">
        <v>60.480144000000003</v>
      </c>
      <c r="EF10" s="12">
        <v>60.872253999999998</v>
      </c>
      <c r="EG10" s="12">
        <v>58.033223</v>
      </c>
      <c r="EH10" s="12">
        <v>61.246226</v>
      </c>
      <c r="EI10" s="12">
        <v>74.001520229999997</v>
      </c>
      <c r="EJ10" s="12">
        <v>68.328580000000002</v>
      </c>
      <c r="EK10" s="12">
        <v>68.328580000000002</v>
      </c>
      <c r="EL10" s="12">
        <v>61.431963000000003</v>
      </c>
      <c r="EM10" s="12">
        <v>66.433311000000003</v>
      </c>
      <c r="EN10" s="12">
        <v>66.666396000000006</v>
      </c>
      <c r="EO10" s="12">
        <v>66.592231999999996</v>
      </c>
      <c r="EP10" s="12">
        <v>61.656491000000003</v>
      </c>
      <c r="EQ10" s="12">
        <v>64.411856</v>
      </c>
      <c r="ER10" s="12">
        <v>66.320081000000002</v>
      </c>
      <c r="ES10" s="12">
        <v>62.111027999999997</v>
      </c>
      <c r="ET10" s="12">
        <v>62.260089999999998</v>
      </c>
      <c r="EU10" s="12">
        <v>63.17743076</v>
      </c>
      <c r="EV10" s="12">
        <v>60.221967999999997</v>
      </c>
      <c r="EW10" s="12">
        <v>59.689950000000003</v>
      </c>
      <c r="EX10" s="12">
        <v>60.806946000000003</v>
      </c>
      <c r="EY10" s="12">
        <v>63.288282000000002</v>
      </c>
      <c r="EZ10" s="12">
        <v>61.314667999999998</v>
      </c>
      <c r="FA10" s="12">
        <v>59.288676000000002</v>
      </c>
      <c r="FB10" s="12">
        <v>58.558844000000001</v>
      </c>
      <c r="FC10" s="12">
        <v>60.920985000000002</v>
      </c>
      <c r="FD10" s="12">
        <v>61.177869999999999</v>
      </c>
      <c r="FE10" s="12">
        <v>61.285381999999998</v>
      </c>
      <c r="FF10" s="12">
        <v>67.305573539999997</v>
      </c>
      <c r="FG10" s="12">
        <v>60.833705999999999</v>
      </c>
      <c r="FH10" s="12">
        <v>66.064831999999996</v>
      </c>
      <c r="FI10" s="12">
        <v>62.579929999999997</v>
      </c>
      <c r="FJ10" s="12">
        <v>74.871222939999996</v>
      </c>
      <c r="FK10" s="12">
        <v>64.872750850000003</v>
      </c>
      <c r="FL10" s="12">
        <v>68.653413999999998</v>
      </c>
      <c r="FM10" s="12">
        <v>58.425439500000003</v>
      </c>
      <c r="FN10" s="12">
        <v>58.818657999999999</v>
      </c>
      <c r="FO10" s="12">
        <v>61.000430999999999</v>
      </c>
      <c r="FP10" s="12">
        <v>63.984994</v>
      </c>
      <c r="FQ10" s="12">
        <v>63.638070290000002</v>
      </c>
      <c r="FR10" s="12">
        <v>63.507793999999997</v>
      </c>
      <c r="FS10" s="12">
        <v>63.630879999999998</v>
      </c>
      <c r="FT10" s="12">
        <v>66.162553000000003</v>
      </c>
      <c r="FU10" s="12">
        <v>66.162553000000003</v>
      </c>
      <c r="FV10" s="12">
        <v>61.268735</v>
      </c>
      <c r="FW10" s="12">
        <v>61.268735</v>
      </c>
      <c r="FX10" s="12">
        <v>60.903295</v>
      </c>
      <c r="FY10" s="12">
        <v>65.318933999999999</v>
      </c>
      <c r="FZ10" s="12">
        <v>65.265977000000007</v>
      </c>
      <c r="GA10" s="12">
        <v>64.257750999999999</v>
      </c>
      <c r="GB10" s="12">
        <v>64.229446999999993</v>
      </c>
      <c r="GC10" s="12">
        <v>62.429850649999999</v>
      </c>
      <c r="GD10" s="12">
        <v>63.151099000000002</v>
      </c>
      <c r="GE10" s="12">
        <v>62.352626000000001</v>
      </c>
      <c r="GF10" s="12">
        <v>65.458639000000005</v>
      </c>
      <c r="GG10" s="12">
        <v>65.458639000000005</v>
      </c>
      <c r="GH10" s="12">
        <v>67.482215999999994</v>
      </c>
      <c r="GI10" s="12">
        <v>60.072116999999999</v>
      </c>
      <c r="GJ10" s="12">
        <v>66.433311000000003</v>
      </c>
      <c r="GK10" s="12">
        <v>66.353521000000001</v>
      </c>
      <c r="GL10" s="12">
        <v>68.468573809999995</v>
      </c>
      <c r="GM10" s="12">
        <v>56.672438</v>
      </c>
      <c r="GN10" s="12">
        <v>68.468573809999995</v>
      </c>
      <c r="GO10" s="12">
        <v>66.162553000000003</v>
      </c>
      <c r="GP10" s="12">
        <v>62.336863999999998</v>
      </c>
      <c r="GQ10" s="12">
        <v>66.275728000000001</v>
      </c>
      <c r="GR10" s="12">
        <v>65.469696999999996</v>
      </c>
      <c r="GS10" s="12">
        <v>61.039096000000001</v>
      </c>
      <c r="GT10" s="12">
        <v>57.916334999999997</v>
      </c>
      <c r="GU10" s="12">
        <v>62.650576999999998</v>
      </c>
      <c r="GV10" s="12">
        <v>60.949066000000002</v>
      </c>
      <c r="GW10" s="12">
        <v>65.123305999999999</v>
      </c>
      <c r="GX10" s="12">
        <v>65.829335999999998</v>
      </c>
      <c r="GY10" s="12">
        <v>66.365600000000001</v>
      </c>
      <c r="GZ10" s="12">
        <v>66.251796999999996</v>
      </c>
      <c r="HA10" s="12">
        <v>62.650576999999998</v>
      </c>
      <c r="HB10" s="12">
        <v>62.650576999999998</v>
      </c>
      <c r="HC10" s="12">
        <v>62.650576999999998</v>
      </c>
      <c r="HD10" s="12">
        <v>66.275728000000001</v>
      </c>
      <c r="HE10" s="12">
        <v>66.359684000000001</v>
      </c>
      <c r="HF10" s="12">
        <v>66.320081000000002</v>
      </c>
      <c r="HG10" s="12">
        <v>66.320081000000002</v>
      </c>
      <c r="HH10" s="12">
        <v>66.320081000000002</v>
      </c>
      <c r="HI10" s="12">
        <v>61.524566999999998</v>
      </c>
      <c r="HJ10" s="12">
        <v>66.866837000000004</v>
      </c>
      <c r="HK10" s="12">
        <v>66.658044000000004</v>
      </c>
      <c r="HL10" s="12">
        <v>64.387226999999996</v>
      </c>
      <c r="HM10" s="12">
        <v>67.835722000000004</v>
      </c>
      <c r="HN10" s="12">
        <v>64.712153999999998</v>
      </c>
      <c r="HO10" s="12">
        <v>55.620994260000003</v>
      </c>
      <c r="HP10" s="12">
        <v>66.189781999999994</v>
      </c>
      <c r="HQ10" s="12">
        <v>62.313388500000002</v>
      </c>
      <c r="HR10" s="12">
        <v>62.450864000000003</v>
      </c>
      <c r="HS10" s="12">
        <v>60.788786999999999</v>
      </c>
      <c r="HT10" s="12">
        <v>61.230193</v>
      </c>
      <c r="HU10" s="12">
        <v>57.773367460000003</v>
      </c>
      <c r="HV10" s="12">
        <v>56.618758</v>
      </c>
      <c r="HW10" s="12">
        <v>56.927176000000003</v>
      </c>
      <c r="HX10" s="12">
        <v>60.936754180000001</v>
      </c>
      <c r="HY10" s="12">
        <v>62.561228</v>
      </c>
      <c r="HZ10" s="12">
        <v>67.433739000000003</v>
      </c>
      <c r="IA10" s="12"/>
      <c r="IB10" s="12"/>
      <c r="IC10" s="12"/>
      <c r="ID10" s="12"/>
      <c r="IE10" s="12"/>
      <c r="IF10" s="12"/>
      <c r="IG10" s="12"/>
      <c r="IH10" s="12"/>
      <c r="II10" s="12"/>
      <c r="IJ10" s="12"/>
      <c r="IK10" s="12"/>
    </row>
    <row r="11" spans="1:245" x14ac:dyDescent="0.25">
      <c r="A11" s="11">
        <v>46049.208333333336</v>
      </c>
      <c r="B11" s="12">
        <v>64.973827819999997</v>
      </c>
      <c r="C11" s="12">
        <v>61.619542000000003</v>
      </c>
      <c r="D11" s="12">
        <v>61.719380000000001</v>
      </c>
      <c r="E11" s="12">
        <v>61.666238</v>
      </c>
      <c r="F11" s="12">
        <v>61.619542000000003</v>
      </c>
      <c r="G11" s="12">
        <v>61.937654000000002</v>
      </c>
      <c r="H11" s="12">
        <v>67.035399999999996</v>
      </c>
      <c r="I11" s="12">
        <v>66.754513000000003</v>
      </c>
      <c r="J11" s="12">
        <v>67.226881000000006</v>
      </c>
      <c r="K11" s="12">
        <v>62.042385000000003</v>
      </c>
      <c r="L11" s="12">
        <v>62.201627999999999</v>
      </c>
      <c r="M11" s="12">
        <v>64.612590999999995</v>
      </c>
      <c r="N11" s="12">
        <v>63.486096000000003</v>
      </c>
      <c r="O11" s="12">
        <v>65.049537000000001</v>
      </c>
      <c r="P11" s="12">
        <v>60.370832460000003</v>
      </c>
      <c r="Q11" s="12">
        <v>67.188171999999994</v>
      </c>
      <c r="R11" s="12">
        <v>62.659835000000001</v>
      </c>
      <c r="S11" s="12">
        <v>64.156075999999999</v>
      </c>
      <c r="T11" s="12">
        <v>55.388590499999999</v>
      </c>
      <c r="U11" s="12">
        <v>55.867165</v>
      </c>
      <c r="V11" s="12">
        <v>63.466794</v>
      </c>
      <c r="W11" s="12">
        <v>62.126012000000003</v>
      </c>
      <c r="X11" s="12">
        <v>59.761966000000001</v>
      </c>
      <c r="Y11" s="12">
        <v>61.091731000000003</v>
      </c>
      <c r="Z11" s="12">
        <v>66.587740999999994</v>
      </c>
      <c r="AA11" s="12">
        <v>59.838895999999998</v>
      </c>
      <c r="AB11" s="12">
        <v>62.795565000000003</v>
      </c>
      <c r="AC11" s="12">
        <v>62.269570999999999</v>
      </c>
      <c r="AD11" s="12">
        <v>62.000276999999997</v>
      </c>
      <c r="AE11" s="12">
        <v>58.334366000000003</v>
      </c>
      <c r="AF11" s="12">
        <v>62.715402500000003</v>
      </c>
      <c r="AG11" s="12">
        <v>63.7282826</v>
      </c>
      <c r="AH11" s="12">
        <v>63.248601000000001</v>
      </c>
      <c r="AI11" s="12">
        <v>63.278692999999997</v>
      </c>
      <c r="AJ11" s="12">
        <v>57.447065000000002</v>
      </c>
      <c r="AK11" s="12">
        <v>63.614657999999999</v>
      </c>
      <c r="AL11" s="12">
        <v>59.685063</v>
      </c>
      <c r="AM11" s="12">
        <v>59.992716000000001</v>
      </c>
      <c r="AN11" s="12">
        <v>66.436571999999998</v>
      </c>
      <c r="AO11" s="12">
        <v>59.135030999999998</v>
      </c>
      <c r="AP11" s="12">
        <v>54.774645</v>
      </c>
      <c r="AQ11" s="12">
        <v>55.026429</v>
      </c>
      <c r="AR11" s="12">
        <v>67.631709999999998</v>
      </c>
      <c r="AS11" s="12">
        <v>65.535570000000007</v>
      </c>
      <c r="AT11" s="12">
        <v>65.535570000000007</v>
      </c>
      <c r="AU11" s="12">
        <v>66.212380999999993</v>
      </c>
      <c r="AV11" s="12">
        <v>62.342469999999999</v>
      </c>
      <c r="AW11" s="12">
        <v>58.367207499999999</v>
      </c>
      <c r="AX11" s="12">
        <v>58.723410000000001</v>
      </c>
      <c r="AY11" s="12">
        <v>65.114733999999999</v>
      </c>
      <c r="AZ11" s="12">
        <v>61.993336999999997</v>
      </c>
      <c r="BA11" s="12">
        <v>61.808658999999999</v>
      </c>
      <c r="BB11" s="12">
        <v>61.614910000000002</v>
      </c>
      <c r="BC11" s="12">
        <v>61.805945999999999</v>
      </c>
      <c r="BD11" s="12">
        <v>61.49297</v>
      </c>
      <c r="BE11" s="12">
        <v>61.805945999999999</v>
      </c>
      <c r="BF11" s="12">
        <v>65.916398000000001</v>
      </c>
      <c r="BG11" s="12">
        <v>66.260131999999999</v>
      </c>
      <c r="BH11" s="12">
        <v>66.260131999999999</v>
      </c>
      <c r="BI11" s="12">
        <v>66.260131999999999</v>
      </c>
      <c r="BJ11" s="12">
        <v>59.939805999999997</v>
      </c>
      <c r="BK11" s="12">
        <v>60.343178999999999</v>
      </c>
      <c r="BL11" s="12">
        <v>63.708944000000002</v>
      </c>
      <c r="BM11" s="12">
        <v>63.572980999999999</v>
      </c>
      <c r="BN11" s="12">
        <v>63.473427999999998</v>
      </c>
      <c r="BO11" s="12">
        <v>61.974806000000001</v>
      </c>
      <c r="BP11" s="12">
        <v>64.741258999999999</v>
      </c>
      <c r="BQ11" s="12">
        <v>57.467061999999999</v>
      </c>
      <c r="BR11" s="12">
        <v>57.496715000000002</v>
      </c>
      <c r="BS11" s="12">
        <v>62.910350999999999</v>
      </c>
      <c r="BT11" s="12">
        <v>60.070020999999997</v>
      </c>
      <c r="BU11" s="12">
        <v>65.476700629999996</v>
      </c>
      <c r="BV11" s="12">
        <v>65.102827000000005</v>
      </c>
      <c r="BW11" s="12">
        <v>66.350301999999999</v>
      </c>
      <c r="BX11" s="12">
        <v>63.868492000000003</v>
      </c>
      <c r="BY11" s="12">
        <v>63.868492000000003</v>
      </c>
      <c r="BZ11" s="12">
        <v>63.391829999999999</v>
      </c>
      <c r="CA11" s="12">
        <v>63.402408999999999</v>
      </c>
      <c r="CB11" s="12">
        <v>63.245797000000003</v>
      </c>
      <c r="CC11" s="12">
        <v>63.146692999999999</v>
      </c>
      <c r="CD11" s="12">
        <v>62.912345999999999</v>
      </c>
      <c r="CE11" s="12">
        <v>63.092928999999998</v>
      </c>
      <c r="CF11" s="12">
        <v>63.929040999999998</v>
      </c>
      <c r="CG11" s="12">
        <v>65.102827000000005</v>
      </c>
      <c r="CH11" s="12">
        <v>62.003723999999998</v>
      </c>
      <c r="CI11" s="12">
        <v>61.994086000000003</v>
      </c>
      <c r="CJ11" s="12">
        <v>63.728355999999998</v>
      </c>
      <c r="CK11" s="12">
        <v>65.320397</v>
      </c>
      <c r="CL11" s="12">
        <v>65.920469999999995</v>
      </c>
      <c r="CM11" s="12">
        <v>65.784321000000006</v>
      </c>
      <c r="CN11" s="12">
        <v>65.040246999999994</v>
      </c>
      <c r="CO11" s="12">
        <v>65.758522999999997</v>
      </c>
      <c r="CP11" s="12">
        <v>60.864767999999998</v>
      </c>
      <c r="CQ11" s="12">
        <v>60.637650999999998</v>
      </c>
      <c r="CR11" s="12">
        <v>62.087214260000003</v>
      </c>
      <c r="CS11" s="12">
        <v>64.002915999999999</v>
      </c>
      <c r="CT11" s="12">
        <v>60.951127999999997</v>
      </c>
      <c r="CU11" s="12">
        <v>66.843282540000004</v>
      </c>
      <c r="CV11" s="12">
        <v>60.677880999999999</v>
      </c>
      <c r="CW11" s="12">
        <v>61.390172999999997</v>
      </c>
      <c r="CX11" s="12">
        <v>68.261224110000001</v>
      </c>
      <c r="CY11" s="12">
        <v>60.250695</v>
      </c>
      <c r="CZ11" s="12">
        <v>60.707004329999997</v>
      </c>
      <c r="DA11" s="12">
        <v>61.039698999999999</v>
      </c>
      <c r="DB11" s="12">
        <v>63.889851999999998</v>
      </c>
      <c r="DC11" s="12">
        <v>67.427873000000005</v>
      </c>
      <c r="DD11" s="12">
        <v>67.603624999999994</v>
      </c>
      <c r="DE11" s="12">
        <v>66.350301999999999</v>
      </c>
      <c r="DF11" s="12">
        <v>66.110964999999993</v>
      </c>
      <c r="DG11" s="12">
        <v>63.505645999999999</v>
      </c>
      <c r="DH11" s="12">
        <v>63.868492000000003</v>
      </c>
      <c r="DI11" s="12">
        <v>62.351928000000001</v>
      </c>
      <c r="DJ11" s="12">
        <v>66.753333999999995</v>
      </c>
      <c r="DK11" s="12">
        <v>64.456537449999999</v>
      </c>
      <c r="DL11" s="12">
        <v>64.925253999999995</v>
      </c>
      <c r="DM11" s="12">
        <v>64.890342000000004</v>
      </c>
      <c r="DN11" s="12">
        <v>61.312131999999998</v>
      </c>
      <c r="DO11" s="12">
        <v>65.919701000000003</v>
      </c>
      <c r="DP11" s="12">
        <v>65.134190000000004</v>
      </c>
      <c r="DQ11" s="12">
        <v>62.678992999999998</v>
      </c>
      <c r="DR11" s="12">
        <v>55.380414999999999</v>
      </c>
      <c r="DS11" s="12">
        <v>65.087339</v>
      </c>
      <c r="DT11" s="12">
        <v>61.523989</v>
      </c>
      <c r="DU11" s="12">
        <v>61.665002999999999</v>
      </c>
      <c r="DV11" s="12">
        <v>61.588780999999997</v>
      </c>
      <c r="DW11" s="12">
        <v>66.670473999999999</v>
      </c>
      <c r="DX11" s="12">
        <v>66.867034000000004</v>
      </c>
      <c r="DY11" s="12">
        <v>59.609547999999997</v>
      </c>
      <c r="DZ11" s="12">
        <v>58.073121</v>
      </c>
      <c r="EA11" s="12">
        <v>58.073121</v>
      </c>
      <c r="EB11" s="12">
        <v>58.260524680000003</v>
      </c>
      <c r="EC11" s="12">
        <v>64.030280000000005</v>
      </c>
      <c r="ED11" s="12">
        <v>64.170148999999995</v>
      </c>
      <c r="EE11" s="12">
        <v>60.181007999999999</v>
      </c>
      <c r="EF11" s="12">
        <v>60.574205999999997</v>
      </c>
      <c r="EG11" s="12">
        <v>57.875332</v>
      </c>
      <c r="EH11" s="12">
        <v>60.955348999999998</v>
      </c>
      <c r="EI11" s="12">
        <v>73.701775490000003</v>
      </c>
      <c r="EJ11" s="12">
        <v>68.112322000000006</v>
      </c>
      <c r="EK11" s="12">
        <v>68.112322000000006</v>
      </c>
      <c r="EL11" s="12">
        <v>61.154995</v>
      </c>
      <c r="EM11" s="12">
        <v>66.190956</v>
      </c>
      <c r="EN11" s="12">
        <v>66.426481999999993</v>
      </c>
      <c r="EO11" s="12">
        <v>66.350301999999999</v>
      </c>
      <c r="EP11" s="12">
        <v>61.373610999999997</v>
      </c>
      <c r="EQ11" s="12">
        <v>64.149229000000005</v>
      </c>
      <c r="ER11" s="12">
        <v>65.933152000000007</v>
      </c>
      <c r="ES11" s="12">
        <v>61.810408000000002</v>
      </c>
      <c r="ET11" s="12">
        <v>61.958973999999998</v>
      </c>
      <c r="EU11" s="12">
        <v>62.870660710000003</v>
      </c>
      <c r="EV11" s="12">
        <v>59.951067999999999</v>
      </c>
      <c r="EW11" s="12">
        <v>59.413415999999998</v>
      </c>
      <c r="EX11" s="12">
        <v>60.533115000000002</v>
      </c>
      <c r="EY11" s="12">
        <v>62.823991999999997</v>
      </c>
      <c r="EZ11" s="12">
        <v>61.099328</v>
      </c>
      <c r="FA11" s="12">
        <v>59.050612999999998</v>
      </c>
      <c r="FB11" s="12">
        <v>58.311362000000003</v>
      </c>
      <c r="FC11" s="12">
        <v>60.732292000000001</v>
      </c>
      <c r="FD11" s="12">
        <v>60.919657000000001</v>
      </c>
      <c r="FE11" s="12">
        <v>60.998112999999996</v>
      </c>
      <c r="FF11" s="12">
        <v>66.951072420000003</v>
      </c>
      <c r="FG11" s="12">
        <v>60.587907000000001</v>
      </c>
      <c r="FH11" s="12">
        <v>65.689295000000001</v>
      </c>
      <c r="FI11" s="12">
        <v>62.272255000000001</v>
      </c>
      <c r="FJ11" s="12">
        <v>74.544850640000007</v>
      </c>
      <c r="FK11" s="12">
        <v>64.388035189999997</v>
      </c>
      <c r="FL11" s="12">
        <v>68.399450999999999</v>
      </c>
      <c r="FM11" s="12">
        <v>58.176341499999999</v>
      </c>
      <c r="FN11" s="12">
        <v>58.564349</v>
      </c>
      <c r="FO11" s="12">
        <v>60.730645000000003</v>
      </c>
      <c r="FP11" s="12">
        <v>63.728355999999998</v>
      </c>
      <c r="FQ11" s="12">
        <v>63.398993279999999</v>
      </c>
      <c r="FR11" s="12">
        <v>63.267985000000003</v>
      </c>
      <c r="FS11" s="12">
        <v>63.391829999999999</v>
      </c>
      <c r="FT11" s="12">
        <v>65.921801000000002</v>
      </c>
      <c r="FU11" s="12">
        <v>65.921801000000002</v>
      </c>
      <c r="FV11" s="12">
        <v>61.117894999999997</v>
      </c>
      <c r="FW11" s="12">
        <v>61.117894999999997</v>
      </c>
      <c r="FX11" s="12">
        <v>60.751744000000002</v>
      </c>
      <c r="FY11" s="12">
        <v>65.089100000000002</v>
      </c>
      <c r="FZ11" s="12">
        <v>65.035269999999997</v>
      </c>
      <c r="GA11" s="12">
        <v>63.976993</v>
      </c>
      <c r="GB11" s="12">
        <v>63.952195000000003</v>
      </c>
      <c r="GC11" s="12">
        <v>62.136764739999997</v>
      </c>
      <c r="GD11" s="12">
        <v>62.941499</v>
      </c>
      <c r="GE11" s="12">
        <v>61.998970999999997</v>
      </c>
      <c r="GF11" s="12">
        <v>65.102827000000005</v>
      </c>
      <c r="GG11" s="12">
        <v>65.102827000000005</v>
      </c>
      <c r="GH11" s="12">
        <v>67.249171000000004</v>
      </c>
      <c r="GI11" s="12">
        <v>59.817973000000002</v>
      </c>
      <c r="GJ11" s="12">
        <v>66.190956</v>
      </c>
      <c r="GK11" s="12">
        <v>66.110964999999993</v>
      </c>
      <c r="GL11" s="12">
        <v>68.191240390000004</v>
      </c>
      <c r="GM11" s="12">
        <v>56.503504999999997</v>
      </c>
      <c r="GN11" s="12">
        <v>68.191240390000004</v>
      </c>
      <c r="GO11" s="12">
        <v>65.921801000000002</v>
      </c>
      <c r="GP11" s="12">
        <v>62.047482000000002</v>
      </c>
      <c r="GQ11" s="12">
        <v>66.037070999999997</v>
      </c>
      <c r="GR11" s="12">
        <v>65.144805000000005</v>
      </c>
      <c r="GS11" s="12">
        <v>60.769491000000002</v>
      </c>
      <c r="GT11" s="12">
        <v>57.672384000000001</v>
      </c>
      <c r="GU11" s="12">
        <v>62.353327</v>
      </c>
      <c r="GV11" s="12">
        <v>60.704627000000002</v>
      </c>
      <c r="GW11" s="12">
        <v>64.839426000000003</v>
      </c>
      <c r="GX11" s="12">
        <v>65.563265000000001</v>
      </c>
      <c r="GY11" s="12">
        <v>66.119834999999995</v>
      </c>
      <c r="GZ11" s="12">
        <v>66.007248000000004</v>
      </c>
      <c r="HA11" s="12">
        <v>62.353327</v>
      </c>
      <c r="HB11" s="12">
        <v>62.353327</v>
      </c>
      <c r="HC11" s="12">
        <v>62.353327</v>
      </c>
      <c r="HD11" s="12">
        <v>66.037070999999997</v>
      </c>
      <c r="HE11" s="12">
        <v>65.976571000000007</v>
      </c>
      <c r="HF11" s="12">
        <v>65.933152000000007</v>
      </c>
      <c r="HG11" s="12">
        <v>65.933152000000007</v>
      </c>
      <c r="HH11" s="12">
        <v>65.933152000000007</v>
      </c>
      <c r="HI11" s="12">
        <v>61.2699</v>
      </c>
      <c r="HJ11" s="12">
        <v>66.614515999999995</v>
      </c>
      <c r="HK11" s="12">
        <v>66.408749</v>
      </c>
      <c r="HL11" s="12">
        <v>64.118121000000002</v>
      </c>
      <c r="HM11" s="12">
        <v>67.579031999999998</v>
      </c>
      <c r="HN11" s="12">
        <v>64.330442000000005</v>
      </c>
      <c r="HO11" s="12">
        <v>55.45519547</v>
      </c>
      <c r="HP11" s="12">
        <v>65.810946000000001</v>
      </c>
      <c r="HQ11" s="12">
        <v>62.010505500000001</v>
      </c>
      <c r="HR11" s="12">
        <v>62.147269999999999</v>
      </c>
      <c r="HS11" s="12">
        <v>60.517977999999999</v>
      </c>
      <c r="HT11" s="12">
        <v>60.955803000000003</v>
      </c>
      <c r="HU11" s="12">
        <v>57.494746659999997</v>
      </c>
      <c r="HV11" s="12">
        <v>56.387858000000001</v>
      </c>
      <c r="HW11" s="12">
        <v>56.692698</v>
      </c>
      <c r="HX11" s="12">
        <v>60.607168999999999</v>
      </c>
      <c r="HY11" s="12">
        <v>62.244880999999999</v>
      </c>
      <c r="HZ11" s="12">
        <v>67.068492000000006</v>
      </c>
      <c r="IA11" s="12"/>
      <c r="IB11" s="12"/>
      <c r="IC11" s="12"/>
      <c r="ID11" s="12"/>
      <c r="IE11" s="12"/>
      <c r="IF11" s="12"/>
      <c r="IG11" s="12"/>
      <c r="IH11" s="12"/>
      <c r="II11" s="12"/>
      <c r="IJ11" s="12"/>
      <c r="IK11" s="12"/>
    </row>
    <row r="12" spans="1:245" x14ac:dyDescent="0.25">
      <c r="A12" s="11">
        <v>46049.229166666664</v>
      </c>
      <c r="B12" s="12">
        <v>80.33369931</v>
      </c>
      <c r="C12" s="12">
        <v>76.169610000000006</v>
      </c>
      <c r="D12" s="12">
        <v>76.294735000000003</v>
      </c>
      <c r="E12" s="12">
        <v>76.226905000000002</v>
      </c>
      <c r="F12" s="12">
        <v>76.169610000000006</v>
      </c>
      <c r="G12" s="12">
        <v>76.492832000000007</v>
      </c>
      <c r="H12" s="12">
        <v>82.744849000000002</v>
      </c>
      <c r="I12" s="12">
        <v>82.423224000000005</v>
      </c>
      <c r="J12" s="12">
        <v>82.972003000000001</v>
      </c>
      <c r="K12" s="12">
        <v>76.583663999999999</v>
      </c>
      <c r="L12" s="12">
        <v>76.917918999999998</v>
      </c>
      <c r="M12" s="12">
        <v>79.764482000000001</v>
      </c>
      <c r="N12" s="12">
        <v>78.378174000000001</v>
      </c>
      <c r="O12" s="12">
        <v>80.537256999999997</v>
      </c>
      <c r="P12" s="12">
        <v>74.571241439999994</v>
      </c>
      <c r="Q12" s="12">
        <v>82.839319000000003</v>
      </c>
      <c r="R12" s="12">
        <v>77.610834999999994</v>
      </c>
      <c r="S12" s="12">
        <v>79.414384999999996</v>
      </c>
      <c r="T12" s="12">
        <v>68.507889500000005</v>
      </c>
      <c r="U12" s="12">
        <v>69.094832999999994</v>
      </c>
      <c r="V12" s="12">
        <v>78.538133999999999</v>
      </c>
      <c r="W12" s="12">
        <v>76.716819999999998</v>
      </c>
      <c r="X12" s="12">
        <v>73.764204000000007</v>
      </c>
      <c r="Y12" s="12">
        <v>75.435783000000001</v>
      </c>
      <c r="Z12" s="12">
        <v>82.153189999999995</v>
      </c>
      <c r="AA12" s="12">
        <v>73.835476</v>
      </c>
      <c r="AB12" s="12">
        <v>77.462881999999993</v>
      </c>
      <c r="AC12" s="12">
        <v>76.895236999999995</v>
      </c>
      <c r="AD12" s="12">
        <v>76.559869000000006</v>
      </c>
      <c r="AE12" s="12">
        <v>72.047096999999994</v>
      </c>
      <c r="AF12" s="12">
        <v>77.649972000000005</v>
      </c>
      <c r="AG12" s="12">
        <v>78.883676460000004</v>
      </c>
      <c r="AH12" s="12">
        <v>78.290178999999995</v>
      </c>
      <c r="AI12" s="12">
        <v>78.324886000000006</v>
      </c>
      <c r="AJ12" s="12">
        <v>70.931920000000005</v>
      </c>
      <c r="AK12" s="12">
        <v>78.722457000000006</v>
      </c>
      <c r="AL12" s="12">
        <v>73.599013670000005</v>
      </c>
      <c r="AM12" s="12">
        <v>73.994300999999993</v>
      </c>
      <c r="AN12" s="12">
        <v>81.976446999999993</v>
      </c>
      <c r="AO12" s="12">
        <v>73.002179999999996</v>
      </c>
      <c r="AP12" s="12">
        <v>67.662367000000003</v>
      </c>
      <c r="AQ12" s="12">
        <v>67.973196000000002</v>
      </c>
      <c r="AR12" s="12">
        <v>83.432158000000001</v>
      </c>
      <c r="AS12" s="12">
        <v>80.942926</v>
      </c>
      <c r="AT12" s="12">
        <v>80.942926</v>
      </c>
      <c r="AU12" s="12">
        <v>81.734397000000001</v>
      </c>
      <c r="AV12" s="12">
        <v>77.001462500000002</v>
      </c>
      <c r="AW12" s="12">
        <v>72.199643499999993</v>
      </c>
      <c r="AX12" s="12">
        <v>72.631333999999995</v>
      </c>
      <c r="AY12" s="12">
        <v>80.537634999999995</v>
      </c>
      <c r="AZ12" s="12">
        <v>76.514516999999998</v>
      </c>
      <c r="BA12" s="12">
        <v>76.297543000000005</v>
      </c>
      <c r="BB12" s="12">
        <v>76.058394500000006</v>
      </c>
      <c r="BC12" s="12">
        <v>76.294193000000007</v>
      </c>
      <c r="BD12" s="12">
        <v>75.926831000000007</v>
      </c>
      <c r="BE12" s="12">
        <v>76.294193000000007</v>
      </c>
      <c r="BF12" s="12">
        <v>81.354944000000003</v>
      </c>
      <c r="BG12" s="12">
        <v>81.799131000000003</v>
      </c>
      <c r="BH12" s="12">
        <v>81.799131000000003</v>
      </c>
      <c r="BI12" s="12">
        <v>81.799131000000003</v>
      </c>
      <c r="BJ12" s="12">
        <v>73.978427999999994</v>
      </c>
      <c r="BK12" s="12">
        <v>74.477543999999995</v>
      </c>
      <c r="BL12" s="12">
        <v>78.848894999999999</v>
      </c>
      <c r="BM12" s="12">
        <v>78.635329999999996</v>
      </c>
      <c r="BN12" s="12">
        <v>78.283118999999999</v>
      </c>
      <c r="BO12" s="12">
        <v>76.440676999999994</v>
      </c>
      <c r="BP12" s="12">
        <v>80.072940000000003</v>
      </c>
      <c r="BQ12" s="12">
        <v>70.965008999999995</v>
      </c>
      <c r="BR12" s="12">
        <v>71.001626939999994</v>
      </c>
      <c r="BS12" s="12">
        <v>77.694490000000002</v>
      </c>
      <c r="BT12" s="12">
        <v>74.202247999999997</v>
      </c>
      <c r="BU12" s="12">
        <v>80.735953379999998</v>
      </c>
      <c r="BV12" s="12">
        <v>80.521146999999999</v>
      </c>
      <c r="BW12" s="12">
        <v>81.866660999999993</v>
      </c>
      <c r="BX12" s="12">
        <v>78.752954000000003</v>
      </c>
      <c r="BY12" s="12">
        <v>78.752954000000003</v>
      </c>
      <c r="BZ12" s="12">
        <v>78.391935000000004</v>
      </c>
      <c r="CA12" s="12">
        <v>78.520138000000003</v>
      </c>
      <c r="CB12" s="12">
        <v>78.008508000000006</v>
      </c>
      <c r="CC12" s="12">
        <v>78.234273999999999</v>
      </c>
      <c r="CD12" s="12">
        <v>77.929659999999998</v>
      </c>
      <c r="CE12" s="12">
        <v>78.122241000000002</v>
      </c>
      <c r="CF12" s="12">
        <v>78.769886999999997</v>
      </c>
      <c r="CG12" s="12">
        <v>80.521146999999999</v>
      </c>
      <c r="CH12" s="12">
        <v>76.526487000000003</v>
      </c>
      <c r="CI12" s="12">
        <v>76.515378999999996</v>
      </c>
      <c r="CJ12" s="12">
        <v>78.606550999999996</v>
      </c>
      <c r="CK12" s="12">
        <v>80.810653000000002</v>
      </c>
      <c r="CL12" s="12">
        <v>81.569670000000002</v>
      </c>
      <c r="CM12" s="12">
        <v>81.168773000000002</v>
      </c>
      <c r="CN12" s="12">
        <v>80.434495999999996</v>
      </c>
      <c r="CO12" s="12">
        <v>81.265924999999996</v>
      </c>
      <c r="CP12" s="12">
        <v>75.227007999999998</v>
      </c>
      <c r="CQ12" s="12">
        <v>74.921727000000004</v>
      </c>
      <c r="CR12" s="12">
        <v>76.708846699999995</v>
      </c>
      <c r="CS12" s="12">
        <v>79.132300000000001</v>
      </c>
      <c r="CT12" s="12">
        <v>75.195835000000002</v>
      </c>
      <c r="CU12" s="12">
        <v>82.273866459999994</v>
      </c>
      <c r="CV12" s="12">
        <v>74.995429999999999</v>
      </c>
      <c r="CW12" s="12">
        <v>75.774660999999995</v>
      </c>
      <c r="CX12" s="12">
        <v>84.217863969999996</v>
      </c>
      <c r="CY12" s="12">
        <v>74.354331000000002</v>
      </c>
      <c r="CZ12" s="12">
        <v>74.963309330000001</v>
      </c>
      <c r="DA12" s="12">
        <v>75.374025000000003</v>
      </c>
      <c r="DB12" s="12">
        <v>78.760341999999994</v>
      </c>
      <c r="DC12" s="12">
        <v>83.210220000000007</v>
      </c>
      <c r="DD12" s="12">
        <v>83.441816000000003</v>
      </c>
      <c r="DE12" s="12">
        <v>81.866660999999993</v>
      </c>
      <c r="DF12" s="12">
        <v>81.570993000000001</v>
      </c>
      <c r="DG12" s="12">
        <v>78.302340000000001</v>
      </c>
      <c r="DH12" s="12">
        <v>78.752954000000003</v>
      </c>
      <c r="DI12" s="12">
        <v>77.00413850000001</v>
      </c>
      <c r="DJ12" s="12">
        <v>82.359386999999998</v>
      </c>
      <c r="DK12" s="12">
        <v>79.825613809999993</v>
      </c>
      <c r="DL12" s="12">
        <v>80.123968000000005</v>
      </c>
      <c r="DM12" s="12">
        <v>80.087536999999998</v>
      </c>
      <c r="DN12" s="12">
        <v>75.706387329999998</v>
      </c>
      <c r="DO12" s="12">
        <v>81.359415999999996</v>
      </c>
      <c r="DP12" s="12">
        <v>80.517728000000005</v>
      </c>
      <c r="DQ12" s="12">
        <v>77.542759000000004</v>
      </c>
      <c r="DR12" s="12">
        <v>68.367705999999998</v>
      </c>
      <c r="DS12" s="12">
        <v>80.458848000000003</v>
      </c>
      <c r="DT12" s="12">
        <v>75.946113999999994</v>
      </c>
      <c r="DU12" s="12">
        <v>76.120196000000007</v>
      </c>
      <c r="DV12" s="12">
        <v>76.096182999999996</v>
      </c>
      <c r="DW12" s="12">
        <v>82.274118000000001</v>
      </c>
      <c r="DX12" s="12">
        <v>82.524732</v>
      </c>
      <c r="DY12" s="12">
        <v>73.869437000000005</v>
      </c>
      <c r="DZ12" s="12">
        <v>71.691930999999997</v>
      </c>
      <c r="EA12" s="12">
        <v>71.691930999999997</v>
      </c>
      <c r="EB12" s="12">
        <v>71.985088700000006</v>
      </c>
      <c r="EC12" s="12">
        <v>78.934175999999994</v>
      </c>
      <c r="ED12" s="12">
        <v>79.111042999999995</v>
      </c>
      <c r="EE12" s="12">
        <v>74.328642000000002</v>
      </c>
      <c r="EF12" s="12">
        <v>74.806623999999999</v>
      </c>
      <c r="EG12" s="12">
        <v>71.626411000000004</v>
      </c>
      <c r="EH12" s="12">
        <v>75.343160999999995</v>
      </c>
      <c r="EI12" s="12">
        <v>90.930190359999997</v>
      </c>
      <c r="EJ12" s="12">
        <v>84.013641000000007</v>
      </c>
      <c r="EK12" s="12">
        <v>84.013641000000007</v>
      </c>
      <c r="EL12" s="12">
        <v>75.470333999999994</v>
      </c>
      <c r="EM12" s="12">
        <v>81.668700000000001</v>
      </c>
      <c r="EN12" s="12">
        <v>81.955883999999998</v>
      </c>
      <c r="EO12" s="12">
        <v>81.866660999999993</v>
      </c>
      <c r="EP12" s="12">
        <v>75.913020000000003</v>
      </c>
      <c r="EQ12" s="12">
        <v>78.970878999999996</v>
      </c>
      <c r="ER12" s="12">
        <v>81.385058000000001</v>
      </c>
      <c r="ES12" s="12">
        <v>76.233599999999996</v>
      </c>
      <c r="ET12" s="12">
        <v>76.461753999999999</v>
      </c>
      <c r="EU12" s="12">
        <v>77.647843269999996</v>
      </c>
      <c r="EV12" s="12">
        <v>74.019352999999995</v>
      </c>
      <c r="EW12" s="12">
        <v>73.347290999999998</v>
      </c>
      <c r="EX12" s="12">
        <v>74.732819000000006</v>
      </c>
      <c r="EY12" s="12">
        <v>77.326734000000002</v>
      </c>
      <c r="EZ12" s="12">
        <v>75.421762000000001</v>
      </c>
      <c r="FA12" s="12">
        <v>72.930093999999997</v>
      </c>
      <c r="FB12" s="12">
        <v>72.028484000000006</v>
      </c>
      <c r="FC12" s="12">
        <v>75.062728000000007</v>
      </c>
      <c r="FD12" s="12">
        <v>75.298767999999995</v>
      </c>
      <c r="FE12" s="12">
        <v>75.397604000000001</v>
      </c>
      <c r="FF12" s="12">
        <v>82.737259820000006</v>
      </c>
      <c r="FG12" s="12">
        <v>74.896412999999995</v>
      </c>
      <c r="FH12" s="12">
        <v>81.163786999999999</v>
      </c>
      <c r="FI12" s="12">
        <v>76.888358999999994</v>
      </c>
      <c r="FJ12" s="12">
        <v>92.284055129999999</v>
      </c>
      <c r="FK12" s="12">
        <v>79.70707779</v>
      </c>
      <c r="FL12" s="12">
        <v>84.258869000000004</v>
      </c>
      <c r="FM12" s="12">
        <v>71.855065499999995</v>
      </c>
      <c r="FN12" s="12">
        <v>72.331382000000005</v>
      </c>
      <c r="FO12" s="12">
        <v>74.976568</v>
      </c>
      <c r="FP12" s="12">
        <v>78.606550999999996</v>
      </c>
      <c r="FQ12" s="12">
        <v>78.400793289999996</v>
      </c>
      <c r="FR12" s="12">
        <v>78.236654999999999</v>
      </c>
      <c r="FS12" s="12">
        <v>78.391935000000004</v>
      </c>
      <c r="FT12" s="12">
        <v>81.329801000000003</v>
      </c>
      <c r="FU12" s="12">
        <v>81.329801000000003</v>
      </c>
      <c r="FV12" s="12">
        <v>75.805728999999999</v>
      </c>
      <c r="FW12" s="12">
        <v>75.805728999999999</v>
      </c>
      <c r="FX12" s="12">
        <v>75.334323999999995</v>
      </c>
      <c r="FY12" s="12">
        <v>80.326021999999995</v>
      </c>
      <c r="FZ12" s="12">
        <v>80.263493999999994</v>
      </c>
      <c r="GA12" s="12">
        <v>78.841671000000005</v>
      </c>
      <c r="GB12" s="12">
        <v>78.837940000000003</v>
      </c>
      <c r="GC12" s="12">
        <v>76.810492530000005</v>
      </c>
      <c r="GD12" s="12">
        <v>77.962406000000001</v>
      </c>
      <c r="GE12" s="12">
        <v>76.674182999999999</v>
      </c>
      <c r="GF12" s="12">
        <v>80.521146999999999</v>
      </c>
      <c r="GG12" s="12">
        <v>80.521146999999999</v>
      </c>
      <c r="GH12" s="12">
        <v>82.969368000000003</v>
      </c>
      <c r="GI12" s="12">
        <v>73.809837000000002</v>
      </c>
      <c r="GJ12" s="12">
        <v>81.668700000000001</v>
      </c>
      <c r="GK12" s="12">
        <v>81.570993000000001</v>
      </c>
      <c r="GL12" s="12">
        <v>84.131520969999997</v>
      </c>
      <c r="GM12" s="12">
        <v>69.847301000000002</v>
      </c>
      <c r="GN12" s="12">
        <v>84.131520969999997</v>
      </c>
      <c r="GO12" s="12">
        <v>81.329801000000003</v>
      </c>
      <c r="GP12" s="12">
        <v>76.637945000000002</v>
      </c>
      <c r="GQ12" s="12">
        <v>81.468113000000002</v>
      </c>
      <c r="GR12" s="12">
        <v>80.281008</v>
      </c>
      <c r="GS12" s="12">
        <v>75.006319000000005</v>
      </c>
      <c r="GT12" s="12">
        <v>71.239485000000002</v>
      </c>
      <c r="GU12" s="12">
        <v>77.019841999999997</v>
      </c>
      <c r="GV12" s="12">
        <v>75.149083000000005</v>
      </c>
      <c r="GW12" s="12">
        <v>80.269060999999994</v>
      </c>
      <c r="GX12" s="12">
        <v>80.895937000000004</v>
      </c>
      <c r="GY12" s="12">
        <v>81.586939999999998</v>
      </c>
      <c r="GZ12" s="12">
        <v>81.446409000000003</v>
      </c>
      <c r="HA12" s="12">
        <v>77.019841999999997</v>
      </c>
      <c r="HB12" s="12">
        <v>77.019841999999997</v>
      </c>
      <c r="HC12" s="12">
        <v>77.019841999999997</v>
      </c>
      <c r="HD12" s="12">
        <v>81.468113000000002</v>
      </c>
      <c r="HE12" s="12">
        <v>81.436739000000003</v>
      </c>
      <c r="HF12" s="12">
        <v>81.385058000000001</v>
      </c>
      <c r="HG12" s="12">
        <v>81.385058000000001</v>
      </c>
      <c r="HH12" s="12">
        <v>81.385058000000001</v>
      </c>
      <c r="HI12" s="12">
        <v>75.740161000000001</v>
      </c>
      <c r="HJ12" s="12">
        <v>82.214484999999996</v>
      </c>
      <c r="HK12" s="12">
        <v>81.969323000000003</v>
      </c>
      <c r="HL12" s="12">
        <v>79.327301000000006</v>
      </c>
      <c r="HM12" s="12">
        <v>83.379121999999995</v>
      </c>
      <c r="HN12" s="12">
        <v>79.561608000000007</v>
      </c>
      <c r="HO12" s="12">
        <v>68.551424019999999</v>
      </c>
      <c r="HP12" s="12">
        <v>81.286817999999997</v>
      </c>
      <c r="HQ12" s="12">
        <v>76.584229500000006</v>
      </c>
      <c r="HR12" s="12">
        <v>76.753046999999995</v>
      </c>
      <c r="HS12" s="12">
        <v>74.774372</v>
      </c>
      <c r="HT12" s="12">
        <v>75.234677000000005</v>
      </c>
      <c r="HU12" s="12">
        <v>71.061763790000001</v>
      </c>
      <c r="HV12" s="12">
        <v>69.680310000000006</v>
      </c>
      <c r="HW12" s="12">
        <v>70.05001</v>
      </c>
      <c r="HX12" s="12">
        <v>74.965738869999996</v>
      </c>
      <c r="HY12" s="12">
        <v>76.867482999999993</v>
      </c>
      <c r="HZ12" s="12">
        <v>82.769113000000004</v>
      </c>
      <c r="IA12" s="12"/>
      <c r="IB12" s="12"/>
      <c r="IC12" s="12"/>
      <c r="ID12" s="12"/>
      <c r="IE12" s="12"/>
      <c r="IF12" s="12"/>
      <c r="IG12" s="12"/>
      <c r="IH12" s="12"/>
      <c r="II12" s="12"/>
      <c r="IJ12" s="12"/>
      <c r="IK12" s="12"/>
    </row>
    <row r="13" spans="1:245" x14ac:dyDescent="0.25">
      <c r="A13" s="11">
        <v>46049.25</v>
      </c>
      <c r="B13" s="12">
        <v>80.404029140000006</v>
      </c>
      <c r="C13" s="12">
        <v>76.119889000000001</v>
      </c>
      <c r="D13" s="12">
        <v>76.245028000000005</v>
      </c>
      <c r="E13" s="12">
        <v>76.175163999999995</v>
      </c>
      <c r="F13" s="12">
        <v>76.119889000000001</v>
      </c>
      <c r="G13" s="12">
        <v>76.537482999999995</v>
      </c>
      <c r="H13" s="12">
        <v>81.953045000000003</v>
      </c>
      <c r="I13" s="12">
        <v>81.614053999999996</v>
      </c>
      <c r="J13" s="12">
        <v>82.194526999999994</v>
      </c>
      <c r="K13" s="12">
        <v>76.626609999999999</v>
      </c>
      <c r="L13" s="12">
        <v>76.876062000000005</v>
      </c>
      <c r="M13" s="12">
        <v>78.986626000000001</v>
      </c>
      <c r="N13" s="12">
        <v>77.603628999999998</v>
      </c>
      <c r="O13" s="12">
        <v>80.455337</v>
      </c>
      <c r="P13" s="12">
        <v>74.491354150000006</v>
      </c>
      <c r="Q13" s="12">
        <v>82.083235000000002</v>
      </c>
      <c r="R13" s="12">
        <v>76.706682000000001</v>
      </c>
      <c r="S13" s="12">
        <v>79.374425000000002</v>
      </c>
      <c r="T13" s="12">
        <v>68.361126499999997</v>
      </c>
      <c r="U13" s="12">
        <v>68.952651000000003</v>
      </c>
      <c r="V13" s="12">
        <v>78.535218999999998</v>
      </c>
      <c r="W13" s="12">
        <v>76.745056000000005</v>
      </c>
      <c r="X13" s="12">
        <v>73.745597000000004</v>
      </c>
      <c r="Y13" s="12">
        <v>75.448252999999994</v>
      </c>
      <c r="Z13" s="12">
        <v>81.407447000000005</v>
      </c>
      <c r="AA13" s="12">
        <v>73.674735999999996</v>
      </c>
      <c r="AB13" s="12">
        <v>77.508743999999993</v>
      </c>
      <c r="AC13" s="12">
        <v>76.890769000000006</v>
      </c>
      <c r="AD13" s="12">
        <v>76.593564000000001</v>
      </c>
      <c r="AE13" s="12">
        <v>71.969132000000002</v>
      </c>
      <c r="AF13" s="12">
        <v>77.653097750000001</v>
      </c>
      <c r="AG13" s="12">
        <v>78.898189149999993</v>
      </c>
      <c r="AH13" s="12">
        <v>78.317888999999994</v>
      </c>
      <c r="AI13" s="12">
        <v>78.338995999999995</v>
      </c>
      <c r="AJ13" s="12">
        <v>70.837800000000001</v>
      </c>
      <c r="AK13" s="12">
        <v>78.717025000000007</v>
      </c>
      <c r="AL13" s="12">
        <v>73.464893329999995</v>
      </c>
      <c r="AM13" s="12">
        <v>73.856634999999997</v>
      </c>
      <c r="AN13" s="12">
        <v>81.280178000000006</v>
      </c>
      <c r="AO13" s="12">
        <v>72.898268000000002</v>
      </c>
      <c r="AP13" s="12">
        <v>67.586765999999997</v>
      </c>
      <c r="AQ13" s="12">
        <v>67.897163000000006</v>
      </c>
      <c r="AR13" s="12">
        <v>82.299898999999996</v>
      </c>
      <c r="AS13" s="12">
        <v>80.301831000000007</v>
      </c>
      <c r="AT13" s="12">
        <v>80.301831000000007</v>
      </c>
      <c r="AU13" s="12">
        <v>81.099422000000004</v>
      </c>
      <c r="AV13" s="12">
        <v>77.02457050000001</v>
      </c>
      <c r="AW13" s="12">
        <v>72.126168000000007</v>
      </c>
      <c r="AX13" s="12">
        <v>72.562150000000003</v>
      </c>
      <c r="AY13" s="12">
        <v>80.571353999999999</v>
      </c>
      <c r="AZ13" s="12">
        <v>76.493613999999994</v>
      </c>
      <c r="BA13" s="12">
        <v>76.296587000000002</v>
      </c>
      <c r="BB13" s="12">
        <v>76.057512000000003</v>
      </c>
      <c r="BC13" s="12">
        <v>76.293239</v>
      </c>
      <c r="BD13" s="12">
        <v>75.965440000000001</v>
      </c>
      <c r="BE13" s="12">
        <v>76.293239</v>
      </c>
      <c r="BF13" s="12">
        <v>80.720648999999995</v>
      </c>
      <c r="BG13" s="12">
        <v>81.165152000000006</v>
      </c>
      <c r="BH13" s="12">
        <v>81.165152000000006</v>
      </c>
      <c r="BI13" s="12">
        <v>81.165152000000006</v>
      </c>
      <c r="BJ13" s="12">
        <v>74.039225999999999</v>
      </c>
      <c r="BK13" s="12">
        <v>74.491246000000004</v>
      </c>
      <c r="BL13" s="12">
        <v>78.915013000000002</v>
      </c>
      <c r="BM13" s="12">
        <v>78.676641000000004</v>
      </c>
      <c r="BN13" s="12">
        <v>78.342890999999995</v>
      </c>
      <c r="BO13" s="12">
        <v>76.391407999999998</v>
      </c>
      <c r="BP13" s="12">
        <v>79.159164000000004</v>
      </c>
      <c r="BQ13" s="12">
        <v>70.865938</v>
      </c>
      <c r="BR13" s="12">
        <v>70.902504820000004</v>
      </c>
      <c r="BS13" s="12">
        <v>77.070876999999996</v>
      </c>
      <c r="BT13" s="12">
        <v>74.206042999999994</v>
      </c>
      <c r="BU13" s="12">
        <v>80.795733679999998</v>
      </c>
      <c r="BV13" s="12">
        <v>80.554615999999996</v>
      </c>
      <c r="BW13" s="12">
        <v>81.185277999999997</v>
      </c>
      <c r="BX13" s="12">
        <v>78.811266000000003</v>
      </c>
      <c r="BY13" s="12">
        <v>78.811266000000003</v>
      </c>
      <c r="BZ13" s="12">
        <v>78.344721000000007</v>
      </c>
      <c r="CA13" s="12">
        <v>78.735844999999998</v>
      </c>
      <c r="CB13" s="12">
        <v>78.086016000000001</v>
      </c>
      <c r="CC13" s="12">
        <v>77.339194000000006</v>
      </c>
      <c r="CD13" s="12">
        <v>77.019897999999998</v>
      </c>
      <c r="CE13" s="12">
        <v>78.294954000000004</v>
      </c>
      <c r="CF13" s="12">
        <v>78.422490999999994</v>
      </c>
      <c r="CG13" s="12">
        <v>80.554615999999996</v>
      </c>
      <c r="CH13" s="12">
        <v>76.507400000000004</v>
      </c>
      <c r="CI13" s="12">
        <v>76.494607000000002</v>
      </c>
      <c r="CJ13" s="12">
        <v>78.277388000000002</v>
      </c>
      <c r="CK13" s="12">
        <v>81.031334000000001</v>
      </c>
      <c r="CL13" s="12">
        <v>81.782794999999993</v>
      </c>
      <c r="CM13" s="12">
        <v>81.063890000000001</v>
      </c>
      <c r="CN13" s="12">
        <v>80.466654000000005</v>
      </c>
      <c r="CO13" s="12">
        <v>81.324579999999997</v>
      </c>
      <c r="CP13" s="12">
        <v>75.183311000000003</v>
      </c>
      <c r="CQ13" s="12">
        <v>74.924569000000005</v>
      </c>
      <c r="CR13" s="12">
        <v>76.696634610000004</v>
      </c>
      <c r="CS13" s="12">
        <v>79.112560999999999</v>
      </c>
      <c r="CT13" s="12">
        <v>75.086903000000007</v>
      </c>
      <c r="CU13" s="12">
        <v>81.793249959999997</v>
      </c>
      <c r="CV13" s="12">
        <v>75.006405999999998</v>
      </c>
      <c r="CW13" s="12">
        <v>75.750157000000002</v>
      </c>
      <c r="CX13" s="12">
        <v>83.453378959999995</v>
      </c>
      <c r="CY13" s="12">
        <v>74.242504999999994</v>
      </c>
      <c r="CZ13" s="12">
        <v>75.313319000000007</v>
      </c>
      <c r="DA13" s="12">
        <v>75.623795999999999</v>
      </c>
      <c r="DB13" s="12">
        <v>78.771732999999998</v>
      </c>
      <c r="DC13" s="12">
        <v>82.469042999999999</v>
      </c>
      <c r="DD13" s="12">
        <v>82.698023000000006</v>
      </c>
      <c r="DE13" s="12">
        <v>81.185277999999997</v>
      </c>
      <c r="DF13" s="12">
        <v>80.908873999999997</v>
      </c>
      <c r="DG13" s="12">
        <v>78.341220000000007</v>
      </c>
      <c r="DH13" s="12">
        <v>78.811266000000003</v>
      </c>
      <c r="DI13" s="12">
        <v>77.036389499999999</v>
      </c>
      <c r="DJ13" s="12">
        <v>81.626427000000007</v>
      </c>
      <c r="DK13" s="12">
        <v>80.044907159999994</v>
      </c>
      <c r="DL13" s="12">
        <v>79.313585000000003</v>
      </c>
      <c r="DM13" s="12">
        <v>79.327096999999995</v>
      </c>
      <c r="DN13" s="12">
        <v>75.742625000000004</v>
      </c>
      <c r="DO13" s="12">
        <v>81.252285000000001</v>
      </c>
      <c r="DP13" s="12">
        <v>80.499859000000001</v>
      </c>
      <c r="DQ13" s="12">
        <v>77.543096000000006</v>
      </c>
      <c r="DR13" s="12">
        <v>68.300938000000002</v>
      </c>
      <c r="DS13" s="12">
        <v>80.434803000000002</v>
      </c>
      <c r="DT13" s="12">
        <v>75.887410000000003</v>
      </c>
      <c r="DU13" s="12">
        <v>76.090119999999999</v>
      </c>
      <c r="DV13" s="12">
        <v>76.042085999999998</v>
      </c>
      <c r="DW13" s="12">
        <v>81.564166</v>
      </c>
      <c r="DX13" s="12">
        <v>81.803629999999998</v>
      </c>
      <c r="DY13" s="12">
        <v>72.915584999999993</v>
      </c>
      <c r="DZ13" s="12">
        <v>71.592008000000007</v>
      </c>
      <c r="EA13" s="12">
        <v>71.592008000000007</v>
      </c>
      <c r="EB13" s="12">
        <v>71.923209420000006</v>
      </c>
      <c r="EC13" s="12">
        <v>78.620217999999994</v>
      </c>
      <c r="ED13" s="12">
        <v>78.796627999999998</v>
      </c>
      <c r="EE13" s="12">
        <v>74.390884</v>
      </c>
      <c r="EF13" s="12">
        <v>74.847329999999999</v>
      </c>
      <c r="EG13" s="12">
        <v>70.619322999999994</v>
      </c>
      <c r="EH13" s="12">
        <v>75.295782000000003</v>
      </c>
      <c r="EI13" s="12">
        <v>90.104774419999998</v>
      </c>
      <c r="EJ13" s="12">
        <v>82.838813999999999</v>
      </c>
      <c r="EK13" s="12">
        <v>82.838813999999999</v>
      </c>
      <c r="EL13" s="12">
        <v>75.361018999999999</v>
      </c>
      <c r="EM13" s="12">
        <v>80.998699999999999</v>
      </c>
      <c r="EN13" s="12">
        <v>81.267522</v>
      </c>
      <c r="EO13" s="12">
        <v>81.185277999999997</v>
      </c>
      <c r="EP13" s="12">
        <v>75.921119000000004</v>
      </c>
      <c r="EQ13" s="12">
        <v>78.785768000000004</v>
      </c>
      <c r="ER13" s="12">
        <v>81.279270999999994</v>
      </c>
      <c r="ES13" s="12">
        <v>76.213217</v>
      </c>
      <c r="ET13" s="12">
        <v>76.440949000000003</v>
      </c>
      <c r="EU13" s="12">
        <v>77.661388130000006</v>
      </c>
      <c r="EV13" s="12">
        <v>73.949903000000006</v>
      </c>
      <c r="EW13" s="12">
        <v>73.247416000000001</v>
      </c>
      <c r="EX13" s="12">
        <v>74.682411000000002</v>
      </c>
      <c r="EY13" s="12">
        <v>76.875017</v>
      </c>
      <c r="EZ13" s="12">
        <v>74.662186000000005</v>
      </c>
      <c r="FA13" s="12">
        <v>72.853168999999994</v>
      </c>
      <c r="FB13" s="12">
        <v>71.946798999999999</v>
      </c>
      <c r="FC13" s="12">
        <v>74.965573000000006</v>
      </c>
      <c r="FD13" s="12">
        <v>75.235067000000001</v>
      </c>
      <c r="FE13" s="12">
        <v>75.347887</v>
      </c>
      <c r="FF13" s="12">
        <v>82.693655050000004</v>
      </c>
      <c r="FG13" s="12">
        <v>74.873940000000005</v>
      </c>
      <c r="FH13" s="12">
        <v>81.083535999999995</v>
      </c>
      <c r="FI13" s="12">
        <v>76.897948999999997</v>
      </c>
      <c r="FJ13" s="12">
        <v>92.110317179999996</v>
      </c>
      <c r="FK13" s="12">
        <v>79.780565060000001</v>
      </c>
      <c r="FL13" s="12">
        <v>84.229421000000002</v>
      </c>
      <c r="FM13" s="12">
        <v>72.605616499999996</v>
      </c>
      <c r="FN13" s="12">
        <v>72.997817999999995</v>
      </c>
      <c r="FO13" s="12">
        <v>74.928571000000005</v>
      </c>
      <c r="FP13" s="12">
        <v>78.277388000000002</v>
      </c>
      <c r="FQ13" s="12">
        <v>78.353573949999998</v>
      </c>
      <c r="FR13" s="12">
        <v>78.189260000000004</v>
      </c>
      <c r="FS13" s="12">
        <v>78.344721000000007</v>
      </c>
      <c r="FT13" s="12">
        <v>80.691586999999998</v>
      </c>
      <c r="FU13" s="12">
        <v>80.691586999999998</v>
      </c>
      <c r="FV13" s="12">
        <v>74.394034000000005</v>
      </c>
      <c r="FW13" s="12">
        <v>74.394034000000005</v>
      </c>
      <c r="FX13" s="12">
        <v>73.967975999999993</v>
      </c>
      <c r="FY13" s="12">
        <v>79.576132999999999</v>
      </c>
      <c r="FZ13" s="12">
        <v>79.515765999999999</v>
      </c>
      <c r="GA13" s="12">
        <v>78.777690000000007</v>
      </c>
      <c r="GB13" s="12">
        <v>78.777690000000007</v>
      </c>
      <c r="GC13" s="12">
        <v>76.758068780000002</v>
      </c>
      <c r="GD13" s="12">
        <v>77.042039000000003</v>
      </c>
      <c r="GE13" s="12">
        <v>76.676742000000004</v>
      </c>
      <c r="GF13" s="12">
        <v>80.554615999999996</v>
      </c>
      <c r="GG13" s="12">
        <v>80.554615999999996</v>
      </c>
      <c r="GH13" s="12">
        <v>82.055019999999999</v>
      </c>
      <c r="GI13" s="12">
        <v>73.648982669999995</v>
      </c>
      <c r="GJ13" s="12">
        <v>80.904315999999994</v>
      </c>
      <c r="GK13" s="12">
        <v>80.908873999999997</v>
      </c>
      <c r="GL13" s="12">
        <v>83.367819729999994</v>
      </c>
      <c r="GM13" s="12">
        <v>68.968818999999996</v>
      </c>
      <c r="GN13" s="12">
        <v>83.367819729999994</v>
      </c>
      <c r="GO13" s="12">
        <v>80.691586999999998</v>
      </c>
      <c r="GP13" s="12">
        <v>76.688980000000001</v>
      </c>
      <c r="GQ13" s="12">
        <v>80.813398000000007</v>
      </c>
      <c r="GR13" s="12">
        <v>80.013773999999998</v>
      </c>
      <c r="GS13" s="12">
        <v>74.948403999999996</v>
      </c>
      <c r="GT13" s="12">
        <v>71.162571</v>
      </c>
      <c r="GU13" s="12">
        <v>77.055926999999997</v>
      </c>
      <c r="GV13" s="12">
        <v>74.298002999999994</v>
      </c>
      <c r="GW13" s="12">
        <v>80.117942999999997</v>
      </c>
      <c r="GX13" s="12">
        <v>80.256339999999994</v>
      </c>
      <c r="GY13" s="12">
        <v>80.948063000000005</v>
      </c>
      <c r="GZ13" s="12">
        <v>80.810295999999994</v>
      </c>
      <c r="HA13" s="12">
        <v>77.055926999999997</v>
      </c>
      <c r="HB13" s="12">
        <v>77.055926999999997</v>
      </c>
      <c r="HC13" s="12">
        <v>77.055926999999997</v>
      </c>
      <c r="HD13" s="12">
        <v>80.817823000000004</v>
      </c>
      <c r="HE13" s="12">
        <v>81.329510999999997</v>
      </c>
      <c r="HF13" s="12">
        <v>81.279270999999994</v>
      </c>
      <c r="HG13" s="12">
        <v>81.279270999999994</v>
      </c>
      <c r="HH13" s="12">
        <v>81.279270999999994</v>
      </c>
      <c r="HI13" s="12">
        <v>75.705854000000002</v>
      </c>
      <c r="HJ13" s="12">
        <v>81.463877999999994</v>
      </c>
      <c r="HK13" s="12">
        <v>81.216661000000002</v>
      </c>
      <c r="HL13" s="12">
        <v>79.254619000000005</v>
      </c>
      <c r="HM13" s="12">
        <v>82.632795999999999</v>
      </c>
      <c r="HN13" s="12">
        <v>79.574944000000002</v>
      </c>
      <c r="HO13" s="12">
        <v>67.689240499999997</v>
      </c>
      <c r="HP13" s="12">
        <v>81.198113000000006</v>
      </c>
      <c r="HQ13" s="12">
        <v>76.603298499999994</v>
      </c>
      <c r="HR13" s="12">
        <v>76.767092000000005</v>
      </c>
      <c r="HS13" s="12">
        <v>74.710171000000003</v>
      </c>
      <c r="HT13" s="12">
        <v>75.192234999999997</v>
      </c>
      <c r="HU13" s="12">
        <v>71.020486250000005</v>
      </c>
      <c r="HV13" s="12">
        <v>69.605422000000004</v>
      </c>
      <c r="HW13" s="12">
        <v>69.973550000000003</v>
      </c>
      <c r="HX13" s="12">
        <v>75.001929700000005</v>
      </c>
      <c r="HY13" s="12">
        <v>76.861615</v>
      </c>
      <c r="HZ13" s="12">
        <v>82.674414999999996</v>
      </c>
      <c r="IA13" s="12"/>
      <c r="IB13" s="12"/>
      <c r="IC13" s="12"/>
      <c r="ID13" s="12"/>
      <c r="IE13" s="12"/>
      <c r="IF13" s="12"/>
      <c r="IG13" s="12"/>
      <c r="IH13" s="12"/>
      <c r="II13" s="12"/>
      <c r="IJ13" s="12"/>
      <c r="IK13" s="12"/>
    </row>
    <row r="14" spans="1:245" x14ac:dyDescent="0.25">
      <c r="A14" s="11">
        <v>46049.270833333336</v>
      </c>
      <c r="B14" s="12">
        <v>2.73242801</v>
      </c>
      <c r="C14" s="12">
        <v>2.586776</v>
      </c>
      <c r="D14" s="12">
        <v>2.5911629999999999</v>
      </c>
      <c r="E14" s="12">
        <v>2.5886809999999998</v>
      </c>
      <c r="F14" s="12">
        <v>2.586776</v>
      </c>
      <c r="G14" s="12">
        <v>2.5974910000000002</v>
      </c>
      <c r="H14" s="12">
        <v>2.7379639999999998</v>
      </c>
      <c r="I14" s="12">
        <v>2.7278859999999998</v>
      </c>
      <c r="J14" s="12">
        <v>2.7460659999999999</v>
      </c>
      <c r="K14" s="12">
        <v>2.5954739999999998</v>
      </c>
      <c r="L14" s="12">
        <v>2.6128260000000001</v>
      </c>
      <c r="M14" s="12">
        <v>2.6471420000000001</v>
      </c>
      <c r="N14" s="12">
        <v>2.6015760000000001</v>
      </c>
      <c r="O14" s="12">
        <v>2.7373470000000002</v>
      </c>
      <c r="P14" s="12">
        <v>2.5320438300000001</v>
      </c>
      <c r="Q14" s="12">
        <v>2.7441119999999999</v>
      </c>
      <c r="R14" s="12">
        <v>2.5877490000000001</v>
      </c>
      <c r="S14" s="12">
        <v>2.6993079999999998</v>
      </c>
      <c r="T14" s="12">
        <v>2.3292989999999998</v>
      </c>
      <c r="U14" s="12">
        <v>2.3486760000000002</v>
      </c>
      <c r="V14" s="12">
        <v>2.6694870000000002</v>
      </c>
      <c r="W14" s="12">
        <v>2.6043310000000002</v>
      </c>
      <c r="X14" s="12">
        <v>2.503905</v>
      </c>
      <c r="Y14" s="12">
        <v>2.560654</v>
      </c>
      <c r="Z14" s="12">
        <v>2.7239460000000002</v>
      </c>
      <c r="AA14" s="12">
        <v>2.492092</v>
      </c>
      <c r="AB14" s="12">
        <v>2.6148090000000002</v>
      </c>
      <c r="AC14" s="12">
        <v>2.6081560000000001</v>
      </c>
      <c r="AD14" s="12">
        <v>2.599402</v>
      </c>
      <c r="AE14" s="12">
        <v>2.4425750000000002</v>
      </c>
      <c r="AF14" s="12">
        <v>2.6424527499999999</v>
      </c>
      <c r="AG14" s="12">
        <v>2.68425687</v>
      </c>
      <c r="AH14" s="12">
        <v>2.665162</v>
      </c>
      <c r="AI14" s="12">
        <v>2.6651859999999998</v>
      </c>
      <c r="AJ14" s="12">
        <v>2.4016609999999998</v>
      </c>
      <c r="AK14" s="12">
        <v>2.675637</v>
      </c>
      <c r="AL14" s="12">
        <v>2.48596467</v>
      </c>
      <c r="AM14" s="12">
        <v>2.4988649999999999</v>
      </c>
      <c r="AN14" s="12">
        <v>2.7164009999999998</v>
      </c>
      <c r="AO14" s="12">
        <v>2.4670550000000002</v>
      </c>
      <c r="AP14" s="12">
        <v>2.296049</v>
      </c>
      <c r="AQ14" s="12">
        <v>2.3064550000000001</v>
      </c>
      <c r="AR14" s="12">
        <v>2.7194600000000002</v>
      </c>
      <c r="AS14" s="12">
        <v>2.6871109999999998</v>
      </c>
      <c r="AT14" s="12">
        <v>2.6871109999999998</v>
      </c>
      <c r="AU14" s="12">
        <v>2.7142270000000002</v>
      </c>
      <c r="AV14" s="12">
        <v>2.6134569999999999</v>
      </c>
      <c r="AW14" s="12">
        <v>2.4530989999999999</v>
      </c>
      <c r="AX14" s="12">
        <v>2.4673159999999998</v>
      </c>
      <c r="AY14" s="12">
        <v>2.738683</v>
      </c>
      <c r="AZ14" s="12">
        <v>2.5942289999999999</v>
      </c>
      <c r="BA14" s="12">
        <v>2.5883449999999999</v>
      </c>
      <c r="BB14" s="12">
        <v>2.5803664999999998</v>
      </c>
      <c r="BC14" s="12">
        <v>2.5882339999999999</v>
      </c>
      <c r="BD14" s="12">
        <v>2.5786880000000001</v>
      </c>
      <c r="BE14" s="12">
        <v>2.5882339999999999</v>
      </c>
      <c r="BF14" s="12">
        <v>2.700167</v>
      </c>
      <c r="BG14" s="12">
        <v>2.7166649999999999</v>
      </c>
      <c r="BH14" s="12">
        <v>2.7166649999999999</v>
      </c>
      <c r="BI14" s="12">
        <v>2.7166649999999999</v>
      </c>
      <c r="BJ14" s="12">
        <v>2.5114480000000001</v>
      </c>
      <c r="BK14" s="12">
        <v>2.525509</v>
      </c>
      <c r="BL14" s="12">
        <v>2.679189</v>
      </c>
      <c r="BM14" s="12">
        <v>2.6711490000000002</v>
      </c>
      <c r="BN14" s="12">
        <v>2.6322350000000001</v>
      </c>
      <c r="BO14" s="12">
        <v>2.5707209999999998</v>
      </c>
      <c r="BP14" s="12">
        <v>2.6619809999999999</v>
      </c>
      <c r="BQ14" s="12">
        <v>2.4023699999999999</v>
      </c>
      <c r="BR14" s="12">
        <v>2.4036096200000001</v>
      </c>
      <c r="BS14" s="12">
        <v>2.5962969999999999</v>
      </c>
      <c r="BT14" s="12">
        <v>2.51950217</v>
      </c>
      <c r="BU14" s="12">
        <v>2.7093057200000001</v>
      </c>
      <c r="BV14" s="12">
        <v>2.7379859999999998</v>
      </c>
      <c r="BW14" s="12">
        <v>2.7148599999999998</v>
      </c>
      <c r="BX14" s="12">
        <v>2.6427610000000001</v>
      </c>
      <c r="BY14" s="12">
        <v>2.6427610000000001</v>
      </c>
      <c r="BZ14" s="12">
        <v>2.6647820000000002</v>
      </c>
      <c r="CA14" s="12">
        <v>2.6882139999999999</v>
      </c>
      <c r="CB14" s="12">
        <v>2.6279409999999999</v>
      </c>
      <c r="CC14" s="12">
        <v>2.609658</v>
      </c>
      <c r="CD14" s="12">
        <v>2.598195</v>
      </c>
      <c r="CE14" s="12">
        <v>2.6714579999999999</v>
      </c>
      <c r="CF14" s="12">
        <v>2.6406299999999998</v>
      </c>
      <c r="CG14" s="12">
        <v>2.7379859999999998</v>
      </c>
      <c r="CH14" s="12">
        <v>2.5946630000000002</v>
      </c>
      <c r="CI14" s="12">
        <v>2.5942599999999998</v>
      </c>
      <c r="CJ14" s="12">
        <v>2.6356039999999998</v>
      </c>
      <c r="CK14" s="12">
        <v>2.7599</v>
      </c>
      <c r="CL14" s="12">
        <v>2.7851650000000001</v>
      </c>
      <c r="CM14" s="12">
        <v>2.7561460000000002</v>
      </c>
      <c r="CN14" s="12">
        <v>2.7343169999999999</v>
      </c>
      <c r="CO14" s="12">
        <v>2.7637770000000002</v>
      </c>
      <c r="CP14" s="12">
        <v>2.5528140000000001</v>
      </c>
      <c r="CQ14" s="12">
        <v>2.5441240000000001</v>
      </c>
      <c r="CR14" s="12">
        <v>2.6045290799999998</v>
      </c>
      <c r="CS14" s="12">
        <v>2.6774339999999999</v>
      </c>
      <c r="CT14" s="12">
        <v>2.5335000000000001</v>
      </c>
      <c r="CU14" s="12">
        <v>2.7680212800000001</v>
      </c>
      <c r="CV14" s="12">
        <v>2.5490189999999999</v>
      </c>
      <c r="CW14" s="12">
        <v>2.5689389999999999</v>
      </c>
      <c r="CX14" s="12">
        <v>2.7924042099999999</v>
      </c>
      <c r="CY14" s="12">
        <v>2.5142280000000001</v>
      </c>
      <c r="CZ14" s="12">
        <v>2.5644619999999998</v>
      </c>
      <c r="DA14" s="12">
        <v>2.5731860000000002</v>
      </c>
      <c r="DB14" s="12">
        <v>2.6433249999999999</v>
      </c>
      <c r="DC14" s="12">
        <v>2.755754</v>
      </c>
      <c r="DD14" s="12">
        <v>2.7637849999999999</v>
      </c>
      <c r="DE14" s="12">
        <v>2.7148599999999998</v>
      </c>
      <c r="DF14" s="12">
        <v>2.7065389999999998</v>
      </c>
      <c r="DG14" s="12">
        <v>2.6263939999999999</v>
      </c>
      <c r="DH14" s="12">
        <v>2.6427610000000001</v>
      </c>
      <c r="DI14" s="12">
        <v>2.6138499999999998</v>
      </c>
      <c r="DJ14" s="12">
        <v>2.7232120000000002</v>
      </c>
      <c r="DK14" s="12">
        <v>2.7329082499999999</v>
      </c>
      <c r="DL14" s="12">
        <v>2.6576469999999999</v>
      </c>
      <c r="DM14" s="12">
        <v>2.6575920000000002</v>
      </c>
      <c r="DN14" s="12">
        <v>2.572368</v>
      </c>
      <c r="DO14" s="12">
        <v>2.7626360000000001</v>
      </c>
      <c r="DP14" s="12">
        <v>2.7350819999999998</v>
      </c>
      <c r="DQ14" s="12">
        <v>2.6344110000000001</v>
      </c>
      <c r="DR14" s="12">
        <v>2.316783</v>
      </c>
      <c r="DS14" s="12">
        <v>2.732837</v>
      </c>
      <c r="DT14" s="12">
        <v>2.573026</v>
      </c>
      <c r="DU14" s="12">
        <v>2.580616</v>
      </c>
      <c r="DV14" s="12">
        <v>2.5810279999999999</v>
      </c>
      <c r="DW14" s="12">
        <v>2.72797</v>
      </c>
      <c r="DX14" s="12">
        <v>2.7365499999999998</v>
      </c>
      <c r="DY14" s="12">
        <v>2.4627669999999999</v>
      </c>
      <c r="DZ14" s="12">
        <v>2.4081640000000002</v>
      </c>
      <c r="EA14" s="12">
        <v>2.4081640000000002</v>
      </c>
      <c r="EB14" s="12">
        <v>2.4414405399999999</v>
      </c>
      <c r="EC14" s="12">
        <v>2.645877</v>
      </c>
      <c r="ED14" s="12">
        <v>2.6514220000000002</v>
      </c>
      <c r="EE14" s="12">
        <v>2.528159</v>
      </c>
      <c r="EF14" s="12">
        <v>2.5421840000000002</v>
      </c>
      <c r="EG14" s="12">
        <v>2.3841709999999998</v>
      </c>
      <c r="EH14" s="12">
        <v>2.5565329999999999</v>
      </c>
      <c r="EI14" s="12">
        <v>3.01496422</v>
      </c>
      <c r="EJ14" s="12">
        <v>2.737355</v>
      </c>
      <c r="EK14" s="12">
        <v>2.737355</v>
      </c>
      <c r="EL14" s="12">
        <v>2.5431859999999999</v>
      </c>
      <c r="EM14" s="12">
        <v>2.7088939999999999</v>
      </c>
      <c r="EN14" s="12">
        <v>2.7172420000000002</v>
      </c>
      <c r="EO14" s="12">
        <v>2.7148599999999998</v>
      </c>
      <c r="EP14" s="12">
        <v>2.5773090000000001</v>
      </c>
      <c r="EQ14" s="12">
        <v>2.6492260000000001</v>
      </c>
      <c r="ER14" s="12">
        <v>2.763468</v>
      </c>
      <c r="ES14" s="12">
        <v>2.5866720000000001</v>
      </c>
      <c r="ET14" s="12">
        <v>2.5928089999999999</v>
      </c>
      <c r="EU14" s="12">
        <v>2.6344005899999998</v>
      </c>
      <c r="EV14" s="12">
        <v>2.5073660000000002</v>
      </c>
      <c r="EW14" s="12">
        <v>2.4823409999999999</v>
      </c>
      <c r="EX14" s="12">
        <v>2.5320450000000001</v>
      </c>
      <c r="EY14" s="12">
        <v>2.6015799999999998</v>
      </c>
      <c r="EZ14" s="12">
        <v>2.5018899999999999</v>
      </c>
      <c r="FA14" s="12">
        <v>2.472801</v>
      </c>
      <c r="FB14" s="12">
        <v>2.4422139999999999</v>
      </c>
      <c r="FC14" s="12">
        <v>2.545779</v>
      </c>
      <c r="FD14" s="12">
        <v>2.5546220000000002</v>
      </c>
      <c r="FE14" s="12">
        <v>2.5583230000000001</v>
      </c>
      <c r="FF14" s="12">
        <v>2.8100471499999999</v>
      </c>
      <c r="FG14" s="12">
        <v>2.5444930000000001</v>
      </c>
      <c r="FH14" s="12">
        <v>2.7553320000000001</v>
      </c>
      <c r="FI14" s="12">
        <v>2.6084179999999999</v>
      </c>
      <c r="FJ14" s="12">
        <v>3.1358941699999998</v>
      </c>
      <c r="FK14" s="12">
        <v>2.7081418099999999</v>
      </c>
      <c r="FL14" s="12">
        <v>2.8676059999999999</v>
      </c>
      <c r="FM14" s="12">
        <v>2.4756925000000001</v>
      </c>
      <c r="FN14" s="12">
        <v>2.4877050000000001</v>
      </c>
      <c r="FO14" s="12">
        <v>2.5402969999999998</v>
      </c>
      <c r="FP14" s="12">
        <v>2.6356039999999998</v>
      </c>
      <c r="FQ14" s="12">
        <v>2.6650831199999998</v>
      </c>
      <c r="FR14" s="12">
        <v>2.6593330000000002</v>
      </c>
      <c r="FS14" s="12">
        <v>2.6647820000000002</v>
      </c>
      <c r="FT14" s="12">
        <v>2.7001309999999998</v>
      </c>
      <c r="FU14" s="12">
        <v>2.7001309999999998</v>
      </c>
      <c r="FV14" s="12">
        <v>2.524054</v>
      </c>
      <c r="FW14" s="12">
        <v>2.524054</v>
      </c>
      <c r="FX14" s="12">
        <v>2.508305</v>
      </c>
      <c r="FY14" s="12">
        <v>2.6649929999999999</v>
      </c>
      <c r="FZ14" s="12">
        <v>2.6630379999999998</v>
      </c>
      <c r="GA14" s="12">
        <v>2.6456620000000002</v>
      </c>
      <c r="GB14" s="12">
        <v>2.6456620000000002</v>
      </c>
      <c r="GC14" s="12">
        <v>2.6062902700000001</v>
      </c>
      <c r="GD14" s="12">
        <v>2.598535</v>
      </c>
      <c r="GE14" s="12">
        <v>2.6043090000000002</v>
      </c>
      <c r="GF14" s="12">
        <v>2.7379859999999998</v>
      </c>
      <c r="GG14" s="12">
        <v>2.7379859999999998</v>
      </c>
      <c r="GH14" s="12">
        <v>2.7274699999999998</v>
      </c>
      <c r="GI14" s="12">
        <v>2.4912429999999999</v>
      </c>
      <c r="GJ14" s="12">
        <v>2.696904</v>
      </c>
      <c r="GK14" s="12">
        <v>2.7065389999999998</v>
      </c>
      <c r="GL14" s="12">
        <v>2.78954134</v>
      </c>
      <c r="GM14" s="12">
        <v>2.321202</v>
      </c>
      <c r="GN14" s="12">
        <v>2.78954134</v>
      </c>
      <c r="GO14" s="12">
        <v>2.7001309999999998</v>
      </c>
      <c r="GP14" s="12">
        <v>2.6025040000000002</v>
      </c>
      <c r="GQ14" s="12">
        <v>2.7027960000000002</v>
      </c>
      <c r="GR14" s="12">
        <v>2.6917499999999999</v>
      </c>
      <c r="GS14" s="12">
        <v>2.5398130000000001</v>
      </c>
      <c r="GT14" s="12">
        <v>2.4157700000000002</v>
      </c>
      <c r="GU14" s="12">
        <v>2.615011</v>
      </c>
      <c r="GV14" s="12">
        <v>2.5067699999999999</v>
      </c>
      <c r="GW14" s="12">
        <v>2.727614</v>
      </c>
      <c r="GX14" s="12">
        <v>2.6834030000000002</v>
      </c>
      <c r="GY14" s="12">
        <v>2.7089789999999998</v>
      </c>
      <c r="GZ14" s="12">
        <v>2.7052049999999999</v>
      </c>
      <c r="HA14" s="12">
        <v>2.615011</v>
      </c>
      <c r="HB14" s="12">
        <v>2.615011</v>
      </c>
      <c r="HC14" s="12">
        <v>2.615011</v>
      </c>
      <c r="HD14" s="12">
        <v>2.7033659999999999</v>
      </c>
      <c r="HE14" s="12">
        <v>2.7652540000000001</v>
      </c>
      <c r="HF14" s="12">
        <v>2.763468</v>
      </c>
      <c r="HG14" s="12">
        <v>2.763468</v>
      </c>
      <c r="HH14" s="12">
        <v>2.763468</v>
      </c>
      <c r="HI14" s="12">
        <v>2.572686</v>
      </c>
      <c r="HJ14" s="12">
        <v>2.7289330000000001</v>
      </c>
      <c r="HK14" s="12">
        <v>2.7205460000000001</v>
      </c>
      <c r="HL14" s="12">
        <v>2.6961439999999999</v>
      </c>
      <c r="HM14" s="12">
        <v>2.7601689999999999</v>
      </c>
      <c r="HN14" s="12">
        <v>2.703176</v>
      </c>
      <c r="HO14" s="12">
        <v>2.2781367399999999</v>
      </c>
      <c r="HP14" s="12">
        <v>2.7598630000000002</v>
      </c>
      <c r="HQ14" s="12">
        <v>2.5985084999999999</v>
      </c>
      <c r="HR14" s="12">
        <v>2.6041089999999998</v>
      </c>
      <c r="HS14" s="12">
        <v>2.536044</v>
      </c>
      <c r="HT14" s="12">
        <v>2.5477810000000001</v>
      </c>
      <c r="HU14" s="12">
        <v>2.4114672399999999</v>
      </c>
      <c r="HV14" s="12">
        <v>2.3645420000000001</v>
      </c>
      <c r="HW14" s="12">
        <v>2.3766389999999999</v>
      </c>
      <c r="HX14" s="12">
        <v>2.5494679900000001</v>
      </c>
      <c r="HY14" s="12">
        <v>2.60724</v>
      </c>
      <c r="HZ14" s="12">
        <v>2.811833</v>
      </c>
      <c r="IA14" s="12"/>
      <c r="IB14" s="12"/>
      <c r="IC14" s="12"/>
      <c r="ID14" s="12"/>
      <c r="IE14" s="12"/>
      <c r="IF14" s="12"/>
      <c r="IG14" s="12"/>
      <c r="IH14" s="12"/>
      <c r="II14" s="12"/>
      <c r="IJ14" s="12"/>
      <c r="IK14" s="12"/>
    </row>
    <row r="15" spans="1:245" x14ac:dyDescent="0.25">
      <c r="A15" s="11">
        <v>46049.291666666664</v>
      </c>
      <c r="B15" s="12">
        <v>2.6336009800000002</v>
      </c>
      <c r="C15" s="12">
        <v>2.4983300000000002</v>
      </c>
      <c r="D15" s="12">
        <v>2.5029490000000001</v>
      </c>
      <c r="E15" s="12">
        <v>2.5002810000000002</v>
      </c>
      <c r="F15" s="12">
        <v>2.4983300000000002</v>
      </c>
      <c r="G15" s="12">
        <v>2.4990320000000001</v>
      </c>
      <c r="H15" s="12">
        <v>2.569941</v>
      </c>
      <c r="I15" s="12">
        <v>2.559504</v>
      </c>
      <c r="J15" s="12">
        <v>2.577426</v>
      </c>
      <c r="K15" s="12">
        <v>2.4998550000000002</v>
      </c>
      <c r="L15" s="12">
        <v>2.5239549999999999</v>
      </c>
      <c r="M15" s="12">
        <v>2.5041440000000001</v>
      </c>
      <c r="N15" s="12">
        <v>2.4629669999999999</v>
      </c>
      <c r="O15" s="12">
        <v>2.643024</v>
      </c>
      <c r="P15" s="12">
        <v>2.44026225</v>
      </c>
      <c r="Q15" s="12">
        <v>2.5788679999999999</v>
      </c>
      <c r="R15" s="12">
        <v>2.4648669999999999</v>
      </c>
      <c r="S15" s="12">
        <v>2.6038709999999998</v>
      </c>
      <c r="T15" s="12">
        <v>2.267798</v>
      </c>
      <c r="U15" s="12">
        <v>2.2846829999999998</v>
      </c>
      <c r="V15" s="12">
        <v>2.5722450000000001</v>
      </c>
      <c r="W15" s="12">
        <v>2.5013070000000002</v>
      </c>
      <c r="X15" s="12">
        <v>2.4030670000000001</v>
      </c>
      <c r="Y15" s="12">
        <v>2.458682</v>
      </c>
      <c r="Z15" s="12">
        <v>2.5694599999999999</v>
      </c>
      <c r="AA15" s="12">
        <v>2.3846560000000001</v>
      </c>
      <c r="AB15" s="12">
        <v>2.524124</v>
      </c>
      <c r="AC15" s="12">
        <v>2.505455</v>
      </c>
      <c r="AD15" s="12">
        <v>2.4964490000000001</v>
      </c>
      <c r="AE15" s="12">
        <v>2.3506399999999998</v>
      </c>
      <c r="AF15" s="12">
        <v>2.5451377499999999</v>
      </c>
      <c r="AG15" s="12">
        <v>2.5859836899999999</v>
      </c>
      <c r="AH15" s="12">
        <v>2.5677699999999999</v>
      </c>
      <c r="AI15" s="12">
        <v>2.567631</v>
      </c>
      <c r="AJ15" s="12">
        <v>2.3150080000000002</v>
      </c>
      <c r="AK15" s="12">
        <v>2.578246</v>
      </c>
      <c r="AL15" s="12">
        <v>2.37694933</v>
      </c>
      <c r="AM15" s="12">
        <v>2.389637</v>
      </c>
      <c r="AN15" s="12">
        <v>2.5527060000000001</v>
      </c>
      <c r="AO15" s="12">
        <v>2.3755760000000001</v>
      </c>
      <c r="AP15" s="12">
        <v>2.2160000000000002</v>
      </c>
      <c r="AQ15" s="12">
        <v>2.225651</v>
      </c>
      <c r="AR15" s="12">
        <v>2.5085639999999998</v>
      </c>
      <c r="AS15" s="12">
        <v>2.5311539999999999</v>
      </c>
      <c r="AT15" s="12">
        <v>2.5311539999999999</v>
      </c>
      <c r="AU15" s="12">
        <v>2.5588190000000002</v>
      </c>
      <c r="AV15" s="12">
        <v>2.5113794999999999</v>
      </c>
      <c r="AW15" s="12">
        <v>2.3772264999999999</v>
      </c>
      <c r="AX15" s="12">
        <v>2.3892389999999999</v>
      </c>
      <c r="AY15" s="12">
        <v>2.6396449999999998</v>
      </c>
      <c r="AZ15" s="12">
        <v>2.490551</v>
      </c>
      <c r="BA15" s="12">
        <v>2.486748</v>
      </c>
      <c r="BB15" s="12">
        <v>2.4789564999999998</v>
      </c>
      <c r="BC15" s="12">
        <v>2.4866389999999998</v>
      </c>
      <c r="BD15" s="12">
        <v>2.480845</v>
      </c>
      <c r="BE15" s="12">
        <v>2.4866389999999998</v>
      </c>
      <c r="BF15" s="12">
        <v>2.544397</v>
      </c>
      <c r="BG15" s="12">
        <v>2.5615070000000002</v>
      </c>
      <c r="BH15" s="12">
        <v>2.5615070000000002</v>
      </c>
      <c r="BI15" s="12">
        <v>2.5615070000000002</v>
      </c>
      <c r="BJ15" s="12">
        <v>2.407197</v>
      </c>
      <c r="BK15" s="12">
        <v>2.420582</v>
      </c>
      <c r="BL15" s="12">
        <v>2.5786549999999999</v>
      </c>
      <c r="BM15" s="12">
        <v>2.5705200000000001</v>
      </c>
      <c r="BN15" s="12">
        <v>2.5427590000000002</v>
      </c>
      <c r="BO15" s="12">
        <v>2.4772349999999999</v>
      </c>
      <c r="BP15" s="12">
        <v>2.5265240000000002</v>
      </c>
      <c r="BQ15" s="12">
        <v>2.315601</v>
      </c>
      <c r="BR15" s="12">
        <v>2.3167958500000001</v>
      </c>
      <c r="BS15" s="12">
        <v>2.469274</v>
      </c>
      <c r="BT15" s="12">
        <v>2.4241456700000001</v>
      </c>
      <c r="BU15" s="12">
        <v>2.6246596800000002</v>
      </c>
      <c r="BV15" s="12">
        <v>2.6389960000000001</v>
      </c>
      <c r="BW15" s="12">
        <v>2.5525180000000001</v>
      </c>
      <c r="BX15" s="12">
        <v>2.5601940000000001</v>
      </c>
      <c r="BY15" s="12">
        <v>2.5601940000000001</v>
      </c>
      <c r="BZ15" s="12">
        <v>2.5804640000000001</v>
      </c>
      <c r="CA15" s="12">
        <v>2.5923419999999999</v>
      </c>
      <c r="CB15" s="12">
        <v>2.536502</v>
      </c>
      <c r="CC15" s="12">
        <v>2.4885980000000001</v>
      </c>
      <c r="CD15" s="12">
        <v>2.4757899999999999</v>
      </c>
      <c r="CE15" s="12">
        <v>2.5756679999999998</v>
      </c>
      <c r="CF15" s="12">
        <v>2.5171830000000002</v>
      </c>
      <c r="CG15" s="12">
        <v>2.6389960000000001</v>
      </c>
      <c r="CH15" s="12">
        <v>2.4909829999999999</v>
      </c>
      <c r="CI15" s="12">
        <v>2.4905819999999999</v>
      </c>
      <c r="CJ15" s="12">
        <v>2.5067430000000002</v>
      </c>
      <c r="CK15" s="12">
        <v>2.6642709999999998</v>
      </c>
      <c r="CL15" s="12">
        <v>2.68866</v>
      </c>
      <c r="CM15" s="12">
        <v>2.6565949999999998</v>
      </c>
      <c r="CN15" s="12">
        <v>2.635589</v>
      </c>
      <c r="CO15" s="12">
        <v>2.6648350000000001</v>
      </c>
      <c r="CP15" s="12">
        <v>2.4615800000000001</v>
      </c>
      <c r="CQ15" s="12">
        <v>2.4480719999999998</v>
      </c>
      <c r="CR15" s="12">
        <v>2.5068546</v>
      </c>
      <c r="CS15" s="12">
        <v>2.5759370000000001</v>
      </c>
      <c r="CT15" s="12">
        <v>2.4327890000000001</v>
      </c>
      <c r="CU15" s="12">
        <v>2.6554269800000001</v>
      </c>
      <c r="CV15" s="12">
        <v>2.4581909999999998</v>
      </c>
      <c r="CW15" s="12">
        <v>2.465392</v>
      </c>
      <c r="CX15" s="12">
        <v>2.6340356699999998</v>
      </c>
      <c r="CY15" s="12">
        <v>2.4085369999999999</v>
      </c>
      <c r="CZ15" s="12">
        <v>2.4616456699999998</v>
      </c>
      <c r="DA15" s="12">
        <v>2.4706709999999998</v>
      </c>
      <c r="DB15" s="12">
        <v>2.5508489999999999</v>
      </c>
      <c r="DC15" s="12">
        <v>2.5883799999999999</v>
      </c>
      <c r="DD15" s="12">
        <v>2.596508</v>
      </c>
      <c r="DE15" s="12">
        <v>2.5525180000000001</v>
      </c>
      <c r="DF15" s="12">
        <v>2.5457610000000002</v>
      </c>
      <c r="DG15" s="12">
        <v>2.5435859999999999</v>
      </c>
      <c r="DH15" s="12">
        <v>2.5601940000000001</v>
      </c>
      <c r="DI15" s="12">
        <v>2.5124110000000002</v>
      </c>
      <c r="DJ15" s="12">
        <v>2.5524580000000001</v>
      </c>
      <c r="DK15" s="12">
        <v>2.6354422799999999</v>
      </c>
      <c r="DL15" s="12">
        <v>2.510081</v>
      </c>
      <c r="DM15" s="12">
        <v>2.5099200000000002</v>
      </c>
      <c r="DN15" s="12">
        <v>2.4747546699999998</v>
      </c>
      <c r="DO15" s="12">
        <v>2.6631819999999999</v>
      </c>
      <c r="DP15" s="12">
        <v>2.635027</v>
      </c>
      <c r="DQ15" s="12">
        <v>2.5379990000000001</v>
      </c>
      <c r="DR15" s="12">
        <v>2.240291</v>
      </c>
      <c r="DS15" s="12">
        <v>2.632746</v>
      </c>
      <c r="DT15" s="12">
        <v>2.471965</v>
      </c>
      <c r="DU15" s="12">
        <v>2.4792900000000002</v>
      </c>
      <c r="DV15" s="12">
        <v>2.4843389999999999</v>
      </c>
      <c r="DW15" s="12">
        <v>2.5623680000000002</v>
      </c>
      <c r="DX15" s="12">
        <v>2.5691790000000001</v>
      </c>
      <c r="DY15" s="12">
        <v>2.3398569999999999</v>
      </c>
      <c r="DZ15" s="12">
        <v>2.3330340000000001</v>
      </c>
      <c r="EA15" s="12">
        <v>2.3330340000000001</v>
      </c>
      <c r="EB15" s="12">
        <v>2.3529058300000001</v>
      </c>
      <c r="EC15" s="12">
        <v>2.5202330000000002</v>
      </c>
      <c r="ED15" s="12">
        <v>2.5256210000000001</v>
      </c>
      <c r="EE15" s="12">
        <v>2.4265099999999999</v>
      </c>
      <c r="EF15" s="12">
        <v>2.4403959999999998</v>
      </c>
      <c r="EG15" s="12">
        <v>2.3112840000000001</v>
      </c>
      <c r="EH15" s="12">
        <v>2.4650810000000001</v>
      </c>
      <c r="EI15" s="12">
        <v>2.8439733999999999</v>
      </c>
      <c r="EJ15" s="12">
        <v>2.5261130000000001</v>
      </c>
      <c r="EK15" s="12">
        <v>2.5261130000000001</v>
      </c>
      <c r="EL15" s="12">
        <v>2.4425409999999999</v>
      </c>
      <c r="EM15" s="12">
        <v>2.547142</v>
      </c>
      <c r="EN15" s="12">
        <v>2.5544120000000001</v>
      </c>
      <c r="EO15" s="12">
        <v>2.5525180000000001</v>
      </c>
      <c r="EP15" s="12">
        <v>2.4766940000000002</v>
      </c>
      <c r="EQ15" s="12">
        <v>2.5328520000000001</v>
      </c>
      <c r="ER15" s="12">
        <v>2.6639659999999998</v>
      </c>
      <c r="ES15" s="12">
        <v>2.4832239999999999</v>
      </c>
      <c r="ET15" s="12">
        <v>2.4891749999999999</v>
      </c>
      <c r="EU15" s="12">
        <v>2.5307851800000001</v>
      </c>
      <c r="EV15" s="12">
        <v>2.4093049999999998</v>
      </c>
      <c r="EW15" s="12">
        <v>2.3870100000000001</v>
      </c>
      <c r="EX15" s="12">
        <v>2.4310849999999999</v>
      </c>
      <c r="EY15" s="12">
        <v>2.4957560000000001</v>
      </c>
      <c r="EZ15" s="12">
        <v>2.3616079999999999</v>
      </c>
      <c r="FA15" s="12">
        <v>2.3794580000000001</v>
      </c>
      <c r="FB15" s="12">
        <v>2.351658</v>
      </c>
      <c r="FC15" s="12">
        <v>2.4569299999999998</v>
      </c>
      <c r="FD15" s="12">
        <v>2.4637669999999998</v>
      </c>
      <c r="FE15" s="12">
        <v>2.4666299999999999</v>
      </c>
      <c r="FF15" s="12">
        <v>2.7038102400000001</v>
      </c>
      <c r="FG15" s="12">
        <v>2.4555880000000001</v>
      </c>
      <c r="FH15" s="12">
        <v>2.6551589999999998</v>
      </c>
      <c r="FI15" s="12">
        <v>2.505843</v>
      </c>
      <c r="FJ15" s="12">
        <v>3.01713757</v>
      </c>
      <c r="FK15" s="12">
        <v>2.60654619</v>
      </c>
      <c r="FL15" s="12">
        <v>2.7616839999999998</v>
      </c>
      <c r="FM15" s="12">
        <v>2.3989729999999998</v>
      </c>
      <c r="FN15" s="12">
        <v>2.4085079999999999</v>
      </c>
      <c r="FO15" s="12">
        <v>2.4393750000000001</v>
      </c>
      <c r="FP15" s="12">
        <v>2.5067430000000002</v>
      </c>
      <c r="FQ15" s="12">
        <v>2.5807555899999999</v>
      </c>
      <c r="FR15" s="12">
        <v>2.5747300000000002</v>
      </c>
      <c r="FS15" s="12">
        <v>2.5804640000000001</v>
      </c>
      <c r="FT15" s="12">
        <v>2.5398939999999999</v>
      </c>
      <c r="FU15" s="12">
        <v>2.5398939999999999</v>
      </c>
      <c r="FV15" s="12">
        <v>2.475403</v>
      </c>
      <c r="FW15" s="12">
        <v>2.475403</v>
      </c>
      <c r="FX15" s="12">
        <v>2.457033</v>
      </c>
      <c r="FY15" s="12">
        <v>2.5147719999999998</v>
      </c>
      <c r="FZ15" s="12">
        <v>2.5131929999999998</v>
      </c>
      <c r="GA15" s="12">
        <v>2.5437729999999998</v>
      </c>
      <c r="GB15" s="12">
        <v>2.5437729999999998</v>
      </c>
      <c r="GC15" s="12">
        <v>2.5129177500000002</v>
      </c>
      <c r="GD15" s="12">
        <v>2.4757410000000002</v>
      </c>
      <c r="GE15" s="12">
        <v>2.508238</v>
      </c>
      <c r="GF15" s="12">
        <v>2.6389960000000001</v>
      </c>
      <c r="GG15" s="12">
        <v>2.6389960000000001</v>
      </c>
      <c r="GH15" s="12">
        <v>2.5423</v>
      </c>
      <c r="GI15" s="12">
        <v>2.3838226699999998</v>
      </c>
      <c r="GJ15" s="12">
        <v>2.5228429999999999</v>
      </c>
      <c r="GK15" s="12">
        <v>2.5457610000000002</v>
      </c>
      <c r="GL15" s="12">
        <v>2.6313351699999998</v>
      </c>
      <c r="GM15" s="12">
        <v>2.236691</v>
      </c>
      <c r="GN15" s="12">
        <v>2.6313351699999998</v>
      </c>
      <c r="GO15" s="12">
        <v>2.5398939999999999</v>
      </c>
      <c r="GP15" s="12">
        <v>2.5036710000000002</v>
      </c>
      <c r="GQ15" s="12">
        <v>2.539393</v>
      </c>
      <c r="GR15" s="12">
        <v>2.5650409999999999</v>
      </c>
      <c r="GS15" s="12">
        <v>2.433176</v>
      </c>
      <c r="GT15" s="12">
        <v>2.3244310000000001</v>
      </c>
      <c r="GU15" s="12">
        <v>2.5136400000000001</v>
      </c>
      <c r="GV15" s="12">
        <v>2.382876</v>
      </c>
      <c r="GW15" s="12">
        <v>2.6243189999999998</v>
      </c>
      <c r="GX15" s="12">
        <v>2.5272670000000002</v>
      </c>
      <c r="GY15" s="12">
        <v>2.5509919999999999</v>
      </c>
      <c r="GZ15" s="12">
        <v>2.5483829999999998</v>
      </c>
      <c r="HA15" s="12">
        <v>2.5136400000000001</v>
      </c>
      <c r="HB15" s="12">
        <v>2.5136400000000001</v>
      </c>
      <c r="HC15" s="12">
        <v>2.5136400000000001</v>
      </c>
      <c r="HD15" s="12">
        <v>2.5408339999999998</v>
      </c>
      <c r="HE15" s="12">
        <v>2.6657470000000001</v>
      </c>
      <c r="HF15" s="12">
        <v>2.6639659999999998</v>
      </c>
      <c r="HG15" s="12">
        <v>2.6639659999999998</v>
      </c>
      <c r="HH15" s="12">
        <v>2.6639659999999998</v>
      </c>
      <c r="HI15" s="12">
        <v>2.4837600000000002</v>
      </c>
      <c r="HJ15" s="12">
        <v>2.5780560000000001</v>
      </c>
      <c r="HK15" s="12">
        <v>2.5695779999999999</v>
      </c>
      <c r="HL15" s="12">
        <v>2.607192</v>
      </c>
      <c r="HM15" s="12">
        <v>2.5908410000000002</v>
      </c>
      <c r="HN15" s="12">
        <v>2.6029680000000002</v>
      </c>
      <c r="HO15" s="12">
        <v>2.1951936700000001</v>
      </c>
      <c r="HP15" s="12">
        <v>2.6598579999999998</v>
      </c>
      <c r="HQ15" s="12">
        <v>2.4961389999999999</v>
      </c>
      <c r="HR15" s="12">
        <v>2.5016210000000001</v>
      </c>
      <c r="HS15" s="12">
        <v>2.4440789999999999</v>
      </c>
      <c r="HT15" s="12">
        <v>2.4418380000000002</v>
      </c>
      <c r="HU15" s="12">
        <v>2.3252847800000001</v>
      </c>
      <c r="HV15" s="12">
        <v>2.2745899999999999</v>
      </c>
      <c r="HW15" s="12">
        <v>2.2863129999999998</v>
      </c>
      <c r="HX15" s="12">
        <v>2.4574461599999999</v>
      </c>
      <c r="HY15" s="12">
        <v>2.5047820000000001</v>
      </c>
      <c r="HZ15" s="12">
        <v>2.711465</v>
      </c>
      <c r="IA15" s="12"/>
      <c r="IB15" s="12"/>
      <c r="IC15" s="12"/>
      <c r="ID15" s="12"/>
      <c r="IE15" s="12"/>
      <c r="IF15" s="12"/>
      <c r="IG15" s="12"/>
      <c r="IH15" s="12"/>
      <c r="II15" s="12"/>
      <c r="IJ15" s="12"/>
      <c r="IK15" s="12"/>
    </row>
    <row r="16" spans="1:245" x14ac:dyDescent="0.25">
      <c r="A16" s="11">
        <v>46049.3125</v>
      </c>
      <c r="B16" s="12">
        <v>65.017524519999995</v>
      </c>
      <c r="C16" s="12">
        <v>61.957622999999998</v>
      </c>
      <c r="D16" s="12">
        <v>62.080914</v>
      </c>
      <c r="E16" s="12">
        <v>62.003991999999997</v>
      </c>
      <c r="F16" s="12">
        <v>61.957622999999998</v>
      </c>
      <c r="G16" s="12">
        <v>61.520288000000001</v>
      </c>
      <c r="H16" s="12">
        <v>61.838999999999999</v>
      </c>
      <c r="I16" s="12">
        <v>61.588467000000001</v>
      </c>
      <c r="J16" s="12">
        <v>62.024236999999999</v>
      </c>
      <c r="K16" s="12">
        <v>61.457667999999998</v>
      </c>
      <c r="L16" s="12">
        <v>62.620990999999997</v>
      </c>
      <c r="M16" s="12">
        <v>60.309922</v>
      </c>
      <c r="N16" s="12">
        <v>59.288293000000003</v>
      </c>
      <c r="O16" s="12">
        <v>65.454502000000005</v>
      </c>
      <c r="P16" s="12">
        <v>60.324521910000001</v>
      </c>
      <c r="Q16" s="12">
        <v>62.143794</v>
      </c>
      <c r="R16" s="12">
        <v>60.132437000000003</v>
      </c>
      <c r="S16" s="12">
        <v>64.424940000000007</v>
      </c>
      <c r="T16" s="12">
        <v>57.173537500000002</v>
      </c>
      <c r="U16" s="12">
        <v>57.538938000000002</v>
      </c>
      <c r="V16" s="12">
        <v>63.599226000000002</v>
      </c>
      <c r="W16" s="12">
        <v>61.648874999999997</v>
      </c>
      <c r="X16" s="12">
        <v>59.388136000000003</v>
      </c>
      <c r="Y16" s="12">
        <v>60.585577000000001</v>
      </c>
      <c r="Z16" s="12">
        <v>61.954956000000003</v>
      </c>
      <c r="AA16" s="12">
        <v>58.586959999999998</v>
      </c>
      <c r="AB16" s="12">
        <v>61.952843000000001</v>
      </c>
      <c r="AC16" s="12">
        <v>61.747945000000001</v>
      </c>
      <c r="AD16" s="12">
        <v>61.530524999999997</v>
      </c>
      <c r="AE16" s="12">
        <v>57.991827000000001</v>
      </c>
      <c r="AF16" s="12">
        <v>63.04676525</v>
      </c>
      <c r="AG16" s="12">
        <v>64.015278350000003</v>
      </c>
      <c r="AH16" s="12">
        <v>63.559843999999998</v>
      </c>
      <c r="AI16" s="12">
        <v>63.551496999999998</v>
      </c>
      <c r="AJ16" s="12">
        <v>56.793460000000003</v>
      </c>
      <c r="AK16" s="12">
        <v>63.738205999999998</v>
      </c>
      <c r="AL16" s="12">
        <v>58.399087999999999</v>
      </c>
      <c r="AM16" s="12">
        <v>58.697319</v>
      </c>
      <c r="AN16" s="12">
        <v>61.467424000000001</v>
      </c>
      <c r="AO16" s="12">
        <v>57.895302999999998</v>
      </c>
      <c r="AP16" s="12">
        <v>54.759663000000003</v>
      </c>
      <c r="AQ16" s="12">
        <v>54.994115999999998</v>
      </c>
      <c r="AR16" s="12">
        <v>59.621692000000003</v>
      </c>
      <c r="AS16" s="12">
        <v>61.108280000000001</v>
      </c>
      <c r="AT16" s="12">
        <v>61.108280000000001</v>
      </c>
      <c r="AU16" s="12">
        <v>61.735700000000001</v>
      </c>
      <c r="AV16" s="12">
        <v>61.905199500000002</v>
      </c>
      <c r="AW16" s="12">
        <v>59.585804000000003</v>
      </c>
      <c r="AX16" s="12">
        <v>59.801049999999996</v>
      </c>
      <c r="AY16" s="12">
        <v>65.234286999999995</v>
      </c>
      <c r="AZ16" s="12">
        <v>61.316741</v>
      </c>
      <c r="BA16" s="12">
        <v>61.216886000000002</v>
      </c>
      <c r="BB16" s="12">
        <v>61.035407999999997</v>
      </c>
      <c r="BC16" s="12">
        <v>61.214345000000002</v>
      </c>
      <c r="BD16" s="12">
        <v>61.053144000000003</v>
      </c>
      <c r="BE16" s="12">
        <v>61.214345000000002</v>
      </c>
      <c r="BF16" s="12">
        <v>61.377450000000003</v>
      </c>
      <c r="BG16" s="12">
        <v>61.801780999999998</v>
      </c>
      <c r="BH16" s="12">
        <v>61.801780999999998</v>
      </c>
      <c r="BI16" s="12">
        <v>61.801780999999998</v>
      </c>
      <c r="BJ16" s="12">
        <v>59.134587000000003</v>
      </c>
      <c r="BK16" s="12">
        <v>59.486950999999998</v>
      </c>
      <c r="BL16" s="12">
        <v>63.515262999999997</v>
      </c>
      <c r="BM16" s="12">
        <v>63.354182999999999</v>
      </c>
      <c r="BN16" s="12">
        <v>62.319783999999999</v>
      </c>
      <c r="BO16" s="12">
        <v>60.754654000000002</v>
      </c>
      <c r="BP16" s="12">
        <v>61.281280000000002</v>
      </c>
      <c r="BQ16" s="12">
        <v>56.815492999999996</v>
      </c>
      <c r="BR16" s="12">
        <v>56.844809789999999</v>
      </c>
      <c r="BS16" s="12">
        <v>60.203932999999999</v>
      </c>
      <c r="BT16" s="12">
        <v>60.072006000000002</v>
      </c>
      <c r="BU16" s="12">
        <v>64.253244670000001</v>
      </c>
      <c r="BV16" s="12">
        <v>65.213673</v>
      </c>
      <c r="BW16" s="12">
        <v>61.503225999999998</v>
      </c>
      <c r="BX16" s="12">
        <v>62.675086</v>
      </c>
      <c r="BY16" s="12">
        <v>62.675086</v>
      </c>
      <c r="BZ16" s="12">
        <v>64.153565999999998</v>
      </c>
      <c r="CA16" s="12">
        <v>64.219618999999994</v>
      </c>
      <c r="CB16" s="12">
        <v>62.204196000000003</v>
      </c>
      <c r="CC16" s="12">
        <v>60.706291999999998</v>
      </c>
      <c r="CD16" s="12">
        <v>60.384511000000003</v>
      </c>
      <c r="CE16" s="12">
        <v>63.782445000000003</v>
      </c>
      <c r="CF16" s="12">
        <v>61.466718</v>
      </c>
      <c r="CG16" s="12">
        <v>65.213673</v>
      </c>
      <c r="CH16" s="12">
        <v>61.326355</v>
      </c>
      <c r="CI16" s="12">
        <v>61.317433999999999</v>
      </c>
      <c r="CJ16" s="12">
        <v>61.116630999999998</v>
      </c>
      <c r="CK16" s="12">
        <v>65.889919000000006</v>
      </c>
      <c r="CL16" s="12">
        <v>66.445414999999997</v>
      </c>
      <c r="CM16" s="12">
        <v>65.652469999999994</v>
      </c>
      <c r="CN16" s="12">
        <v>65.105289999999997</v>
      </c>
      <c r="CO16" s="12">
        <v>65.823643000000004</v>
      </c>
      <c r="CP16" s="12">
        <v>61.099970999999996</v>
      </c>
      <c r="CQ16" s="12">
        <v>60.625886000000001</v>
      </c>
      <c r="CR16" s="12">
        <v>62.070573379999999</v>
      </c>
      <c r="CS16" s="12">
        <v>63.444915000000002</v>
      </c>
      <c r="CT16" s="12">
        <v>59.717241000000001</v>
      </c>
      <c r="CU16" s="12">
        <v>64.918885419999995</v>
      </c>
      <c r="CV16" s="12">
        <v>60.842534000000001</v>
      </c>
      <c r="CW16" s="12">
        <v>60.741546</v>
      </c>
      <c r="CX16" s="12">
        <v>63.512007949999997</v>
      </c>
      <c r="CY16" s="12">
        <v>59.245184000000002</v>
      </c>
      <c r="CZ16" s="12">
        <v>60.773290000000003</v>
      </c>
      <c r="DA16" s="12">
        <v>61.082107999999998</v>
      </c>
      <c r="DB16" s="12">
        <v>62.445512000000001</v>
      </c>
      <c r="DC16" s="12">
        <v>62.328045000000003</v>
      </c>
      <c r="DD16" s="12">
        <v>62.523758999999998</v>
      </c>
      <c r="DE16" s="12">
        <v>61.503225999999998</v>
      </c>
      <c r="DF16" s="12">
        <v>61.359791999999999</v>
      </c>
      <c r="DG16" s="12">
        <v>62.302480000000003</v>
      </c>
      <c r="DH16" s="12">
        <v>62.675086</v>
      </c>
      <c r="DI16" s="12">
        <v>61.899168000000003</v>
      </c>
      <c r="DJ16" s="12">
        <v>61.387765999999999</v>
      </c>
      <c r="DK16" s="12">
        <v>65.287334389999998</v>
      </c>
      <c r="DL16" s="12">
        <v>60.480580000000003</v>
      </c>
      <c r="DM16" s="12">
        <v>60.469482999999997</v>
      </c>
      <c r="DN16" s="12">
        <v>60.910806000000001</v>
      </c>
      <c r="DO16" s="12">
        <v>65.791143000000005</v>
      </c>
      <c r="DP16" s="12">
        <v>65.055132999999998</v>
      </c>
      <c r="DQ16" s="12">
        <v>62.765836</v>
      </c>
      <c r="DR16" s="12">
        <v>54.883288</v>
      </c>
      <c r="DS16" s="12">
        <v>64.995045000000005</v>
      </c>
      <c r="DT16" s="12">
        <v>60.949677999999999</v>
      </c>
      <c r="DU16" s="12">
        <v>61.082042000000001</v>
      </c>
      <c r="DV16" s="12">
        <v>61.484138000000002</v>
      </c>
      <c r="DW16" s="12">
        <v>61.742576999999997</v>
      </c>
      <c r="DX16" s="12">
        <v>61.912616999999997</v>
      </c>
      <c r="DY16" s="12">
        <v>57.224977000000003</v>
      </c>
      <c r="DZ16" s="12">
        <v>55.090833000000003</v>
      </c>
      <c r="EA16" s="12">
        <v>55.090833000000003</v>
      </c>
      <c r="EB16" s="12">
        <v>58.216196189999998</v>
      </c>
      <c r="EC16" s="12">
        <v>61.485275000000001</v>
      </c>
      <c r="ED16" s="12">
        <v>61.612428999999999</v>
      </c>
      <c r="EE16" s="12">
        <v>59.765768000000001</v>
      </c>
      <c r="EF16" s="12">
        <v>60.119686000000002</v>
      </c>
      <c r="EG16" s="12">
        <v>55.307845999999998</v>
      </c>
      <c r="EH16" s="12">
        <v>61.173606999999997</v>
      </c>
      <c r="EI16" s="12">
        <v>68.574037630000007</v>
      </c>
      <c r="EJ16" s="12">
        <v>60.044224</v>
      </c>
      <c r="EK16" s="12">
        <v>60.044224</v>
      </c>
      <c r="EL16" s="12">
        <v>59.959496000000001</v>
      </c>
      <c r="EM16" s="12">
        <v>61.381903999999999</v>
      </c>
      <c r="EN16" s="12">
        <v>61.543204000000003</v>
      </c>
      <c r="EO16" s="12">
        <v>61.503225999999998</v>
      </c>
      <c r="EP16" s="12">
        <v>60.884286000000003</v>
      </c>
      <c r="EQ16" s="12">
        <v>61.859385000000003</v>
      </c>
      <c r="ER16" s="12">
        <v>65.806292999999997</v>
      </c>
      <c r="ES16" s="12">
        <v>61.165813</v>
      </c>
      <c r="ET16" s="12">
        <v>61.288387</v>
      </c>
      <c r="EU16" s="12">
        <v>62.405500359999998</v>
      </c>
      <c r="EV16" s="12">
        <v>59.257818999999998</v>
      </c>
      <c r="EW16" s="12">
        <v>58.548032999999997</v>
      </c>
      <c r="EX16" s="12">
        <v>59.818860999999998</v>
      </c>
      <c r="EY16" s="12">
        <v>61.015309000000002</v>
      </c>
      <c r="EZ16" s="12">
        <v>57.004562</v>
      </c>
      <c r="FA16" s="12">
        <v>58.741407000000002</v>
      </c>
      <c r="FB16" s="12">
        <v>58.05294</v>
      </c>
      <c r="FC16" s="12">
        <v>61.272584999999999</v>
      </c>
      <c r="FD16" s="12">
        <v>61.222779000000003</v>
      </c>
      <c r="FE16" s="12">
        <v>61.201886999999999</v>
      </c>
      <c r="FF16" s="12">
        <v>66.999880529999999</v>
      </c>
      <c r="FG16" s="12">
        <v>60.901654999999998</v>
      </c>
      <c r="FH16" s="12">
        <v>65.583653999999996</v>
      </c>
      <c r="FI16" s="12">
        <v>61.726132</v>
      </c>
      <c r="FJ16" s="12">
        <v>74.535433580000003</v>
      </c>
      <c r="FK16" s="12">
        <v>64.204617330000005</v>
      </c>
      <c r="FL16" s="12">
        <v>68.072265000000002</v>
      </c>
      <c r="FM16" s="12">
        <v>58.271993500000001</v>
      </c>
      <c r="FN16" s="12">
        <v>58.596955000000001</v>
      </c>
      <c r="FO16" s="12">
        <v>60.026361000000001</v>
      </c>
      <c r="FP16" s="12">
        <v>61.116630999999998</v>
      </c>
      <c r="FQ16" s="12">
        <v>64.160815349999993</v>
      </c>
      <c r="FR16" s="12">
        <v>64.000446999999994</v>
      </c>
      <c r="FS16" s="12">
        <v>64.153565999999998</v>
      </c>
      <c r="FT16" s="12">
        <v>61.207889000000002</v>
      </c>
      <c r="FU16" s="12">
        <v>61.207889000000002</v>
      </c>
      <c r="FV16" s="12">
        <v>59.665404000000002</v>
      </c>
      <c r="FW16" s="12">
        <v>59.665404000000002</v>
      </c>
      <c r="FX16" s="12">
        <v>59.179116</v>
      </c>
      <c r="FY16" s="12">
        <v>60.590634999999999</v>
      </c>
      <c r="FZ16" s="12">
        <v>60.547268000000003</v>
      </c>
      <c r="GA16" s="12">
        <v>62.215220000000002</v>
      </c>
      <c r="GB16" s="12">
        <v>62.215220000000002</v>
      </c>
      <c r="GC16" s="12">
        <v>62.35848506</v>
      </c>
      <c r="GD16" s="12">
        <v>60.370722999999998</v>
      </c>
      <c r="GE16" s="12">
        <v>62.046917999999998</v>
      </c>
      <c r="GF16" s="12">
        <v>65.213673</v>
      </c>
      <c r="GG16" s="12">
        <v>65.213673</v>
      </c>
      <c r="GH16" s="12">
        <v>60.845770000000002</v>
      </c>
      <c r="GI16" s="12">
        <v>58.567498999999998</v>
      </c>
      <c r="GJ16" s="12">
        <v>60.580086000000001</v>
      </c>
      <c r="GK16" s="12">
        <v>61.359791999999999</v>
      </c>
      <c r="GL16" s="12">
        <v>63.446893299999999</v>
      </c>
      <c r="GM16" s="12">
        <v>53.336920999999997</v>
      </c>
      <c r="GN16" s="12">
        <v>63.446893299999999</v>
      </c>
      <c r="GO16" s="12">
        <v>61.207889000000002</v>
      </c>
      <c r="GP16" s="12">
        <v>61.649363999999998</v>
      </c>
      <c r="GQ16" s="12">
        <v>61.130147000000001</v>
      </c>
      <c r="GR16" s="12">
        <v>62.507781000000001</v>
      </c>
      <c r="GS16" s="12">
        <v>59.834755999999999</v>
      </c>
      <c r="GT16" s="12">
        <v>57.383358000000001</v>
      </c>
      <c r="GU16" s="12">
        <v>61.943615999999999</v>
      </c>
      <c r="GV16" s="12">
        <v>58.206125</v>
      </c>
      <c r="GW16" s="12">
        <v>64.831235000000007</v>
      </c>
      <c r="GX16" s="12">
        <v>60.956499999999998</v>
      </c>
      <c r="GY16" s="12">
        <v>61.522342000000002</v>
      </c>
      <c r="GZ16" s="12">
        <v>61.477989999999998</v>
      </c>
      <c r="HA16" s="12">
        <v>61.943615999999999</v>
      </c>
      <c r="HB16" s="12">
        <v>61.943615999999999</v>
      </c>
      <c r="HC16" s="12">
        <v>61.943615999999999</v>
      </c>
      <c r="HD16" s="12">
        <v>61.171090999999997</v>
      </c>
      <c r="HE16" s="12">
        <v>65.848376999999999</v>
      </c>
      <c r="HF16" s="12">
        <v>65.806292999999997</v>
      </c>
      <c r="HG16" s="12">
        <v>65.806292999999997</v>
      </c>
      <c r="HH16" s="12">
        <v>65.806292999999997</v>
      </c>
      <c r="HI16" s="12">
        <v>61.608412000000001</v>
      </c>
      <c r="HJ16" s="12">
        <v>62.140020999999997</v>
      </c>
      <c r="HK16" s="12">
        <v>61.921959000000001</v>
      </c>
      <c r="HL16" s="12">
        <v>64.700293000000002</v>
      </c>
      <c r="HM16" s="12">
        <v>62.343499000000001</v>
      </c>
      <c r="HN16" s="12">
        <v>64.219289000000003</v>
      </c>
      <c r="HO16" s="12">
        <v>52.347361100000001</v>
      </c>
      <c r="HP16" s="12">
        <v>65.721151000000006</v>
      </c>
      <c r="HQ16" s="12">
        <v>61.558418500000002</v>
      </c>
      <c r="HR16" s="12">
        <v>61.685639000000002</v>
      </c>
      <c r="HS16" s="12">
        <v>60.471865000000001</v>
      </c>
      <c r="HT16" s="12">
        <v>60.028799999999997</v>
      </c>
      <c r="HU16" s="12">
        <v>57.716926710000003</v>
      </c>
      <c r="HV16" s="12">
        <v>56.212620999999999</v>
      </c>
      <c r="HW16" s="12">
        <v>56.488357000000001</v>
      </c>
      <c r="HX16" s="12">
        <v>60.73842381</v>
      </c>
      <c r="HY16" s="12">
        <v>61.746049999999997</v>
      </c>
      <c r="HZ16" s="12">
        <v>66.944794000000002</v>
      </c>
      <c r="IA16" s="12"/>
      <c r="IB16" s="12"/>
      <c r="IC16" s="12"/>
      <c r="ID16" s="12"/>
      <c r="IE16" s="12"/>
      <c r="IF16" s="12"/>
      <c r="IG16" s="12"/>
      <c r="IH16" s="12"/>
      <c r="II16" s="12"/>
      <c r="IJ16" s="12"/>
      <c r="IK16" s="12"/>
    </row>
    <row r="17" spans="1:245" x14ac:dyDescent="0.25">
      <c r="A17" s="11">
        <v>46049.333333333336</v>
      </c>
      <c r="B17" s="12">
        <v>80.539244440000004</v>
      </c>
      <c r="C17" s="12">
        <v>76.989346999999995</v>
      </c>
      <c r="D17" s="12">
        <v>77.155986999999996</v>
      </c>
      <c r="E17" s="12">
        <v>77.050769000000003</v>
      </c>
      <c r="F17" s="12">
        <v>76.989346999999995</v>
      </c>
      <c r="G17" s="12">
        <v>76.183937999999998</v>
      </c>
      <c r="H17" s="12">
        <v>76.531474000000003</v>
      </c>
      <c r="I17" s="12">
        <v>76.224862999999999</v>
      </c>
      <c r="J17" s="12">
        <v>76.763660999999999</v>
      </c>
      <c r="K17" s="12">
        <v>76.086680999999999</v>
      </c>
      <c r="L17" s="12">
        <v>77.833285000000004</v>
      </c>
      <c r="M17" s="12">
        <v>74.691258000000005</v>
      </c>
      <c r="N17" s="12">
        <v>73.430570000000003</v>
      </c>
      <c r="O17" s="12">
        <v>80.313106000000005</v>
      </c>
      <c r="P17" s="12">
        <v>74.729138120000002</v>
      </c>
      <c r="Q17" s="12">
        <v>76.837260999999998</v>
      </c>
      <c r="R17" s="12">
        <v>74.410606999999999</v>
      </c>
      <c r="S17" s="12">
        <v>79.573159000000004</v>
      </c>
      <c r="T17" s="12">
        <v>71.668251999999995</v>
      </c>
      <c r="U17" s="12">
        <v>72.027092999999994</v>
      </c>
      <c r="V17" s="12">
        <v>78.676331000000005</v>
      </c>
      <c r="W17" s="12">
        <v>76.299402999999998</v>
      </c>
      <c r="X17" s="12">
        <v>73.409239999999997</v>
      </c>
      <c r="Y17" s="12">
        <v>74.972874000000004</v>
      </c>
      <c r="Z17" s="12">
        <v>76.669325000000001</v>
      </c>
      <c r="AA17" s="12">
        <v>72.500360999999998</v>
      </c>
      <c r="AB17" s="12">
        <v>76.728323000000003</v>
      </c>
      <c r="AC17" s="12">
        <v>76.434331999999998</v>
      </c>
      <c r="AD17" s="12">
        <v>76.144323</v>
      </c>
      <c r="AE17" s="12">
        <v>71.927473000000006</v>
      </c>
      <c r="AF17" s="12">
        <v>77.972838749999994</v>
      </c>
      <c r="AG17" s="12">
        <v>79.192837040000001</v>
      </c>
      <c r="AH17" s="12">
        <v>78.620396</v>
      </c>
      <c r="AI17" s="12">
        <v>78.618461999999994</v>
      </c>
      <c r="AJ17" s="12">
        <v>70.432203000000001</v>
      </c>
      <c r="AK17" s="12">
        <v>78.846947999999998</v>
      </c>
      <c r="AL17" s="12">
        <v>72.265446330000003</v>
      </c>
      <c r="AM17" s="12">
        <v>72.633413000000004</v>
      </c>
      <c r="AN17" s="12">
        <v>75.937802000000005</v>
      </c>
      <c r="AO17" s="12">
        <v>71.744129999999998</v>
      </c>
      <c r="AP17" s="12">
        <v>67.865330499999999</v>
      </c>
      <c r="AQ17" s="12">
        <v>68.155859000000007</v>
      </c>
      <c r="AR17" s="12">
        <v>73.214682999999994</v>
      </c>
      <c r="AS17" s="12">
        <v>75.731267000000003</v>
      </c>
      <c r="AT17" s="12">
        <v>75.731267000000003</v>
      </c>
      <c r="AU17" s="12">
        <v>76.379458999999997</v>
      </c>
      <c r="AV17" s="12">
        <v>76.655884</v>
      </c>
      <c r="AW17" s="12">
        <v>73.739674500000007</v>
      </c>
      <c r="AX17" s="12">
        <v>74.006063999999995</v>
      </c>
      <c r="AY17" s="12">
        <v>80.811154999999999</v>
      </c>
      <c r="AZ17" s="12">
        <v>75.884439</v>
      </c>
      <c r="BA17" s="12">
        <v>75.762079999999997</v>
      </c>
      <c r="BB17" s="12">
        <v>75.536780500000006</v>
      </c>
      <c r="BC17" s="12">
        <v>75.758925000000005</v>
      </c>
      <c r="BD17" s="12">
        <v>75.562714</v>
      </c>
      <c r="BE17" s="12">
        <v>75.758925000000005</v>
      </c>
      <c r="BF17" s="12">
        <v>75.915048999999996</v>
      </c>
      <c r="BG17" s="12">
        <v>76.467662000000004</v>
      </c>
      <c r="BH17" s="12">
        <v>76.467662000000004</v>
      </c>
      <c r="BI17" s="12">
        <v>76.467662000000004</v>
      </c>
      <c r="BJ17" s="12">
        <v>73.163934999999995</v>
      </c>
      <c r="BK17" s="12">
        <v>73.607297000000003</v>
      </c>
      <c r="BL17" s="12">
        <v>78.657808000000003</v>
      </c>
      <c r="BM17" s="12">
        <v>78.456100000000006</v>
      </c>
      <c r="BN17" s="12">
        <v>77.166118999999995</v>
      </c>
      <c r="BO17" s="12">
        <v>75.205417999999995</v>
      </c>
      <c r="BP17" s="12">
        <v>75.829569000000006</v>
      </c>
      <c r="BQ17" s="12">
        <v>70.462647000000004</v>
      </c>
      <c r="BR17" s="12">
        <v>70.499005729999993</v>
      </c>
      <c r="BS17" s="12">
        <v>74.472617999999997</v>
      </c>
      <c r="BT17" s="12">
        <v>74.406336499999995</v>
      </c>
      <c r="BU17" s="12">
        <v>79.555620590000004</v>
      </c>
      <c r="BV17" s="12">
        <v>80.784593999999998</v>
      </c>
      <c r="BW17" s="12">
        <v>76.041180999999995</v>
      </c>
      <c r="BX17" s="12">
        <v>77.601612000000003</v>
      </c>
      <c r="BY17" s="12">
        <v>77.601612000000003</v>
      </c>
      <c r="BZ17" s="12">
        <v>79.956091999999998</v>
      </c>
      <c r="CA17" s="12">
        <v>79.371386000000001</v>
      </c>
      <c r="CB17" s="12">
        <v>77.009871000000004</v>
      </c>
      <c r="CC17" s="12">
        <v>75.154829000000007</v>
      </c>
      <c r="CD17" s="12">
        <v>74.737617999999998</v>
      </c>
      <c r="CE17" s="12">
        <v>78.779214999999994</v>
      </c>
      <c r="CF17" s="12">
        <v>76.034782000000007</v>
      </c>
      <c r="CG17" s="12">
        <v>80.784593999999998</v>
      </c>
      <c r="CH17" s="12">
        <v>75.894974000000005</v>
      </c>
      <c r="CI17" s="12">
        <v>75.885198000000003</v>
      </c>
      <c r="CJ17" s="12">
        <v>75.598507999999995</v>
      </c>
      <c r="CK17" s="12">
        <v>81.640991999999997</v>
      </c>
      <c r="CL17" s="12">
        <v>82.337457999999998</v>
      </c>
      <c r="CM17" s="12">
        <v>81.449099000000004</v>
      </c>
      <c r="CN17" s="12">
        <v>80.644908999999998</v>
      </c>
      <c r="CO17" s="12">
        <v>81.558846000000003</v>
      </c>
      <c r="CP17" s="12">
        <v>75.613630000000001</v>
      </c>
      <c r="CQ17" s="12">
        <v>75.092868999999993</v>
      </c>
      <c r="CR17" s="12">
        <v>76.882383129999994</v>
      </c>
      <c r="CS17" s="12">
        <v>78.713588999999999</v>
      </c>
      <c r="CT17" s="12">
        <v>73.913556</v>
      </c>
      <c r="CU17" s="12">
        <v>80.677245549999995</v>
      </c>
      <c r="CV17" s="12">
        <v>75.697315000000003</v>
      </c>
      <c r="CW17" s="12">
        <v>74.756889999999999</v>
      </c>
      <c r="CX17" s="12">
        <v>78.596178480000006</v>
      </c>
      <c r="CY17" s="12">
        <v>73.201922999999994</v>
      </c>
      <c r="CZ17" s="12">
        <v>74.989830999999995</v>
      </c>
      <c r="DA17" s="12">
        <v>75.348206000000005</v>
      </c>
      <c r="DB17" s="12">
        <v>77.337292000000005</v>
      </c>
      <c r="DC17" s="12">
        <v>77.087444000000005</v>
      </c>
      <c r="DD17" s="12">
        <v>77.330348000000001</v>
      </c>
      <c r="DE17" s="12">
        <v>76.041180999999995</v>
      </c>
      <c r="DF17" s="12">
        <v>75.852948999999995</v>
      </c>
      <c r="DG17" s="12">
        <v>77.132756999999998</v>
      </c>
      <c r="DH17" s="12">
        <v>77.601612000000003</v>
      </c>
      <c r="DI17" s="12">
        <v>76.654441999999989</v>
      </c>
      <c r="DJ17" s="12">
        <v>75.95908</v>
      </c>
      <c r="DK17" s="12">
        <v>80.691014659999993</v>
      </c>
      <c r="DL17" s="12">
        <v>74.872421000000003</v>
      </c>
      <c r="DM17" s="12">
        <v>74.871134999999995</v>
      </c>
      <c r="DN17" s="12">
        <v>75.370920670000004</v>
      </c>
      <c r="DO17" s="12">
        <v>81.595718000000005</v>
      </c>
      <c r="DP17" s="12">
        <v>80.592504000000005</v>
      </c>
      <c r="DQ17" s="12">
        <v>77.687302000000003</v>
      </c>
      <c r="DR17" s="12">
        <v>68.073316000000005</v>
      </c>
      <c r="DS17" s="12">
        <v>80.522560999999996</v>
      </c>
      <c r="DT17" s="12">
        <v>75.429929999999999</v>
      </c>
      <c r="DU17" s="12">
        <v>75.594464000000002</v>
      </c>
      <c r="DV17" s="12">
        <v>76.111649999999997</v>
      </c>
      <c r="DW17" s="12">
        <v>76.355892999999995</v>
      </c>
      <c r="DX17" s="12">
        <v>76.577325999999999</v>
      </c>
      <c r="DY17" s="12">
        <v>70.733969999999999</v>
      </c>
      <c r="DZ17" s="12">
        <v>68.267157999999995</v>
      </c>
      <c r="EA17" s="12">
        <v>68.267157999999995</v>
      </c>
      <c r="EB17" s="12">
        <v>72.127231780000002</v>
      </c>
      <c r="EC17" s="12">
        <v>76.062278000000006</v>
      </c>
      <c r="ED17" s="12">
        <v>76.218576999999996</v>
      </c>
      <c r="EE17" s="12">
        <v>73.943768000000006</v>
      </c>
      <c r="EF17" s="12">
        <v>74.388054999999994</v>
      </c>
      <c r="EG17" s="12">
        <v>68.792332999999999</v>
      </c>
      <c r="EH17" s="12">
        <v>75.697664000000003</v>
      </c>
      <c r="EI17" s="12">
        <v>84.860445679999998</v>
      </c>
      <c r="EJ17" s="12">
        <v>73.735324000000006</v>
      </c>
      <c r="EK17" s="12">
        <v>73.735324000000006</v>
      </c>
      <c r="EL17" s="12">
        <v>74.219325999999995</v>
      </c>
      <c r="EM17" s="12">
        <v>75.881062</v>
      </c>
      <c r="EN17" s="12">
        <v>76.092652000000001</v>
      </c>
      <c r="EO17" s="12">
        <v>76.041180999999995</v>
      </c>
      <c r="EP17" s="12">
        <v>75.446928</v>
      </c>
      <c r="EQ17" s="12">
        <v>76.550462999999993</v>
      </c>
      <c r="ER17" s="12">
        <v>81.608181999999999</v>
      </c>
      <c r="ES17" s="12">
        <v>75.691653000000002</v>
      </c>
      <c r="ET17" s="12">
        <v>75.848222000000007</v>
      </c>
      <c r="EU17" s="12">
        <v>77.271900239999994</v>
      </c>
      <c r="EV17" s="12">
        <v>73.386595</v>
      </c>
      <c r="EW17" s="12">
        <v>72.549340999999998</v>
      </c>
      <c r="EX17" s="12">
        <v>74.057338999999999</v>
      </c>
      <c r="EY17" s="12">
        <v>75.826117999999994</v>
      </c>
      <c r="EZ17" s="12">
        <v>70.577703</v>
      </c>
      <c r="FA17" s="12">
        <v>72.931674999999998</v>
      </c>
      <c r="FB17" s="12">
        <v>71.946276999999995</v>
      </c>
      <c r="FC17" s="12">
        <v>75.711736000000002</v>
      </c>
      <c r="FD17" s="12">
        <v>75.724333999999999</v>
      </c>
      <c r="FE17" s="12">
        <v>75.729617000000005</v>
      </c>
      <c r="FF17" s="12">
        <v>83.035394100000005</v>
      </c>
      <c r="FG17" s="12">
        <v>75.827614999999994</v>
      </c>
      <c r="FH17" s="12">
        <v>81.272587999999999</v>
      </c>
      <c r="FI17" s="12">
        <v>76.417809000000005</v>
      </c>
      <c r="FJ17" s="12">
        <v>92.172433459999993</v>
      </c>
      <c r="FK17" s="12">
        <v>79.539611800000003</v>
      </c>
      <c r="FL17" s="12">
        <v>84.429479999999998</v>
      </c>
      <c r="FM17" s="12">
        <v>72.046811500000004</v>
      </c>
      <c r="FN17" s="12">
        <v>72.457717000000002</v>
      </c>
      <c r="FO17" s="12">
        <v>74.320196999999993</v>
      </c>
      <c r="FP17" s="12">
        <v>75.598507999999995</v>
      </c>
      <c r="FQ17" s="12">
        <v>79.965127039999999</v>
      </c>
      <c r="FR17" s="12">
        <v>79.749408000000003</v>
      </c>
      <c r="FS17" s="12">
        <v>79.956091999999998</v>
      </c>
      <c r="FT17" s="12">
        <v>75.651036000000005</v>
      </c>
      <c r="FU17" s="12">
        <v>75.651036000000005</v>
      </c>
      <c r="FV17" s="12">
        <v>74.715292000000005</v>
      </c>
      <c r="FW17" s="12">
        <v>74.715292000000005</v>
      </c>
      <c r="FX17" s="12">
        <v>74.055250999999998</v>
      </c>
      <c r="FY17" s="12">
        <v>74.998806999999999</v>
      </c>
      <c r="FZ17" s="12">
        <v>74.944057999999998</v>
      </c>
      <c r="GA17" s="12">
        <v>77.028183999999996</v>
      </c>
      <c r="GB17" s="12">
        <v>77.028183999999996</v>
      </c>
      <c r="GC17" s="12">
        <v>77.156559659999999</v>
      </c>
      <c r="GD17" s="12">
        <v>74.719768999999999</v>
      </c>
      <c r="GE17" s="12">
        <v>76.846940000000004</v>
      </c>
      <c r="GF17" s="12">
        <v>80.784593999999998</v>
      </c>
      <c r="GG17" s="12">
        <v>80.784593999999998</v>
      </c>
      <c r="GH17" s="12">
        <v>74.939464999999998</v>
      </c>
      <c r="GI17" s="12">
        <v>72.476284000000007</v>
      </c>
      <c r="GJ17" s="12">
        <v>74.79316</v>
      </c>
      <c r="GK17" s="12">
        <v>75.852948999999995</v>
      </c>
      <c r="GL17" s="12">
        <v>78.515599019999996</v>
      </c>
      <c r="GM17" s="12">
        <v>66.189796000000001</v>
      </c>
      <c r="GN17" s="12">
        <v>78.515599019999996</v>
      </c>
      <c r="GO17" s="12">
        <v>75.651036000000005</v>
      </c>
      <c r="GP17" s="12">
        <v>76.359398999999996</v>
      </c>
      <c r="GQ17" s="12">
        <v>75.540256999999997</v>
      </c>
      <c r="GR17" s="12">
        <v>77.296181000000004</v>
      </c>
      <c r="GS17" s="12">
        <v>74.052541000000005</v>
      </c>
      <c r="GT17" s="12">
        <v>71.119360999999998</v>
      </c>
      <c r="GU17" s="12">
        <v>76.705484999999996</v>
      </c>
      <c r="GV17" s="12">
        <v>71.976432000000003</v>
      </c>
      <c r="GW17" s="12">
        <v>80.171971999999997</v>
      </c>
      <c r="GX17" s="12">
        <v>75.363795999999994</v>
      </c>
      <c r="GY17" s="12">
        <v>76.062402000000006</v>
      </c>
      <c r="GZ17" s="12">
        <v>76.013418999999999</v>
      </c>
      <c r="HA17" s="12">
        <v>76.705484999999996</v>
      </c>
      <c r="HB17" s="12">
        <v>76.705484999999996</v>
      </c>
      <c r="HC17" s="12">
        <v>76.705484999999996</v>
      </c>
      <c r="HD17" s="12">
        <v>75.595442000000006</v>
      </c>
      <c r="HE17" s="12">
        <v>81.66516</v>
      </c>
      <c r="HF17" s="12">
        <v>81.608181999999999</v>
      </c>
      <c r="HG17" s="12">
        <v>81.608181999999999</v>
      </c>
      <c r="HH17" s="12">
        <v>81.608181999999999</v>
      </c>
      <c r="HI17" s="12">
        <v>76.724536999999998</v>
      </c>
      <c r="HJ17" s="12">
        <v>76.914235000000005</v>
      </c>
      <c r="HK17" s="12">
        <v>76.640957999999998</v>
      </c>
      <c r="HL17" s="12">
        <v>80.065648999999993</v>
      </c>
      <c r="HM17" s="12">
        <v>77.162839000000005</v>
      </c>
      <c r="HN17" s="12">
        <v>79.515898000000007</v>
      </c>
      <c r="HO17" s="12">
        <v>64.961776709999995</v>
      </c>
      <c r="HP17" s="12">
        <v>81.445796999999999</v>
      </c>
      <c r="HQ17" s="12">
        <v>76.218951000000004</v>
      </c>
      <c r="HR17" s="12">
        <v>76.376970999999998</v>
      </c>
      <c r="HS17" s="12">
        <v>74.921711000000002</v>
      </c>
      <c r="HT17" s="12">
        <v>74.288416999999995</v>
      </c>
      <c r="HU17" s="12">
        <v>71.426978919999996</v>
      </c>
      <c r="HV17" s="12">
        <v>69.698904999999996</v>
      </c>
      <c r="HW17" s="12">
        <v>70.032580999999993</v>
      </c>
      <c r="HX17" s="12">
        <v>75.252049749999998</v>
      </c>
      <c r="HY17" s="12">
        <v>76.436419999999998</v>
      </c>
      <c r="HZ17" s="12">
        <v>83.097264999999993</v>
      </c>
      <c r="IA17" s="12"/>
      <c r="IB17" s="12"/>
      <c r="IC17" s="12"/>
      <c r="ID17" s="12"/>
      <c r="IE17" s="12"/>
      <c r="IF17" s="12"/>
      <c r="IG17" s="12"/>
      <c r="IH17" s="12"/>
      <c r="II17" s="12"/>
      <c r="IJ17" s="12"/>
      <c r="IK17" s="12"/>
    </row>
    <row r="18" spans="1:245" x14ac:dyDescent="0.25">
      <c r="A18" s="11">
        <v>46049.354166666664</v>
      </c>
      <c r="B18" s="12">
        <v>88.319504019999997</v>
      </c>
      <c r="C18" s="12">
        <v>84.101906999999997</v>
      </c>
      <c r="D18" s="12">
        <v>84.311386999999996</v>
      </c>
      <c r="E18" s="12">
        <v>84.187212000000002</v>
      </c>
      <c r="F18" s="12">
        <v>84.101906999999997</v>
      </c>
      <c r="G18" s="12">
        <v>82.219239999999999</v>
      </c>
      <c r="H18" s="12">
        <v>82.827809000000002</v>
      </c>
      <c r="I18" s="12">
        <v>82.457194000000001</v>
      </c>
      <c r="J18" s="12">
        <v>83.094863000000004</v>
      </c>
      <c r="K18" s="12">
        <v>81.584874999999997</v>
      </c>
      <c r="L18" s="12">
        <v>84.998277999999999</v>
      </c>
      <c r="M18" s="12">
        <v>80.644411000000005</v>
      </c>
      <c r="N18" s="12">
        <v>79.195306000000002</v>
      </c>
      <c r="O18" s="12">
        <v>88.056905</v>
      </c>
      <c r="P18" s="12">
        <v>82.520372019999996</v>
      </c>
      <c r="Q18" s="12">
        <v>83.176895999999999</v>
      </c>
      <c r="R18" s="12">
        <v>80.566293000000002</v>
      </c>
      <c r="S18" s="12">
        <v>87.096969999999999</v>
      </c>
      <c r="T18" s="12">
        <v>77.694633999999994</v>
      </c>
      <c r="U18" s="12">
        <v>78.105872000000005</v>
      </c>
      <c r="V18" s="12">
        <v>85.934443999999999</v>
      </c>
      <c r="W18" s="12">
        <v>82.655994000000007</v>
      </c>
      <c r="X18" s="12">
        <v>79.348760999999996</v>
      </c>
      <c r="Y18" s="12">
        <v>81.163767000000007</v>
      </c>
      <c r="Z18" s="12">
        <v>82.873504999999994</v>
      </c>
      <c r="AA18" s="12">
        <v>78.354557999999997</v>
      </c>
      <c r="AB18" s="12">
        <v>84.604217000000006</v>
      </c>
      <c r="AC18" s="12">
        <v>82.833567000000002</v>
      </c>
      <c r="AD18" s="12">
        <v>82.475615000000005</v>
      </c>
      <c r="AE18" s="12">
        <v>77.874407000000005</v>
      </c>
      <c r="AF18" s="12">
        <v>85.163853500000002</v>
      </c>
      <c r="AG18" s="12">
        <v>85.223589160000003</v>
      </c>
      <c r="AH18" s="12">
        <v>85.872921000000005</v>
      </c>
      <c r="AI18" s="12">
        <v>85.887506000000002</v>
      </c>
      <c r="AJ18" s="12">
        <v>76.408776000000003</v>
      </c>
      <c r="AK18" s="12">
        <v>86.131597999999997</v>
      </c>
      <c r="AL18" s="12">
        <v>78.029719999999998</v>
      </c>
      <c r="AM18" s="12">
        <v>78.456006000000002</v>
      </c>
      <c r="AN18" s="12">
        <v>81.934983000000003</v>
      </c>
      <c r="AO18" s="12">
        <v>78.435080999999997</v>
      </c>
      <c r="AP18" s="12">
        <v>73.252370499999998</v>
      </c>
      <c r="AQ18" s="12">
        <v>73.587529000000004</v>
      </c>
      <c r="AR18" s="12">
        <v>78.364446999999998</v>
      </c>
      <c r="AS18" s="12">
        <v>81.667506000000003</v>
      </c>
      <c r="AT18" s="12">
        <v>81.667506000000003</v>
      </c>
      <c r="AU18" s="12">
        <v>82.576269999999994</v>
      </c>
      <c r="AV18" s="12">
        <v>83.074488500000001</v>
      </c>
      <c r="AW18" s="12">
        <v>80.0733915</v>
      </c>
      <c r="AX18" s="12">
        <v>80.372281999999998</v>
      </c>
      <c r="AY18" s="12">
        <v>88.464442000000005</v>
      </c>
      <c r="AZ18" s="12">
        <v>82.062458000000007</v>
      </c>
      <c r="BA18" s="12">
        <v>81.677942000000002</v>
      </c>
      <c r="BB18" s="12">
        <v>81.420917500000002</v>
      </c>
      <c r="BC18" s="12">
        <v>81.674341999999996</v>
      </c>
      <c r="BD18" s="12">
        <v>81.337869999999995</v>
      </c>
      <c r="BE18" s="12">
        <v>81.674341999999996</v>
      </c>
      <c r="BF18" s="12">
        <v>82.010821000000007</v>
      </c>
      <c r="BG18" s="12">
        <v>82.683933999999994</v>
      </c>
      <c r="BH18" s="12">
        <v>82.683933999999994</v>
      </c>
      <c r="BI18" s="12">
        <v>82.683933999999994</v>
      </c>
      <c r="BJ18" s="12">
        <v>78.989925999999997</v>
      </c>
      <c r="BK18" s="12">
        <v>79.522903999999997</v>
      </c>
      <c r="BL18" s="12">
        <v>85.690124999999995</v>
      </c>
      <c r="BM18" s="12">
        <v>85.457100999999994</v>
      </c>
      <c r="BN18" s="12">
        <v>83.887207000000004</v>
      </c>
      <c r="BO18" s="12">
        <v>81.660442000000003</v>
      </c>
      <c r="BP18" s="12">
        <v>82.120464999999996</v>
      </c>
      <c r="BQ18" s="12">
        <v>76.458078</v>
      </c>
      <c r="BR18" s="12">
        <v>76.474134199999995</v>
      </c>
      <c r="BS18" s="12">
        <v>80.483901000000003</v>
      </c>
      <c r="BT18" s="12">
        <v>80.932847499999994</v>
      </c>
      <c r="BU18" s="12">
        <v>87.287634749999995</v>
      </c>
      <c r="BV18" s="12">
        <v>88.420267999999993</v>
      </c>
      <c r="BW18" s="12">
        <v>82.220675</v>
      </c>
      <c r="BX18" s="12">
        <v>84.540818999999999</v>
      </c>
      <c r="BY18" s="12">
        <v>84.540818999999999</v>
      </c>
      <c r="BZ18" s="12">
        <v>87.818499000000003</v>
      </c>
      <c r="CA18" s="12">
        <v>86.653074000000004</v>
      </c>
      <c r="CB18" s="12">
        <v>83.576106999999993</v>
      </c>
      <c r="CC18" s="12">
        <v>81.468494000000007</v>
      </c>
      <c r="CD18" s="12">
        <v>80.962325000000007</v>
      </c>
      <c r="CE18" s="12">
        <v>85.813738999999998</v>
      </c>
      <c r="CF18" s="12">
        <v>82.240155000000001</v>
      </c>
      <c r="CG18" s="12">
        <v>88.420267999999993</v>
      </c>
      <c r="CH18" s="12">
        <v>82.075563000000002</v>
      </c>
      <c r="CI18" s="12">
        <v>82.063401999999996</v>
      </c>
      <c r="CJ18" s="12">
        <v>81.757655999999997</v>
      </c>
      <c r="CK18" s="12">
        <v>89.636053000000004</v>
      </c>
      <c r="CL18" s="12">
        <v>90.43244</v>
      </c>
      <c r="CM18" s="12">
        <v>89.337618000000006</v>
      </c>
      <c r="CN18" s="12">
        <v>88.187864000000005</v>
      </c>
      <c r="CO18" s="12">
        <v>89.315161000000003</v>
      </c>
      <c r="CP18" s="12">
        <v>82.176280000000006</v>
      </c>
      <c r="CQ18" s="12">
        <v>81.722407000000004</v>
      </c>
      <c r="CR18" s="12">
        <v>83.905820770000005</v>
      </c>
      <c r="CS18" s="12">
        <v>85.639251999999999</v>
      </c>
      <c r="CT18" s="12">
        <v>80.085946000000007</v>
      </c>
      <c r="CU18" s="12">
        <v>86.398704300000006</v>
      </c>
      <c r="CV18" s="12">
        <v>82.499612999999997</v>
      </c>
      <c r="CW18" s="12">
        <v>80.930295000000001</v>
      </c>
      <c r="CX18" s="12">
        <v>85.058464959999995</v>
      </c>
      <c r="CY18" s="12">
        <v>79.198992000000004</v>
      </c>
      <c r="CZ18" s="12">
        <v>81.153159000000002</v>
      </c>
      <c r="DA18" s="12">
        <v>81.563209999999998</v>
      </c>
      <c r="DB18" s="12">
        <v>84.201282000000006</v>
      </c>
      <c r="DC18" s="12">
        <v>83.488771999999997</v>
      </c>
      <c r="DD18" s="12">
        <v>83.779037000000002</v>
      </c>
      <c r="DE18" s="12">
        <v>82.220675</v>
      </c>
      <c r="DF18" s="12">
        <v>81.980017000000004</v>
      </c>
      <c r="DG18" s="12">
        <v>84.009411999999998</v>
      </c>
      <c r="DH18" s="12">
        <v>84.540818999999999</v>
      </c>
      <c r="DI18" s="12">
        <v>83.032500499999998</v>
      </c>
      <c r="DJ18" s="12">
        <v>82.328102999999999</v>
      </c>
      <c r="DK18" s="12">
        <v>89.957848940000005</v>
      </c>
      <c r="DL18" s="12">
        <v>81.102960999999993</v>
      </c>
      <c r="DM18" s="12">
        <v>80.916533999999999</v>
      </c>
      <c r="DN18" s="12">
        <v>81.100290330000007</v>
      </c>
      <c r="DO18" s="12">
        <v>89.501836999999995</v>
      </c>
      <c r="DP18" s="12">
        <v>88.178578000000002</v>
      </c>
      <c r="DQ18" s="12">
        <v>84.765825000000007</v>
      </c>
      <c r="DR18" s="12">
        <v>73.706564</v>
      </c>
      <c r="DS18" s="12">
        <v>88.091392999999997</v>
      </c>
      <c r="DT18" s="12">
        <v>81.026782999999995</v>
      </c>
      <c r="DU18" s="12">
        <v>81.349485999999999</v>
      </c>
      <c r="DV18" s="12">
        <v>82.636960000000002</v>
      </c>
      <c r="DW18" s="12">
        <v>82.588014999999999</v>
      </c>
      <c r="DX18" s="12">
        <v>82.840903999999995</v>
      </c>
      <c r="DY18" s="12">
        <v>76.306876000000003</v>
      </c>
      <c r="DZ18" s="12">
        <v>77.026893000000001</v>
      </c>
      <c r="EA18" s="12">
        <v>77.026893000000001</v>
      </c>
      <c r="EB18" s="12">
        <v>78.247858620000002</v>
      </c>
      <c r="EC18" s="12">
        <v>82.317769999999996</v>
      </c>
      <c r="ED18" s="12">
        <v>82.503483000000003</v>
      </c>
      <c r="EE18" s="12">
        <v>79.964977000000005</v>
      </c>
      <c r="EF18" s="12">
        <v>80.482536999999994</v>
      </c>
      <c r="EG18" s="12">
        <v>73.599086999999997</v>
      </c>
      <c r="EH18" s="12">
        <v>82.293243000000004</v>
      </c>
      <c r="EI18" s="12">
        <v>91.393067060000007</v>
      </c>
      <c r="EJ18" s="12">
        <v>78.969277000000005</v>
      </c>
      <c r="EK18" s="12">
        <v>78.969277000000005</v>
      </c>
      <c r="EL18" s="12">
        <v>80.462897999999996</v>
      </c>
      <c r="EM18" s="12">
        <v>82.022242000000006</v>
      </c>
      <c r="EN18" s="12">
        <v>82.297419000000005</v>
      </c>
      <c r="EO18" s="12">
        <v>82.220675</v>
      </c>
      <c r="EP18" s="12">
        <v>81.728697999999994</v>
      </c>
      <c r="EQ18" s="12">
        <v>83.019418999999999</v>
      </c>
      <c r="ER18" s="12">
        <v>89.513936999999999</v>
      </c>
      <c r="ES18" s="12">
        <v>81.764578999999998</v>
      </c>
      <c r="ET18" s="12">
        <v>82.006508999999994</v>
      </c>
      <c r="EU18" s="12">
        <v>83.771664990000005</v>
      </c>
      <c r="EV18" s="12">
        <v>79.545952</v>
      </c>
      <c r="EW18" s="12">
        <v>78.805648000000005</v>
      </c>
      <c r="EX18" s="12">
        <v>80.184201000000002</v>
      </c>
      <c r="EY18" s="12">
        <v>82.879634999999993</v>
      </c>
      <c r="EZ18" s="12">
        <v>75.931583000000003</v>
      </c>
      <c r="FA18" s="12">
        <v>79.062340000000006</v>
      </c>
      <c r="FB18" s="12">
        <v>77.959980999999999</v>
      </c>
      <c r="FC18" s="12">
        <v>82.328776000000005</v>
      </c>
      <c r="FD18" s="12">
        <v>82.339201000000003</v>
      </c>
      <c r="FE18" s="12">
        <v>82.343573000000006</v>
      </c>
      <c r="FF18" s="12">
        <v>93.018138769999993</v>
      </c>
      <c r="FG18" s="12">
        <v>82.669971000000004</v>
      </c>
      <c r="FH18" s="12">
        <v>89.060134000000005</v>
      </c>
      <c r="FI18" s="12">
        <v>82.771342000000004</v>
      </c>
      <c r="FJ18" s="12">
        <v>105.07175866999999</v>
      </c>
      <c r="FK18" s="12">
        <v>86.590512790000005</v>
      </c>
      <c r="FL18" s="12">
        <v>92.582418000000004</v>
      </c>
      <c r="FM18" s="12">
        <v>76.970830000000007</v>
      </c>
      <c r="FN18" s="12">
        <v>77.481677000000005</v>
      </c>
      <c r="FO18" s="12">
        <v>80.449355999999995</v>
      </c>
      <c r="FP18" s="12">
        <v>81.757655999999997</v>
      </c>
      <c r="FQ18" s="12">
        <v>87.829125039999994</v>
      </c>
      <c r="FR18" s="12">
        <v>87.559869000000006</v>
      </c>
      <c r="FS18" s="12">
        <v>87.818499000000003</v>
      </c>
      <c r="FT18" s="12">
        <v>81.717325000000002</v>
      </c>
      <c r="FU18" s="12">
        <v>81.717325000000002</v>
      </c>
      <c r="FV18" s="12">
        <v>80.430128999999994</v>
      </c>
      <c r="FW18" s="12">
        <v>80.430128999999994</v>
      </c>
      <c r="FX18" s="12">
        <v>79.667389</v>
      </c>
      <c r="FY18" s="12">
        <v>81.057030999999995</v>
      </c>
      <c r="FZ18" s="12">
        <v>80.984030000000004</v>
      </c>
      <c r="GA18" s="12">
        <v>83.737234000000001</v>
      </c>
      <c r="GB18" s="12">
        <v>83.737234000000001</v>
      </c>
      <c r="GC18" s="12">
        <v>84.617505809999997</v>
      </c>
      <c r="GD18" s="12">
        <v>80.940387000000001</v>
      </c>
      <c r="GE18" s="12">
        <v>83.778300000000002</v>
      </c>
      <c r="GF18" s="12">
        <v>88.420267999999993</v>
      </c>
      <c r="GG18" s="12">
        <v>88.420267999999993</v>
      </c>
      <c r="GH18" s="12">
        <v>80.417582999999993</v>
      </c>
      <c r="GI18" s="12">
        <v>78.327027330000007</v>
      </c>
      <c r="GJ18" s="12">
        <v>80.729062999999996</v>
      </c>
      <c r="GK18" s="12">
        <v>81.980017000000004</v>
      </c>
      <c r="GL18" s="12">
        <v>84.886336689999993</v>
      </c>
      <c r="GM18" s="12">
        <v>70.769859999999994</v>
      </c>
      <c r="GN18" s="12">
        <v>84.886336689999993</v>
      </c>
      <c r="GO18" s="12">
        <v>81.717325000000002</v>
      </c>
      <c r="GP18" s="12">
        <v>82.507778000000002</v>
      </c>
      <c r="GQ18" s="12">
        <v>81.569818999999995</v>
      </c>
      <c r="GR18" s="12">
        <v>83.741557999999998</v>
      </c>
      <c r="GS18" s="12">
        <v>80.068237999999994</v>
      </c>
      <c r="GT18" s="12">
        <v>76.992489000000006</v>
      </c>
      <c r="GU18" s="12">
        <v>83.102857</v>
      </c>
      <c r="GV18" s="12">
        <v>77.692182000000003</v>
      </c>
      <c r="GW18" s="12">
        <v>87.660827999999995</v>
      </c>
      <c r="GX18" s="12">
        <v>81.345918999999995</v>
      </c>
      <c r="GY18" s="12">
        <v>82.178189000000003</v>
      </c>
      <c r="GZ18" s="12">
        <v>82.141682000000003</v>
      </c>
      <c r="HA18" s="12">
        <v>83.102857</v>
      </c>
      <c r="HB18" s="12">
        <v>83.102857</v>
      </c>
      <c r="HC18" s="12">
        <v>83.102857</v>
      </c>
      <c r="HD18" s="12">
        <v>81.636399999999995</v>
      </c>
      <c r="HE18" s="12">
        <v>89.589646999999999</v>
      </c>
      <c r="HF18" s="12">
        <v>89.513936999999999</v>
      </c>
      <c r="HG18" s="12">
        <v>89.513936999999999</v>
      </c>
      <c r="HH18" s="12">
        <v>89.513936999999999</v>
      </c>
      <c r="HI18" s="12">
        <v>83.730789000000001</v>
      </c>
      <c r="HJ18" s="12">
        <v>83.202679000000003</v>
      </c>
      <c r="HK18" s="12">
        <v>82.885368999999997</v>
      </c>
      <c r="HL18" s="12">
        <v>87.543654000000004</v>
      </c>
      <c r="HM18" s="12">
        <v>83.562994000000003</v>
      </c>
      <c r="HN18" s="12">
        <v>86.801381000000006</v>
      </c>
      <c r="HO18" s="12">
        <v>69.452195979999999</v>
      </c>
      <c r="HP18" s="12">
        <v>89.299256</v>
      </c>
      <c r="HQ18" s="12">
        <v>82.559827499999997</v>
      </c>
      <c r="HR18" s="12">
        <v>82.756521000000006</v>
      </c>
      <c r="HS18" s="12">
        <v>81.481808000000001</v>
      </c>
      <c r="HT18" s="12">
        <v>80.332707999999997</v>
      </c>
      <c r="HU18" s="12">
        <v>77.640806749999996</v>
      </c>
      <c r="HV18" s="12">
        <v>75.388037999999995</v>
      </c>
      <c r="HW18" s="12">
        <v>75.763924000000003</v>
      </c>
      <c r="HX18" s="12">
        <v>82.435149690000003</v>
      </c>
      <c r="HY18" s="12">
        <v>82.843158000000003</v>
      </c>
      <c r="HZ18" s="12">
        <v>91.287379000000001</v>
      </c>
      <c r="IA18" s="12"/>
      <c r="IB18" s="12"/>
      <c r="IC18" s="12"/>
      <c r="ID18" s="12"/>
      <c r="IE18" s="12"/>
      <c r="IF18" s="12"/>
      <c r="IG18" s="12"/>
      <c r="IH18" s="12"/>
      <c r="II18" s="12"/>
      <c r="IJ18" s="12"/>
      <c r="IK18" s="12"/>
    </row>
    <row r="19" spans="1:245" x14ac:dyDescent="0.25">
      <c r="A19" s="11">
        <v>46049.375</v>
      </c>
      <c r="B19" s="12">
        <v>89.838015560000002</v>
      </c>
      <c r="C19" s="12">
        <v>85.996711000000005</v>
      </c>
      <c r="D19" s="12">
        <v>86.222239999999999</v>
      </c>
      <c r="E19" s="12">
        <v>86.088164000000006</v>
      </c>
      <c r="F19" s="12">
        <v>85.996711000000005</v>
      </c>
      <c r="G19" s="12">
        <v>83.576455999999993</v>
      </c>
      <c r="H19" s="12">
        <v>84.037154000000001</v>
      </c>
      <c r="I19" s="12">
        <v>83.668598000000003</v>
      </c>
      <c r="J19" s="12">
        <v>84.312081000000006</v>
      </c>
      <c r="K19" s="12">
        <v>82.883825000000002</v>
      </c>
      <c r="L19" s="12">
        <v>87.069792000000007</v>
      </c>
      <c r="M19" s="12">
        <v>81.948059999999998</v>
      </c>
      <c r="N19" s="12">
        <v>80.497228000000007</v>
      </c>
      <c r="O19" s="12">
        <v>89.912847999999997</v>
      </c>
      <c r="P19" s="12">
        <v>83.631143559999998</v>
      </c>
      <c r="Q19" s="12">
        <v>84.430616999999998</v>
      </c>
      <c r="R19" s="12">
        <v>81.848737999999997</v>
      </c>
      <c r="S19" s="12">
        <v>88.874726999999993</v>
      </c>
      <c r="T19" s="12">
        <v>79.116192499999997</v>
      </c>
      <c r="U19" s="12">
        <v>79.552468000000005</v>
      </c>
      <c r="V19" s="12">
        <v>87.625078000000002</v>
      </c>
      <c r="W19" s="12">
        <v>84.053259999999995</v>
      </c>
      <c r="X19" s="12">
        <v>80.723839999999996</v>
      </c>
      <c r="Y19" s="12">
        <v>82.533878999999999</v>
      </c>
      <c r="Z19" s="12">
        <v>84.142471</v>
      </c>
      <c r="AA19" s="12">
        <v>79.555554000000001</v>
      </c>
      <c r="AB19" s="12">
        <v>85.599665000000002</v>
      </c>
      <c r="AC19" s="12">
        <v>84.264571000000004</v>
      </c>
      <c r="AD19" s="12">
        <v>83.874795000000006</v>
      </c>
      <c r="AE19" s="12">
        <v>79.259714000000002</v>
      </c>
      <c r="AF19" s="12">
        <v>86.717614999999995</v>
      </c>
      <c r="AG19" s="12">
        <v>86.801139989999996</v>
      </c>
      <c r="AH19" s="12">
        <v>87.450323999999995</v>
      </c>
      <c r="AI19" s="12">
        <v>87.47972</v>
      </c>
      <c r="AJ19" s="12">
        <v>77.736836999999994</v>
      </c>
      <c r="AK19" s="12">
        <v>87.828130000000002</v>
      </c>
      <c r="AL19" s="12">
        <v>79.253495000000001</v>
      </c>
      <c r="AM19" s="12">
        <v>79.686649000000003</v>
      </c>
      <c r="AN19" s="12">
        <v>83.150899999999993</v>
      </c>
      <c r="AO19" s="12">
        <v>79.796773999999999</v>
      </c>
      <c r="AP19" s="12">
        <v>74.584721500000001</v>
      </c>
      <c r="AQ19" s="12">
        <v>74.926586</v>
      </c>
      <c r="AR19" s="12">
        <v>79.390015000000005</v>
      </c>
      <c r="AS19" s="12">
        <v>83.383669999999995</v>
      </c>
      <c r="AT19" s="12">
        <v>83.383669999999995</v>
      </c>
      <c r="AU19" s="12">
        <v>84.241201000000004</v>
      </c>
      <c r="AV19" s="12">
        <v>84.478001500000005</v>
      </c>
      <c r="AW19" s="12">
        <v>82.838483999999994</v>
      </c>
      <c r="AX19" s="12">
        <v>83.007080000000002</v>
      </c>
      <c r="AY19" s="12">
        <v>90.064982000000001</v>
      </c>
      <c r="AZ19" s="12">
        <v>83.438284999999993</v>
      </c>
      <c r="BA19" s="12">
        <v>83.009780000000006</v>
      </c>
      <c r="BB19" s="12">
        <v>82.727339000000001</v>
      </c>
      <c r="BC19" s="12">
        <v>82.996910999999997</v>
      </c>
      <c r="BD19" s="12">
        <v>82.629603000000003</v>
      </c>
      <c r="BE19" s="12">
        <v>83.005313000000001</v>
      </c>
      <c r="BF19" s="12">
        <v>83.378966000000005</v>
      </c>
      <c r="BG19" s="12">
        <v>84.354084</v>
      </c>
      <c r="BH19" s="12">
        <v>84.354084</v>
      </c>
      <c r="BI19" s="12">
        <v>84.354084</v>
      </c>
      <c r="BJ19" s="12">
        <v>80.272216999999998</v>
      </c>
      <c r="BK19" s="12">
        <v>80.821314999999998</v>
      </c>
      <c r="BL19" s="12">
        <v>87.513354000000007</v>
      </c>
      <c r="BM19" s="12">
        <v>87.168515999999997</v>
      </c>
      <c r="BN19" s="12">
        <v>84.955644000000007</v>
      </c>
      <c r="BO19" s="12">
        <v>82.743584999999996</v>
      </c>
      <c r="BP19" s="12">
        <v>83.388931999999997</v>
      </c>
      <c r="BQ19" s="12">
        <v>77.785582000000005</v>
      </c>
      <c r="BR19" s="12">
        <v>77.801916969999994</v>
      </c>
      <c r="BS19" s="12">
        <v>81.749751000000003</v>
      </c>
      <c r="BT19" s="12">
        <v>82.546963500000004</v>
      </c>
      <c r="BU19" s="12">
        <v>88.284380909999996</v>
      </c>
      <c r="BV19" s="12">
        <v>90.021680000000003</v>
      </c>
      <c r="BW19" s="12">
        <v>83.448138</v>
      </c>
      <c r="BX19" s="12">
        <v>85.506198999999995</v>
      </c>
      <c r="BY19" s="12">
        <v>85.506198999999995</v>
      </c>
      <c r="BZ19" s="12">
        <v>89.995740999999995</v>
      </c>
      <c r="CA19" s="12">
        <v>88.130767000000006</v>
      </c>
      <c r="CB19" s="12">
        <v>84.696107999999995</v>
      </c>
      <c r="CC19" s="12">
        <v>82.779341000000002</v>
      </c>
      <c r="CD19" s="12">
        <v>82.255701000000002</v>
      </c>
      <c r="CE19" s="12">
        <v>87.186018000000004</v>
      </c>
      <c r="CF19" s="12">
        <v>83.481905999999995</v>
      </c>
      <c r="CG19" s="12">
        <v>90.021680000000003</v>
      </c>
      <c r="CH19" s="12">
        <v>83.450811999999999</v>
      </c>
      <c r="CI19" s="12">
        <v>83.439187000000004</v>
      </c>
      <c r="CJ19" s="12">
        <v>83.033811</v>
      </c>
      <c r="CK19" s="12">
        <v>91.240112999999994</v>
      </c>
      <c r="CL19" s="12">
        <v>92.060762999999994</v>
      </c>
      <c r="CM19" s="12">
        <v>90.138272000000001</v>
      </c>
      <c r="CN19" s="12">
        <v>89.793947000000003</v>
      </c>
      <c r="CO19" s="12">
        <v>90.915569000000005</v>
      </c>
      <c r="CP19" s="12">
        <v>84.027822</v>
      </c>
      <c r="CQ19" s="12">
        <v>83.349768999999995</v>
      </c>
      <c r="CR19" s="12">
        <v>85.522703059999998</v>
      </c>
      <c r="CS19" s="12">
        <v>87.200317999999996</v>
      </c>
      <c r="CT19" s="12">
        <v>81.242097000000001</v>
      </c>
      <c r="CU19" s="12">
        <v>88.158166210000005</v>
      </c>
      <c r="CV19" s="12">
        <v>84.250332999999998</v>
      </c>
      <c r="CW19" s="12">
        <v>82.275829999999999</v>
      </c>
      <c r="CX19" s="12">
        <v>86.360887250000005</v>
      </c>
      <c r="CY19" s="12">
        <v>80.457618999999994</v>
      </c>
      <c r="CZ19" s="12">
        <v>82.499536000000006</v>
      </c>
      <c r="DA19" s="12">
        <v>82.928955000000002</v>
      </c>
      <c r="DB19" s="12">
        <v>85.242579000000006</v>
      </c>
      <c r="DC19" s="12">
        <v>84.730440999999999</v>
      </c>
      <c r="DD19" s="12">
        <v>85.023864000000003</v>
      </c>
      <c r="DE19" s="12">
        <v>83.448138</v>
      </c>
      <c r="DF19" s="12">
        <v>83.207508000000004</v>
      </c>
      <c r="DG19" s="12">
        <v>84.984644000000003</v>
      </c>
      <c r="DH19" s="12">
        <v>85.506198999999995</v>
      </c>
      <c r="DI19" s="12">
        <v>84.466987000000003</v>
      </c>
      <c r="DJ19" s="12">
        <v>83.545441999999994</v>
      </c>
      <c r="DK19" s="12">
        <v>91.491898190000001</v>
      </c>
      <c r="DL19" s="12">
        <v>82.368143000000003</v>
      </c>
      <c r="DM19" s="12">
        <v>82.228054</v>
      </c>
      <c r="DN19" s="12">
        <v>82.376098999999996</v>
      </c>
      <c r="DO19" s="12">
        <v>90.318002000000007</v>
      </c>
      <c r="DP19" s="12">
        <v>89.655941999999996</v>
      </c>
      <c r="DQ19" s="12">
        <v>86.483097999999998</v>
      </c>
      <c r="DR19" s="12">
        <v>74.978165000000004</v>
      </c>
      <c r="DS19" s="12">
        <v>89.563584000000006</v>
      </c>
      <c r="DT19" s="12">
        <v>82.352732000000003</v>
      </c>
      <c r="DU19" s="12">
        <v>82.678351000000006</v>
      </c>
      <c r="DV19" s="12">
        <v>84.286783</v>
      </c>
      <c r="DW19" s="12">
        <v>83.827622000000005</v>
      </c>
      <c r="DX19" s="12">
        <v>84.090180000000004</v>
      </c>
      <c r="DY19" s="12">
        <v>77.445969000000005</v>
      </c>
      <c r="DZ19" s="12">
        <v>78.364423000000002</v>
      </c>
      <c r="EA19" s="12">
        <v>78.364423000000002</v>
      </c>
      <c r="EB19" s="12">
        <v>79.770498930000002</v>
      </c>
      <c r="EC19" s="12">
        <v>83.576652999999993</v>
      </c>
      <c r="ED19" s="12">
        <v>83.772752999999994</v>
      </c>
      <c r="EE19" s="12">
        <v>81.2697</v>
      </c>
      <c r="EF19" s="12">
        <v>81.815538000000004</v>
      </c>
      <c r="EG19" s="12">
        <v>75.608999999999995</v>
      </c>
      <c r="EH19" s="12">
        <v>84.095999000000006</v>
      </c>
      <c r="EI19" s="12">
        <v>92.792485299999996</v>
      </c>
      <c r="EJ19" s="12">
        <v>80.016992000000002</v>
      </c>
      <c r="EK19" s="12">
        <v>80.016992000000002</v>
      </c>
      <c r="EL19" s="12">
        <v>81.657078999999996</v>
      </c>
      <c r="EM19" s="12">
        <v>83.247339999999994</v>
      </c>
      <c r="EN19" s="12">
        <v>83.526889999999995</v>
      </c>
      <c r="EO19" s="12">
        <v>83.448138</v>
      </c>
      <c r="EP19" s="12">
        <v>83.111622999999994</v>
      </c>
      <c r="EQ19" s="12">
        <v>84.221035000000001</v>
      </c>
      <c r="ER19" s="12">
        <v>90.289389999999997</v>
      </c>
      <c r="ES19" s="12">
        <v>83.135655</v>
      </c>
      <c r="ET19" s="12">
        <v>83.381443000000004</v>
      </c>
      <c r="EU19" s="12">
        <v>85.139237550000004</v>
      </c>
      <c r="EV19" s="12">
        <v>80.917597999999998</v>
      </c>
      <c r="EW19" s="12">
        <v>80.173681000000002</v>
      </c>
      <c r="EX19" s="12">
        <v>81.538105000000002</v>
      </c>
      <c r="EY19" s="12">
        <v>84.567432999999994</v>
      </c>
      <c r="EZ19" s="12">
        <v>77.119536999999994</v>
      </c>
      <c r="FA19" s="12">
        <v>80.503989000000004</v>
      </c>
      <c r="FB19" s="12">
        <v>79.386364</v>
      </c>
      <c r="FC19" s="12">
        <v>84.028879000000003</v>
      </c>
      <c r="FD19" s="12">
        <v>84.086622000000006</v>
      </c>
      <c r="FE19" s="12">
        <v>84.110826000000003</v>
      </c>
      <c r="FF19" s="12">
        <v>94.897062590000004</v>
      </c>
      <c r="FG19" s="12">
        <v>84.506910000000005</v>
      </c>
      <c r="FH19" s="12">
        <v>90.372853000000006</v>
      </c>
      <c r="FI19" s="12">
        <v>84.200333999999998</v>
      </c>
      <c r="FJ19" s="12">
        <v>106.99436072</v>
      </c>
      <c r="FK19" s="12">
        <v>88.460606490000004</v>
      </c>
      <c r="FL19" s="12">
        <v>94.059698999999995</v>
      </c>
      <c r="FM19" s="12">
        <v>78.110443500000002</v>
      </c>
      <c r="FN19" s="12">
        <v>78.639197999999993</v>
      </c>
      <c r="FO19" s="12">
        <v>81.809613999999996</v>
      </c>
      <c r="FP19" s="12">
        <v>83.033811</v>
      </c>
      <c r="FQ19" s="12">
        <v>90.006630479999998</v>
      </c>
      <c r="FR19" s="12">
        <v>89.717646000000002</v>
      </c>
      <c r="FS19" s="12">
        <v>89.995740999999995</v>
      </c>
      <c r="FT19" s="12">
        <v>82.94453</v>
      </c>
      <c r="FU19" s="12">
        <v>82.94453</v>
      </c>
      <c r="FV19" s="12">
        <v>83.586152999999996</v>
      </c>
      <c r="FW19" s="12">
        <v>83.586152999999996</v>
      </c>
      <c r="FX19" s="12">
        <v>82.699866</v>
      </c>
      <c r="FY19" s="12">
        <v>82.346474000000001</v>
      </c>
      <c r="FZ19" s="12">
        <v>82.272326000000007</v>
      </c>
      <c r="GA19" s="12">
        <v>84.841318000000001</v>
      </c>
      <c r="GB19" s="12">
        <v>84.841318000000001</v>
      </c>
      <c r="GC19" s="12">
        <v>86.426529619999997</v>
      </c>
      <c r="GD19" s="12">
        <v>82.231420999999997</v>
      </c>
      <c r="GE19" s="12">
        <v>85.497339999999994</v>
      </c>
      <c r="GF19" s="12">
        <v>90.021680000000003</v>
      </c>
      <c r="GG19" s="12">
        <v>90.021680000000003</v>
      </c>
      <c r="GH19" s="12">
        <v>81.505055999999996</v>
      </c>
      <c r="GI19" s="12">
        <v>79.52736333</v>
      </c>
      <c r="GJ19" s="12">
        <v>81.890662000000006</v>
      </c>
      <c r="GK19" s="12">
        <v>83.207508000000004</v>
      </c>
      <c r="GL19" s="12">
        <v>86.186123339999995</v>
      </c>
      <c r="GM19" s="12">
        <v>72.272692000000006</v>
      </c>
      <c r="GN19" s="12">
        <v>86.186123339999995</v>
      </c>
      <c r="GO19" s="12">
        <v>82.94453</v>
      </c>
      <c r="GP19" s="12">
        <v>83.890254999999996</v>
      </c>
      <c r="GQ19" s="12">
        <v>82.790733000000003</v>
      </c>
      <c r="GR19" s="12">
        <v>85.019372000000004</v>
      </c>
      <c r="GS19" s="12">
        <v>81.355464999999995</v>
      </c>
      <c r="GT19" s="12">
        <v>78.368774000000002</v>
      </c>
      <c r="GU19" s="12">
        <v>84.525475</v>
      </c>
      <c r="GV19" s="12">
        <v>78.896073000000001</v>
      </c>
      <c r="GW19" s="12">
        <v>89.264844999999994</v>
      </c>
      <c r="GX19" s="12">
        <v>82.619755999999995</v>
      </c>
      <c r="GY19" s="12">
        <v>83.417428999999998</v>
      </c>
      <c r="GZ19" s="12">
        <v>83.385852</v>
      </c>
      <c r="HA19" s="12">
        <v>84.525475</v>
      </c>
      <c r="HB19" s="12">
        <v>84.525475</v>
      </c>
      <c r="HC19" s="12">
        <v>84.525475</v>
      </c>
      <c r="HD19" s="12">
        <v>82.858761000000001</v>
      </c>
      <c r="HE19" s="12">
        <v>90.147878000000006</v>
      </c>
      <c r="HF19" s="12">
        <v>90.289389999999997</v>
      </c>
      <c r="HG19" s="12">
        <v>90.289389999999997</v>
      </c>
      <c r="HH19" s="12">
        <v>90.289389999999997</v>
      </c>
      <c r="HI19" s="12">
        <v>85.627503000000004</v>
      </c>
      <c r="HJ19" s="12">
        <v>84.528396999999998</v>
      </c>
      <c r="HK19" s="12">
        <v>84.204689000000002</v>
      </c>
      <c r="HL19" s="12">
        <v>89.979324000000005</v>
      </c>
      <c r="HM19" s="12">
        <v>84.792309000000003</v>
      </c>
      <c r="HN19" s="12">
        <v>88.437196999999998</v>
      </c>
      <c r="HO19" s="12">
        <v>70.927046750000002</v>
      </c>
      <c r="HP19" s="12">
        <v>90.464403000000004</v>
      </c>
      <c r="HQ19" s="12">
        <v>83.865633000000003</v>
      </c>
      <c r="HR19" s="12">
        <v>84.103307999999998</v>
      </c>
      <c r="HS19" s="12">
        <v>83.067369999999997</v>
      </c>
      <c r="HT19" s="12">
        <v>81.655028999999999</v>
      </c>
      <c r="HU19" s="12">
        <v>79.390158450000001</v>
      </c>
      <c r="HV19" s="12">
        <v>76.709401499999998</v>
      </c>
      <c r="HW19" s="12">
        <v>77.097187000000005</v>
      </c>
      <c r="HX19" s="12">
        <v>83.937827499999997</v>
      </c>
      <c r="HY19" s="12">
        <v>84.273585999999995</v>
      </c>
      <c r="HZ19" s="12">
        <v>92.167798000000005</v>
      </c>
      <c r="IA19" s="12"/>
      <c r="IB19" s="12"/>
      <c r="IC19" s="12"/>
      <c r="ID19" s="12"/>
      <c r="IE19" s="12"/>
      <c r="IF19" s="12"/>
      <c r="IG19" s="12"/>
      <c r="IH19" s="12"/>
      <c r="II19" s="12"/>
      <c r="IJ19" s="12"/>
      <c r="IK19" s="12"/>
    </row>
    <row r="20" spans="1:245" x14ac:dyDescent="0.25">
      <c r="A20" s="11">
        <v>46049.395833333336</v>
      </c>
      <c r="B20" s="12">
        <v>92.509565260000002</v>
      </c>
      <c r="C20" s="12">
        <v>88.425150000000002</v>
      </c>
      <c r="D20" s="12">
        <v>88.666527000000002</v>
      </c>
      <c r="E20" s="12">
        <v>88.518050000000002</v>
      </c>
      <c r="F20" s="12">
        <v>88.425150000000002</v>
      </c>
      <c r="G20" s="12">
        <v>85.449990999999997</v>
      </c>
      <c r="H20" s="12">
        <v>86.168497000000002</v>
      </c>
      <c r="I20" s="12">
        <v>85.84178</v>
      </c>
      <c r="J20" s="12">
        <v>86.440567000000001</v>
      </c>
      <c r="K20" s="12">
        <v>84.647154999999998</v>
      </c>
      <c r="L20" s="12">
        <v>89.530869999999993</v>
      </c>
      <c r="M20" s="12">
        <v>84.287938999999994</v>
      </c>
      <c r="N20" s="12">
        <v>82.834660999999997</v>
      </c>
      <c r="O20" s="12">
        <v>92.506422000000001</v>
      </c>
      <c r="P20" s="12">
        <v>86.324259810000001</v>
      </c>
      <c r="Q20" s="12">
        <v>86.475761000000006</v>
      </c>
      <c r="R20" s="12">
        <v>84.413071000000002</v>
      </c>
      <c r="S20" s="12">
        <v>91.415778000000003</v>
      </c>
      <c r="T20" s="12">
        <v>78.223219999999998</v>
      </c>
      <c r="U20" s="12">
        <v>78.873373999999998</v>
      </c>
      <c r="V20" s="12">
        <v>90.103414000000001</v>
      </c>
      <c r="W20" s="12">
        <v>86.091902000000005</v>
      </c>
      <c r="X20" s="12">
        <v>82.740966999999998</v>
      </c>
      <c r="Y20" s="12">
        <v>84.568236999999996</v>
      </c>
      <c r="Z20" s="12">
        <v>86.555468000000005</v>
      </c>
      <c r="AA20" s="12">
        <v>81.573463000000004</v>
      </c>
      <c r="AB20" s="12">
        <v>86.937394999999995</v>
      </c>
      <c r="AC20" s="12">
        <v>86.327482000000003</v>
      </c>
      <c r="AD20" s="12">
        <v>85.895116999999999</v>
      </c>
      <c r="AE20" s="12">
        <v>81.324521000000004</v>
      </c>
      <c r="AF20" s="12">
        <v>89.260820499999994</v>
      </c>
      <c r="AG20" s="12">
        <v>89.33987046</v>
      </c>
      <c r="AH20" s="12">
        <v>90.030523000000002</v>
      </c>
      <c r="AI20" s="12">
        <v>90.035798999999997</v>
      </c>
      <c r="AJ20" s="12">
        <v>79.780493000000007</v>
      </c>
      <c r="AK20" s="12">
        <v>90.311419000000001</v>
      </c>
      <c r="AL20" s="12">
        <v>81.284161670000003</v>
      </c>
      <c r="AM20" s="12">
        <v>81.713718999999998</v>
      </c>
      <c r="AN20" s="12">
        <v>85.275610999999998</v>
      </c>
      <c r="AO20" s="12">
        <v>81.834307999999993</v>
      </c>
      <c r="AP20" s="12">
        <v>76.570895500000006</v>
      </c>
      <c r="AQ20" s="12">
        <v>76.920103999999995</v>
      </c>
      <c r="AR20" s="12">
        <v>81.288122000000001</v>
      </c>
      <c r="AS20" s="12">
        <v>85.665667999999997</v>
      </c>
      <c r="AT20" s="12">
        <v>85.665667999999997</v>
      </c>
      <c r="AU20" s="12">
        <v>86.658176999999995</v>
      </c>
      <c r="AV20" s="12">
        <v>86.550196999999997</v>
      </c>
      <c r="AW20" s="12">
        <v>83.701295000000002</v>
      </c>
      <c r="AX20" s="12">
        <v>83.992530000000002</v>
      </c>
      <c r="AY20" s="12">
        <v>92.713167999999996</v>
      </c>
      <c r="AZ20" s="12">
        <v>85.398376999999996</v>
      </c>
      <c r="BA20" s="12">
        <v>84.858110999999994</v>
      </c>
      <c r="BB20" s="12">
        <v>84.523618499999998</v>
      </c>
      <c r="BC20" s="12">
        <v>84.770782499999996</v>
      </c>
      <c r="BD20" s="12">
        <v>84.379095000000007</v>
      </c>
      <c r="BE20" s="12">
        <v>84.848676999999995</v>
      </c>
      <c r="BF20" s="12">
        <v>85.803640000000001</v>
      </c>
      <c r="BG20" s="12">
        <v>86.782020000000003</v>
      </c>
      <c r="BH20" s="12">
        <v>86.782020000000003</v>
      </c>
      <c r="BI20" s="12">
        <v>86.782020000000003</v>
      </c>
      <c r="BJ20" s="12">
        <v>82.280403000000007</v>
      </c>
      <c r="BK20" s="12">
        <v>82.833360999999996</v>
      </c>
      <c r="BL20" s="12">
        <v>89.902629000000005</v>
      </c>
      <c r="BM20" s="12">
        <v>89.537452000000002</v>
      </c>
      <c r="BN20" s="12">
        <v>86.356955999999997</v>
      </c>
      <c r="BO20" s="12">
        <v>84.359583999999998</v>
      </c>
      <c r="BP20" s="12">
        <v>85.886173999999997</v>
      </c>
      <c r="BQ20" s="12">
        <v>79.831351999999995</v>
      </c>
      <c r="BR20" s="12">
        <v>79.848116579999996</v>
      </c>
      <c r="BS20" s="12">
        <v>83.998593999999997</v>
      </c>
      <c r="BT20" s="12">
        <v>84.930554999999998</v>
      </c>
      <c r="BU20" s="12">
        <v>89.651386610000003</v>
      </c>
      <c r="BV20" s="12">
        <v>92.657246999999998</v>
      </c>
      <c r="BW20" s="12">
        <v>85.540469000000002</v>
      </c>
      <c r="BX20" s="12">
        <v>86.830186999999995</v>
      </c>
      <c r="BY20" s="12">
        <v>86.830186999999995</v>
      </c>
      <c r="BZ20" s="12">
        <v>92.708410000000001</v>
      </c>
      <c r="CA20" s="12">
        <v>90.999509000000003</v>
      </c>
      <c r="CB20" s="12">
        <v>86.160847000000004</v>
      </c>
      <c r="CC20" s="12">
        <v>85.428392000000002</v>
      </c>
      <c r="CD20" s="12">
        <v>84.854113999999996</v>
      </c>
      <c r="CE20" s="12">
        <v>90.036336000000006</v>
      </c>
      <c r="CF20" s="12">
        <v>85.425752000000003</v>
      </c>
      <c r="CG20" s="12">
        <v>92.657246999999998</v>
      </c>
      <c r="CH20" s="12">
        <v>85.410122000000001</v>
      </c>
      <c r="CI20" s="12">
        <v>85.399224000000004</v>
      </c>
      <c r="CJ20" s="12">
        <v>85.065827999999996</v>
      </c>
      <c r="CK20" s="12">
        <v>93.990503000000004</v>
      </c>
      <c r="CL20" s="12">
        <v>94.817021999999994</v>
      </c>
      <c r="CM20" s="12">
        <v>92.970536999999993</v>
      </c>
      <c r="CN20" s="12">
        <v>92.363028999999997</v>
      </c>
      <c r="CO20" s="12">
        <v>93.548547999999997</v>
      </c>
      <c r="CP20" s="12">
        <v>85.751125999999999</v>
      </c>
      <c r="CQ20" s="12">
        <v>85.73</v>
      </c>
      <c r="CR20" s="12">
        <v>87.914854779999999</v>
      </c>
      <c r="CS20" s="12">
        <v>89.523104000000004</v>
      </c>
      <c r="CT20" s="12">
        <v>83.070555999999996</v>
      </c>
      <c r="CU20" s="12">
        <v>90.688110289999997</v>
      </c>
      <c r="CV20" s="12">
        <v>86.603682000000006</v>
      </c>
      <c r="CW20" s="12">
        <v>84.349755999999999</v>
      </c>
      <c r="CX20" s="12">
        <v>88.837502909999998</v>
      </c>
      <c r="CY20" s="12">
        <v>82.516182999999998</v>
      </c>
      <c r="CZ20" s="12">
        <v>84.293786330000003</v>
      </c>
      <c r="DA20" s="12">
        <v>84.694389999999999</v>
      </c>
      <c r="DB20" s="12">
        <v>86.672557999999995</v>
      </c>
      <c r="DC20" s="12">
        <v>86.843599999999995</v>
      </c>
      <c r="DD20" s="12">
        <v>87.131257000000005</v>
      </c>
      <c r="DE20" s="12">
        <v>85.540469000000002</v>
      </c>
      <c r="DF20" s="12">
        <v>85.307957000000002</v>
      </c>
      <c r="DG20" s="12">
        <v>86.286621999999994</v>
      </c>
      <c r="DH20" s="12">
        <v>86.830186999999995</v>
      </c>
      <c r="DI20" s="12">
        <v>86.504023000000004</v>
      </c>
      <c r="DJ20" s="12">
        <v>85.498710000000003</v>
      </c>
      <c r="DK20" s="12">
        <v>94.470048270000007</v>
      </c>
      <c r="DL20" s="12">
        <v>84.654588000000004</v>
      </c>
      <c r="DM20" s="12">
        <v>84.487483999999995</v>
      </c>
      <c r="DN20" s="12">
        <v>84.094808999999998</v>
      </c>
      <c r="DO20" s="12">
        <v>93.155551000000003</v>
      </c>
      <c r="DP20" s="12">
        <v>92.302574000000007</v>
      </c>
      <c r="DQ20" s="12">
        <v>88.895977999999999</v>
      </c>
      <c r="DR20" s="12">
        <v>77.019390000000001</v>
      </c>
      <c r="DS20" s="12">
        <v>92.206585000000004</v>
      </c>
      <c r="DT20" s="12">
        <v>84.184929999999994</v>
      </c>
      <c r="DU20" s="12">
        <v>84.518544000000006</v>
      </c>
      <c r="DV20" s="12">
        <v>86.189710000000005</v>
      </c>
      <c r="DW20" s="12">
        <v>85.967314999999999</v>
      </c>
      <c r="DX20" s="12">
        <v>86.264239000000003</v>
      </c>
      <c r="DY20" s="12">
        <v>79.913847000000004</v>
      </c>
      <c r="DZ20" s="12">
        <v>80.364474000000001</v>
      </c>
      <c r="EA20" s="12">
        <v>80.364474000000001</v>
      </c>
      <c r="EB20" s="12">
        <v>81.898464770000004</v>
      </c>
      <c r="EC20" s="12">
        <v>85.565060000000003</v>
      </c>
      <c r="ED20" s="12">
        <v>85.768450000000001</v>
      </c>
      <c r="EE20" s="12">
        <v>83.334029000000001</v>
      </c>
      <c r="EF20" s="12">
        <v>83.866861999999998</v>
      </c>
      <c r="EG20" s="12">
        <v>79.255238000000006</v>
      </c>
      <c r="EH20" s="12">
        <v>85.874719999999996</v>
      </c>
      <c r="EI20" s="12">
        <v>95.45354322</v>
      </c>
      <c r="EJ20" s="12">
        <v>81.927121</v>
      </c>
      <c r="EK20" s="12">
        <v>81.927121</v>
      </c>
      <c r="EL20" s="12">
        <v>83.502815999999996</v>
      </c>
      <c r="EM20" s="12">
        <v>85.338705000000004</v>
      </c>
      <c r="EN20" s="12">
        <v>85.605661999999995</v>
      </c>
      <c r="EO20" s="12">
        <v>85.540469000000002</v>
      </c>
      <c r="EP20" s="12">
        <v>85.275839000000005</v>
      </c>
      <c r="EQ20" s="12">
        <v>86.060783999999998</v>
      </c>
      <c r="ER20" s="12">
        <v>93.122704999999996</v>
      </c>
      <c r="ES20" s="12">
        <v>85.089189000000005</v>
      </c>
      <c r="ET20" s="12">
        <v>85.340304000000003</v>
      </c>
      <c r="EU20" s="12">
        <v>87.253639230000005</v>
      </c>
      <c r="EV20" s="12">
        <v>82.968258000000006</v>
      </c>
      <c r="EW20" s="12">
        <v>82.218900000000005</v>
      </c>
      <c r="EX20" s="12">
        <v>83.572282000000001</v>
      </c>
      <c r="EY20" s="12">
        <v>86.994331000000003</v>
      </c>
      <c r="EZ20" s="12">
        <v>79.341207999999995</v>
      </c>
      <c r="FA20" s="12">
        <v>82.636842000000001</v>
      </c>
      <c r="FB20" s="12">
        <v>81.475959000000003</v>
      </c>
      <c r="FC20" s="12">
        <v>85.486164000000002</v>
      </c>
      <c r="FD20" s="12">
        <v>85.799104</v>
      </c>
      <c r="FE20" s="12">
        <v>85.930104999999998</v>
      </c>
      <c r="FF20" s="12">
        <v>97.650112870000001</v>
      </c>
      <c r="FG20" s="12">
        <v>86.873608000000004</v>
      </c>
      <c r="FH20" s="12">
        <v>93.159942999999998</v>
      </c>
      <c r="FI20" s="12">
        <v>86.234317000000004</v>
      </c>
      <c r="FJ20" s="12">
        <v>110.05620747</v>
      </c>
      <c r="FK20" s="12">
        <v>90.89596263</v>
      </c>
      <c r="FL20" s="12">
        <v>97.153980000000004</v>
      </c>
      <c r="FM20" s="12">
        <v>79.893853500000006</v>
      </c>
      <c r="FN20" s="12">
        <v>80.418424999999999</v>
      </c>
      <c r="FO20" s="12">
        <v>83.837349000000003</v>
      </c>
      <c r="FP20" s="12">
        <v>85.065827999999996</v>
      </c>
      <c r="FQ20" s="12">
        <v>92.719627720000005</v>
      </c>
      <c r="FR20" s="12">
        <v>92.410694000000007</v>
      </c>
      <c r="FS20" s="12">
        <v>92.708410000000001</v>
      </c>
      <c r="FT20" s="12">
        <v>85.037220000000005</v>
      </c>
      <c r="FU20" s="12">
        <v>85.037220000000005</v>
      </c>
      <c r="FV20" s="12">
        <v>89.094204000000005</v>
      </c>
      <c r="FW20" s="12">
        <v>89.094204000000005</v>
      </c>
      <c r="FX20" s="12">
        <v>88.009411999999998</v>
      </c>
      <c r="FY20" s="12">
        <v>84.576328000000004</v>
      </c>
      <c r="FZ20" s="12">
        <v>84.506563999999997</v>
      </c>
      <c r="GA20" s="12">
        <v>86.432027000000005</v>
      </c>
      <c r="GB20" s="12">
        <v>86.432027000000005</v>
      </c>
      <c r="GC20" s="12">
        <v>88.295559030000007</v>
      </c>
      <c r="GD20" s="12">
        <v>84.824528000000001</v>
      </c>
      <c r="GE20" s="12">
        <v>87.872152</v>
      </c>
      <c r="GF20" s="12">
        <v>92.657246999999998</v>
      </c>
      <c r="GG20" s="12">
        <v>92.657246999999998</v>
      </c>
      <c r="GH20" s="12">
        <v>83.487306000000004</v>
      </c>
      <c r="GI20" s="12">
        <v>81.545173669999997</v>
      </c>
      <c r="GJ20" s="12">
        <v>83.932466000000005</v>
      </c>
      <c r="GK20" s="12">
        <v>85.307957000000002</v>
      </c>
      <c r="GL20" s="12">
        <v>88.657727210000004</v>
      </c>
      <c r="GM20" s="12">
        <v>75.073074000000005</v>
      </c>
      <c r="GN20" s="12">
        <v>88.657727210000004</v>
      </c>
      <c r="GO20" s="12">
        <v>85.037220000000005</v>
      </c>
      <c r="GP20" s="12">
        <v>85.828806999999998</v>
      </c>
      <c r="GQ20" s="12">
        <v>84.877663999999996</v>
      </c>
      <c r="GR20" s="12">
        <v>87.010593</v>
      </c>
      <c r="GS20" s="12">
        <v>83.368986000000007</v>
      </c>
      <c r="GT20" s="12">
        <v>80.440155000000004</v>
      </c>
      <c r="GU20" s="12">
        <v>86.567027999999993</v>
      </c>
      <c r="GV20" s="12">
        <v>81.310359000000005</v>
      </c>
      <c r="GW20" s="12">
        <v>91.819327999999999</v>
      </c>
      <c r="GX20" s="12">
        <v>85.026230999999996</v>
      </c>
      <c r="GY20" s="12">
        <v>85.577223000000004</v>
      </c>
      <c r="GZ20" s="12">
        <v>85.530558999999997</v>
      </c>
      <c r="HA20" s="12">
        <v>86.567027999999993</v>
      </c>
      <c r="HB20" s="12">
        <v>86.567027999999993</v>
      </c>
      <c r="HC20" s="12">
        <v>86.567027999999993</v>
      </c>
      <c r="HD20" s="12">
        <v>84.946386000000004</v>
      </c>
      <c r="HE20" s="12">
        <v>92.979065000000006</v>
      </c>
      <c r="HF20" s="12">
        <v>93.122704999999996</v>
      </c>
      <c r="HG20" s="12">
        <v>93.122704999999996</v>
      </c>
      <c r="HH20" s="12">
        <v>93.122704999999996</v>
      </c>
      <c r="HI20" s="12">
        <v>88.033963</v>
      </c>
      <c r="HJ20" s="12">
        <v>86.830661000000006</v>
      </c>
      <c r="HK20" s="12">
        <v>86.496663999999996</v>
      </c>
      <c r="HL20" s="12">
        <v>92.537692000000007</v>
      </c>
      <c r="HM20" s="12">
        <v>86.887265999999997</v>
      </c>
      <c r="HN20" s="12">
        <v>90.910143000000005</v>
      </c>
      <c r="HO20" s="12">
        <v>73.675288440000003</v>
      </c>
      <c r="HP20" s="12">
        <v>93.311946000000006</v>
      </c>
      <c r="HQ20" s="12">
        <v>85.943753000000001</v>
      </c>
      <c r="HR20" s="12">
        <v>86.185547</v>
      </c>
      <c r="HS20" s="12">
        <v>85.283323999999993</v>
      </c>
      <c r="HT20" s="12">
        <v>83.672428999999994</v>
      </c>
      <c r="HU20" s="12">
        <v>81.018349850000007</v>
      </c>
      <c r="HV20" s="12">
        <v>78.8200085</v>
      </c>
      <c r="HW20" s="12">
        <v>79.196641999999997</v>
      </c>
      <c r="HX20" s="12">
        <v>86.417021660000003</v>
      </c>
      <c r="HY20" s="12">
        <v>86.334356</v>
      </c>
      <c r="HZ20" s="12">
        <v>95.086979999999997</v>
      </c>
      <c r="IA20" s="12"/>
      <c r="IB20" s="12"/>
      <c r="IC20" s="12"/>
      <c r="ID20" s="12"/>
      <c r="IE20" s="12"/>
      <c r="IF20" s="12"/>
      <c r="IG20" s="12"/>
      <c r="IH20" s="12"/>
      <c r="II20" s="12"/>
      <c r="IJ20" s="12"/>
      <c r="IK20" s="12"/>
    </row>
    <row r="21" spans="1:245" x14ac:dyDescent="0.25">
      <c r="A21" s="11">
        <v>46049.416666666664</v>
      </c>
      <c r="B21" s="12">
        <v>95.452305690000003</v>
      </c>
      <c r="C21" s="12">
        <v>91.481397999999999</v>
      </c>
      <c r="D21" s="12">
        <v>91.735502999999994</v>
      </c>
      <c r="E21" s="12">
        <v>91.579462000000007</v>
      </c>
      <c r="F21" s="12">
        <v>91.481397999999999</v>
      </c>
      <c r="G21" s="12">
        <v>88.386498000000003</v>
      </c>
      <c r="H21" s="12">
        <v>89.060700999999995</v>
      </c>
      <c r="I21" s="12">
        <v>88.705161000000004</v>
      </c>
      <c r="J21" s="12">
        <v>89.344776999999993</v>
      </c>
      <c r="K21" s="12">
        <v>87.577994000000004</v>
      </c>
      <c r="L21" s="12">
        <v>92.607399999999998</v>
      </c>
      <c r="M21" s="12">
        <v>87.156445000000005</v>
      </c>
      <c r="N21" s="12">
        <v>85.705573000000001</v>
      </c>
      <c r="O21" s="12">
        <v>95.566398000000007</v>
      </c>
      <c r="P21" s="12">
        <v>88.961493309999994</v>
      </c>
      <c r="Q21" s="12">
        <v>89.396534000000003</v>
      </c>
      <c r="R21" s="12">
        <v>87.321985999999995</v>
      </c>
      <c r="S21" s="12">
        <v>94.412182000000001</v>
      </c>
      <c r="T21" s="12">
        <v>80.887574999999998</v>
      </c>
      <c r="U21" s="12">
        <v>81.549583999999996</v>
      </c>
      <c r="V21" s="12">
        <v>93.010186000000004</v>
      </c>
      <c r="W21" s="12">
        <v>88.967644000000007</v>
      </c>
      <c r="X21" s="12">
        <v>85.457031000000001</v>
      </c>
      <c r="Y21" s="12">
        <v>87.404364999999999</v>
      </c>
      <c r="Z21" s="12">
        <v>89.343625000000003</v>
      </c>
      <c r="AA21" s="12">
        <v>84.320975000000004</v>
      </c>
      <c r="AB21" s="12">
        <v>89.913719</v>
      </c>
      <c r="AC21" s="12">
        <v>89.225537000000003</v>
      </c>
      <c r="AD21" s="12">
        <v>88.765234000000007</v>
      </c>
      <c r="AE21" s="12">
        <v>84.132361000000003</v>
      </c>
      <c r="AF21" s="12">
        <v>92.156743250000005</v>
      </c>
      <c r="AG21" s="12">
        <v>92.233910399999999</v>
      </c>
      <c r="AH21" s="12">
        <v>92.958973999999998</v>
      </c>
      <c r="AI21" s="12">
        <v>92.952618000000001</v>
      </c>
      <c r="AJ21" s="12">
        <v>82.516444000000007</v>
      </c>
      <c r="AK21" s="12">
        <v>93.221371000000005</v>
      </c>
      <c r="AL21" s="12">
        <v>84.007740330000004</v>
      </c>
      <c r="AM21" s="12">
        <v>84.452737999999997</v>
      </c>
      <c r="AN21" s="12">
        <v>88.041490999999994</v>
      </c>
      <c r="AO21" s="12">
        <v>84.455590000000001</v>
      </c>
      <c r="AP21" s="12">
        <v>79.285692499999996</v>
      </c>
      <c r="AQ21" s="12">
        <v>79.641424000000001</v>
      </c>
      <c r="AR21" s="12">
        <v>83.886270999999994</v>
      </c>
      <c r="AS21" s="12">
        <v>88.473579999999998</v>
      </c>
      <c r="AT21" s="12">
        <v>88.473579999999998</v>
      </c>
      <c r="AU21" s="12">
        <v>89.468243000000001</v>
      </c>
      <c r="AV21" s="12">
        <v>89.471877000000006</v>
      </c>
      <c r="AW21" s="12">
        <v>86.549109999999999</v>
      </c>
      <c r="AX21" s="12">
        <v>86.846269000000007</v>
      </c>
      <c r="AY21" s="12">
        <v>95.645532000000003</v>
      </c>
      <c r="AZ21" s="12">
        <v>88.243852000000004</v>
      </c>
      <c r="BA21" s="12">
        <v>87.731814999999997</v>
      </c>
      <c r="BB21" s="12">
        <v>87.287985000000006</v>
      </c>
      <c r="BC21" s="12">
        <v>87.554878500000001</v>
      </c>
      <c r="BD21" s="12">
        <v>87.286889000000002</v>
      </c>
      <c r="BE21" s="12">
        <v>87.715738000000002</v>
      </c>
      <c r="BF21" s="12">
        <v>88.519549999999995</v>
      </c>
      <c r="BG21" s="12">
        <v>89.601917</v>
      </c>
      <c r="BH21" s="12">
        <v>89.601917</v>
      </c>
      <c r="BI21" s="12">
        <v>89.601917</v>
      </c>
      <c r="BJ21" s="12">
        <v>85.070256999999998</v>
      </c>
      <c r="BK21" s="12">
        <v>85.631947999999994</v>
      </c>
      <c r="BL21" s="12">
        <v>92.793396000000001</v>
      </c>
      <c r="BM21" s="12">
        <v>92.421480000000003</v>
      </c>
      <c r="BN21" s="12">
        <v>89.307452999999995</v>
      </c>
      <c r="BO21" s="12">
        <v>87.217983000000004</v>
      </c>
      <c r="BP21" s="12">
        <v>88.771625</v>
      </c>
      <c r="BQ21" s="12">
        <v>82.587012000000001</v>
      </c>
      <c r="BR21" s="12">
        <v>82.604355269999999</v>
      </c>
      <c r="BS21" s="12">
        <v>86.851761999999994</v>
      </c>
      <c r="BT21" s="12">
        <v>87.614601329999999</v>
      </c>
      <c r="BU21" s="12">
        <v>92.695827769999994</v>
      </c>
      <c r="BV21" s="12">
        <v>95.577565000000007</v>
      </c>
      <c r="BW21" s="12">
        <v>88.394351</v>
      </c>
      <c r="BX21" s="12">
        <v>89.778824</v>
      </c>
      <c r="BY21" s="12">
        <v>89.778824</v>
      </c>
      <c r="BZ21" s="12">
        <v>95.988382999999999</v>
      </c>
      <c r="CA21" s="12">
        <v>94.082631000000006</v>
      </c>
      <c r="CB21" s="12">
        <v>89.119269000000003</v>
      </c>
      <c r="CC21" s="12">
        <v>88.367791999999994</v>
      </c>
      <c r="CD21" s="12">
        <v>87.762872999999999</v>
      </c>
      <c r="CE21" s="12">
        <v>93.091459999999998</v>
      </c>
      <c r="CF21" s="12">
        <v>88.182113999999999</v>
      </c>
      <c r="CG21" s="12">
        <v>95.577565000000007</v>
      </c>
      <c r="CH21" s="12">
        <v>88.257313999999994</v>
      </c>
      <c r="CI21" s="12">
        <v>88.244821999999999</v>
      </c>
      <c r="CJ21" s="12">
        <v>87.863685000000004</v>
      </c>
      <c r="CK21" s="12">
        <v>96.920300999999995</v>
      </c>
      <c r="CL21" s="12">
        <v>97.792439000000002</v>
      </c>
      <c r="CM21" s="12">
        <v>95.872645000000006</v>
      </c>
      <c r="CN21" s="12">
        <v>95.219892999999999</v>
      </c>
      <c r="CO21" s="12">
        <v>96.476150000000004</v>
      </c>
      <c r="CP21" s="12">
        <v>88.640647000000001</v>
      </c>
      <c r="CQ21" s="12">
        <v>88.455991999999995</v>
      </c>
      <c r="CR21" s="12">
        <v>90.742982400000002</v>
      </c>
      <c r="CS21" s="12">
        <v>92.603903000000003</v>
      </c>
      <c r="CT21" s="12">
        <v>85.878872999999999</v>
      </c>
      <c r="CU21" s="12">
        <v>93.806264519999999</v>
      </c>
      <c r="CV21" s="12">
        <v>89.592757000000006</v>
      </c>
      <c r="CW21" s="12">
        <v>87.205820000000003</v>
      </c>
      <c r="CX21" s="12">
        <v>91.699169670000003</v>
      </c>
      <c r="CY21" s="12">
        <v>85.303820999999999</v>
      </c>
      <c r="CZ21" s="12">
        <v>87.027235000000005</v>
      </c>
      <c r="DA21" s="12">
        <v>87.468962000000005</v>
      </c>
      <c r="DB21" s="12">
        <v>89.602464999999995</v>
      </c>
      <c r="DC21" s="12">
        <v>89.741737999999998</v>
      </c>
      <c r="DD21" s="12">
        <v>90.045193999999995</v>
      </c>
      <c r="DE21" s="12">
        <v>88.394351</v>
      </c>
      <c r="DF21" s="12">
        <v>88.133133999999998</v>
      </c>
      <c r="DG21" s="12">
        <v>89.219399999999993</v>
      </c>
      <c r="DH21" s="12">
        <v>89.778824</v>
      </c>
      <c r="DI21" s="12">
        <v>89.425618999999998</v>
      </c>
      <c r="DJ21" s="12">
        <v>88.496751000000003</v>
      </c>
      <c r="DK21" s="12">
        <v>97.670754380000005</v>
      </c>
      <c r="DL21" s="12">
        <v>87.516255999999998</v>
      </c>
      <c r="DM21" s="12">
        <v>87.370215999999999</v>
      </c>
      <c r="DN21" s="12">
        <v>87.021315999999999</v>
      </c>
      <c r="DO21" s="12">
        <v>96.059442000000004</v>
      </c>
      <c r="DP21" s="12">
        <v>95.218616999999995</v>
      </c>
      <c r="DQ21" s="12">
        <v>91.762630999999999</v>
      </c>
      <c r="DR21" s="12">
        <v>79.682879</v>
      </c>
      <c r="DS21" s="12">
        <v>95.118661000000003</v>
      </c>
      <c r="DT21" s="12">
        <v>87.048991000000001</v>
      </c>
      <c r="DU21" s="12">
        <v>87.387382000000002</v>
      </c>
      <c r="DV21" s="12">
        <v>89.098417999999995</v>
      </c>
      <c r="DW21" s="12">
        <v>88.828671999999997</v>
      </c>
      <c r="DX21" s="12">
        <v>89.127680999999995</v>
      </c>
      <c r="DY21" s="12">
        <v>82.771203</v>
      </c>
      <c r="DZ21" s="12">
        <v>82.363506000000001</v>
      </c>
      <c r="EA21" s="12">
        <v>82.363506000000001</v>
      </c>
      <c r="EB21" s="12">
        <v>84.646776070000001</v>
      </c>
      <c r="EC21" s="12">
        <v>88.343204999999998</v>
      </c>
      <c r="ED21" s="12">
        <v>88.559076000000005</v>
      </c>
      <c r="EE21" s="12">
        <v>86.160679000000002</v>
      </c>
      <c r="EF21" s="12">
        <v>86.697587999999996</v>
      </c>
      <c r="EG21" s="12">
        <v>82.460960999999998</v>
      </c>
      <c r="EH21" s="12">
        <v>88.759066000000004</v>
      </c>
      <c r="EI21" s="12">
        <v>98.528328340000002</v>
      </c>
      <c r="EJ21" s="12">
        <v>84.532338999999993</v>
      </c>
      <c r="EK21" s="12">
        <v>84.532338999999993</v>
      </c>
      <c r="EL21" s="12">
        <v>86.334344999999999</v>
      </c>
      <c r="EM21" s="12">
        <v>88.180333000000005</v>
      </c>
      <c r="EN21" s="12">
        <v>88.474086</v>
      </c>
      <c r="EO21" s="12">
        <v>88.394351</v>
      </c>
      <c r="EP21" s="12">
        <v>88.256030999999993</v>
      </c>
      <c r="EQ21" s="12">
        <v>88.888565</v>
      </c>
      <c r="ER21" s="12">
        <v>96.027180999999999</v>
      </c>
      <c r="ES21" s="12">
        <v>87.931627000000006</v>
      </c>
      <c r="ET21" s="12">
        <v>88.185208000000003</v>
      </c>
      <c r="EU21" s="12">
        <v>90.184506130000003</v>
      </c>
      <c r="EV21" s="12">
        <v>85.769947000000002</v>
      </c>
      <c r="EW21" s="12">
        <v>84.972928999999993</v>
      </c>
      <c r="EX21" s="12">
        <v>86.391504999999995</v>
      </c>
      <c r="EY21" s="12">
        <v>89.985480999999993</v>
      </c>
      <c r="EZ21" s="12">
        <v>82.108945000000006</v>
      </c>
      <c r="FA21" s="12">
        <v>85.482082000000005</v>
      </c>
      <c r="FB21" s="12">
        <v>84.282527999999999</v>
      </c>
      <c r="FC21" s="12">
        <v>88.283446999999995</v>
      </c>
      <c r="FD21" s="12">
        <v>88.652720000000002</v>
      </c>
      <c r="FE21" s="12">
        <v>88.807261999999994</v>
      </c>
      <c r="FF21" s="12">
        <v>100.75678286</v>
      </c>
      <c r="FG21" s="12">
        <v>89.887572000000006</v>
      </c>
      <c r="FH21" s="12">
        <v>96.069514999999996</v>
      </c>
      <c r="FI21" s="12">
        <v>89.119915000000006</v>
      </c>
      <c r="FJ21" s="12">
        <v>113.35198231</v>
      </c>
      <c r="FK21" s="12">
        <v>93.853321100000002</v>
      </c>
      <c r="FL21" s="12">
        <v>99.844674999999995</v>
      </c>
      <c r="FM21" s="12">
        <v>82.860425000000006</v>
      </c>
      <c r="FN21" s="12">
        <v>83.377910999999997</v>
      </c>
      <c r="FO21" s="12">
        <v>86.671840000000003</v>
      </c>
      <c r="FP21" s="12">
        <v>87.863685000000004</v>
      </c>
      <c r="FQ21" s="12">
        <v>95.999997590000007</v>
      </c>
      <c r="FR21" s="12">
        <v>95.675244000000006</v>
      </c>
      <c r="FS21" s="12">
        <v>95.988382999999999</v>
      </c>
      <c r="FT21" s="12">
        <v>87.874578999999997</v>
      </c>
      <c r="FU21" s="12">
        <v>87.874578999999997</v>
      </c>
      <c r="FV21" s="12">
        <v>92.523048000000003</v>
      </c>
      <c r="FW21" s="12">
        <v>92.523048000000003</v>
      </c>
      <c r="FX21" s="12">
        <v>91.413083</v>
      </c>
      <c r="FY21" s="12">
        <v>87.453181000000001</v>
      </c>
      <c r="FZ21" s="12">
        <v>87.380377999999993</v>
      </c>
      <c r="GA21" s="12">
        <v>89.300522999999998</v>
      </c>
      <c r="GB21" s="12">
        <v>89.275658000000007</v>
      </c>
      <c r="GC21" s="12">
        <v>91.261214620000004</v>
      </c>
      <c r="GD21" s="12">
        <v>87.718036999999995</v>
      </c>
      <c r="GE21" s="12">
        <v>90.706199999999995</v>
      </c>
      <c r="GF21" s="12">
        <v>95.577565000000007</v>
      </c>
      <c r="GG21" s="12">
        <v>95.577565000000007</v>
      </c>
      <c r="GH21" s="12">
        <v>86.155359000000004</v>
      </c>
      <c r="GI21" s="12">
        <v>84.291865329999993</v>
      </c>
      <c r="GJ21" s="12">
        <v>86.720400999999995</v>
      </c>
      <c r="GK21" s="12">
        <v>88.133133999999998</v>
      </c>
      <c r="GL21" s="12">
        <v>91.51360296</v>
      </c>
      <c r="GM21" s="12">
        <v>77.974463</v>
      </c>
      <c r="GN21" s="12">
        <v>91.51360296</v>
      </c>
      <c r="GO21" s="12">
        <v>87.874578999999997</v>
      </c>
      <c r="GP21" s="12">
        <v>88.771743999999998</v>
      </c>
      <c r="GQ21" s="12">
        <v>87.625905000000003</v>
      </c>
      <c r="GR21" s="12">
        <v>89.857350999999994</v>
      </c>
      <c r="GS21" s="12">
        <v>86.165645999999995</v>
      </c>
      <c r="GT21" s="12">
        <v>83.233193999999997</v>
      </c>
      <c r="GU21" s="12">
        <v>89.506818999999993</v>
      </c>
      <c r="GV21" s="12">
        <v>84.149888000000004</v>
      </c>
      <c r="GW21" s="12">
        <v>94.568976000000006</v>
      </c>
      <c r="GX21" s="12">
        <v>87.688208000000003</v>
      </c>
      <c r="GY21" s="12">
        <v>88.366878</v>
      </c>
      <c r="GZ21" s="12">
        <v>88.334816000000004</v>
      </c>
      <c r="HA21" s="12">
        <v>89.506818999999993</v>
      </c>
      <c r="HB21" s="12">
        <v>89.506818999999993</v>
      </c>
      <c r="HC21" s="12">
        <v>89.506818999999993</v>
      </c>
      <c r="HD21" s="12">
        <v>87.696094000000002</v>
      </c>
      <c r="HE21" s="12">
        <v>95.883352000000002</v>
      </c>
      <c r="HF21" s="12">
        <v>96.027180999999999</v>
      </c>
      <c r="HG21" s="12">
        <v>96.027180999999999</v>
      </c>
      <c r="HH21" s="12">
        <v>96.027180999999999</v>
      </c>
      <c r="HI21" s="12">
        <v>91.064592000000005</v>
      </c>
      <c r="HJ21" s="12">
        <v>89.684877</v>
      </c>
      <c r="HK21" s="12">
        <v>89.354275000000001</v>
      </c>
      <c r="HL21" s="12">
        <v>95.693583000000004</v>
      </c>
      <c r="HM21" s="12">
        <v>89.824365</v>
      </c>
      <c r="HN21" s="12">
        <v>93.805437999999995</v>
      </c>
      <c r="HO21" s="12">
        <v>76.522656470000001</v>
      </c>
      <c r="HP21" s="12">
        <v>96.200997000000001</v>
      </c>
      <c r="HQ21" s="12">
        <v>88.835471499999997</v>
      </c>
      <c r="HR21" s="12">
        <v>89.080541999999994</v>
      </c>
      <c r="HS21" s="12">
        <v>88.144990000000007</v>
      </c>
      <c r="HT21" s="12">
        <v>86.483667999999994</v>
      </c>
      <c r="HU21" s="12">
        <v>83.748392409999994</v>
      </c>
      <c r="HV21" s="12">
        <v>81.621187000000006</v>
      </c>
      <c r="HW21" s="12">
        <v>81.993171000000004</v>
      </c>
      <c r="HX21" s="12">
        <v>89.155913029999994</v>
      </c>
      <c r="HY21" s="12">
        <v>89.234137000000004</v>
      </c>
      <c r="HZ21" s="12">
        <v>98.082498000000001</v>
      </c>
      <c r="IA21" s="12"/>
      <c r="IB21" s="12"/>
      <c r="IC21" s="12"/>
      <c r="ID21" s="12"/>
      <c r="IE21" s="12"/>
      <c r="IF21" s="12"/>
      <c r="IG21" s="12"/>
      <c r="IH21" s="12"/>
      <c r="II21" s="12"/>
      <c r="IJ21" s="12"/>
      <c r="IK21" s="12"/>
    </row>
    <row r="22" spans="1:245" x14ac:dyDescent="0.25">
      <c r="A22" s="11">
        <v>46049.4375</v>
      </c>
      <c r="B22" s="12">
        <v>97.207104939999994</v>
      </c>
      <c r="C22" s="12">
        <v>93.547211000000004</v>
      </c>
      <c r="D22" s="12">
        <v>93.809786000000003</v>
      </c>
      <c r="E22" s="12">
        <v>93.650334999999998</v>
      </c>
      <c r="F22" s="12">
        <v>93.547211000000004</v>
      </c>
      <c r="G22" s="12">
        <v>90.439663999999993</v>
      </c>
      <c r="H22" s="12">
        <v>90.763323999999997</v>
      </c>
      <c r="I22" s="12">
        <v>90.391666999999998</v>
      </c>
      <c r="J22" s="12">
        <v>91.046484000000007</v>
      </c>
      <c r="K22" s="12">
        <v>89.662857000000002</v>
      </c>
      <c r="L22" s="12">
        <v>94.705841000000007</v>
      </c>
      <c r="M22" s="12">
        <v>88.836573000000001</v>
      </c>
      <c r="N22" s="12">
        <v>87.397191000000007</v>
      </c>
      <c r="O22" s="12">
        <v>97.483622999999994</v>
      </c>
      <c r="P22" s="12">
        <v>90.680328770000003</v>
      </c>
      <c r="Q22" s="12">
        <v>91.163630999999995</v>
      </c>
      <c r="R22" s="12">
        <v>88.969982000000002</v>
      </c>
      <c r="S22" s="12">
        <v>96.275390999999999</v>
      </c>
      <c r="T22" s="12">
        <v>82.6954195</v>
      </c>
      <c r="U22" s="12">
        <v>83.364435</v>
      </c>
      <c r="V22" s="12">
        <v>94.828276000000002</v>
      </c>
      <c r="W22" s="12">
        <v>90.878260999999995</v>
      </c>
      <c r="X22" s="12">
        <v>87.260113000000004</v>
      </c>
      <c r="Y22" s="12">
        <v>89.286276999999998</v>
      </c>
      <c r="Z22" s="12">
        <v>91.047488999999999</v>
      </c>
      <c r="AA22" s="12">
        <v>86.174210000000002</v>
      </c>
      <c r="AB22" s="12">
        <v>91.83869</v>
      </c>
      <c r="AC22" s="12">
        <v>91.138237000000004</v>
      </c>
      <c r="AD22" s="12">
        <v>90.676786000000007</v>
      </c>
      <c r="AE22" s="12">
        <v>86.007599999999996</v>
      </c>
      <c r="AF22" s="12">
        <v>93.927822750000004</v>
      </c>
      <c r="AG22" s="12">
        <v>93.991495790000002</v>
      </c>
      <c r="AH22" s="12">
        <v>94.707798999999994</v>
      </c>
      <c r="AI22" s="12">
        <v>94.714800999999994</v>
      </c>
      <c r="AJ22" s="12">
        <v>84.250122000000005</v>
      </c>
      <c r="AK22" s="12">
        <v>95.037498999999997</v>
      </c>
      <c r="AL22" s="12">
        <v>85.86027</v>
      </c>
      <c r="AM22" s="12">
        <v>86.306473999999994</v>
      </c>
      <c r="AN22" s="12">
        <v>89.715119999999999</v>
      </c>
      <c r="AO22" s="12">
        <v>85.943404999999998</v>
      </c>
      <c r="AP22" s="12">
        <v>81.162764499999994</v>
      </c>
      <c r="AQ22" s="12">
        <v>81.518552</v>
      </c>
      <c r="AR22" s="12">
        <v>85.391688000000002</v>
      </c>
      <c r="AS22" s="12">
        <v>90.184715999999995</v>
      </c>
      <c r="AT22" s="12">
        <v>90.184715999999995</v>
      </c>
      <c r="AU22" s="12">
        <v>91.184174999999996</v>
      </c>
      <c r="AV22" s="12">
        <v>91.413860499999998</v>
      </c>
      <c r="AW22" s="12">
        <v>88.144413</v>
      </c>
      <c r="AX22" s="12">
        <v>88.474597000000003</v>
      </c>
      <c r="AY22" s="12">
        <v>97.355839000000003</v>
      </c>
      <c r="AZ22" s="12">
        <v>90.159583999999995</v>
      </c>
      <c r="BA22" s="12">
        <v>89.728925000000004</v>
      </c>
      <c r="BB22" s="12">
        <v>89.274420500000005</v>
      </c>
      <c r="BC22" s="12">
        <v>89.560119</v>
      </c>
      <c r="BD22" s="12">
        <v>89.364542</v>
      </c>
      <c r="BE22" s="12">
        <v>89.708848000000003</v>
      </c>
      <c r="BF22" s="12">
        <v>90.235547999999994</v>
      </c>
      <c r="BG22" s="12">
        <v>91.319354000000004</v>
      </c>
      <c r="BH22" s="12">
        <v>91.319354000000004</v>
      </c>
      <c r="BI22" s="12">
        <v>91.319354000000004</v>
      </c>
      <c r="BJ22" s="12">
        <v>86.929445999999999</v>
      </c>
      <c r="BK22" s="12">
        <v>87.495671000000002</v>
      </c>
      <c r="BL22" s="12">
        <v>94.553668000000002</v>
      </c>
      <c r="BM22" s="12">
        <v>94.216386999999997</v>
      </c>
      <c r="BN22" s="12">
        <v>91.257007000000002</v>
      </c>
      <c r="BO22" s="12">
        <v>89.111554999999996</v>
      </c>
      <c r="BP22" s="12">
        <v>90.448459</v>
      </c>
      <c r="BQ22" s="12">
        <v>84.307558</v>
      </c>
      <c r="BR22" s="12">
        <v>84.325262589999994</v>
      </c>
      <c r="BS22" s="12">
        <v>88.593439000000004</v>
      </c>
      <c r="BT22" s="12">
        <v>89.493954169999995</v>
      </c>
      <c r="BU22" s="12">
        <v>94.69764404</v>
      </c>
      <c r="BV22" s="12">
        <v>97.269422000000006</v>
      </c>
      <c r="BW22" s="12">
        <v>90.104999000000007</v>
      </c>
      <c r="BX22" s="12">
        <v>91.717646000000002</v>
      </c>
      <c r="BY22" s="12">
        <v>91.717646000000002</v>
      </c>
      <c r="BZ22" s="12">
        <v>98.200057999999999</v>
      </c>
      <c r="CA22" s="12">
        <v>95.722566</v>
      </c>
      <c r="CB22" s="12">
        <v>91.088194000000001</v>
      </c>
      <c r="CC22" s="12">
        <v>90.029576000000006</v>
      </c>
      <c r="CD22" s="12">
        <v>89.412841999999998</v>
      </c>
      <c r="CE22" s="12">
        <v>94.677860999999993</v>
      </c>
      <c r="CF22" s="12">
        <v>89.903921999999994</v>
      </c>
      <c r="CG22" s="12">
        <v>97.269422000000006</v>
      </c>
      <c r="CH22" s="12">
        <v>90.173760999999999</v>
      </c>
      <c r="CI22" s="12">
        <v>90.160606000000001</v>
      </c>
      <c r="CJ22" s="12">
        <v>89.648579999999995</v>
      </c>
      <c r="CK22" s="12">
        <v>98.695558000000005</v>
      </c>
      <c r="CL22" s="12">
        <v>99.550937000000005</v>
      </c>
      <c r="CM22" s="12">
        <v>97.765105000000005</v>
      </c>
      <c r="CN22" s="12">
        <v>96.814503000000002</v>
      </c>
      <c r="CO22" s="12">
        <v>98.107046999999994</v>
      </c>
      <c r="CP22" s="12">
        <v>90.466898999999998</v>
      </c>
      <c r="CQ22" s="12">
        <v>90.330701000000005</v>
      </c>
      <c r="CR22" s="12">
        <v>92.656494210000005</v>
      </c>
      <c r="CS22" s="12">
        <v>94.549824000000001</v>
      </c>
      <c r="CT22" s="12">
        <v>87.753225</v>
      </c>
      <c r="CU22" s="12">
        <v>95.680671189999998</v>
      </c>
      <c r="CV22" s="12">
        <v>91.607437000000004</v>
      </c>
      <c r="CW22" s="12">
        <v>89.093736000000007</v>
      </c>
      <c r="CX22" s="12">
        <v>93.447956050000002</v>
      </c>
      <c r="CY22" s="12">
        <v>87.173236000000003</v>
      </c>
      <c r="CZ22" s="12">
        <v>88.928068670000002</v>
      </c>
      <c r="DA22" s="12">
        <v>89.373690999999994</v>
      </c>
      <c r="DB22" s="12">
        <v>91.486125000000001</v>
      </c>
      <c r="DC22" s="12">
        <v>91.452595000000002</v>
      </c>
      <c r="DD22" s="12">
        <v>91.755896000000007</v>
      </c>
      <c r="DE22" s="12">
        <v>90.104999000000007</v>
      </c>
      <c r="DF22" s="12">
        <v>89.839271999999994</v>
      </c>
      <c r="DG22" s="12">
        <v>91.141067000000007</v>
      </c>
      <c r="DH22" s="12">
        <v>91.717646000000002</v>
      </c>
      <c r="DI22" s="12">
        <v>91.383291999999997</v>
      </c>
      <c r="DJ22" s="12">
        <v>90.220894999999999</v>
      </c>
      <c r="DK22" s="12">
        <v>99.373233220000003</v>
      </c>
      <c r="DL22" s="12">
        <v>89.229376000000002</v>
      </c>
      <c r="DM22" s="12">
        <v>89.070401000000004</v>
      </c>
      <c r="DN22" s="12">
        <v>89.123647000000005</v>
      </c>
      <c r="DO22" s="12">
        <v>97.951231000000007</v>
      </c>
      <c r="DP22" s="12">
        <v>97.021384999999995</v>
      </c>
      <c r="DQ22" s="12">
        <v>93.594847000000001</v>
      </c>
      <c r="DR22" s="12">
        <v>81.430019000000001</v>
      </c>
      <c r="DS22" s="12">
        <v>96.930828000000005</v>
      </c>
      <c r="DT22" s="12">
        <v>89.057201000000006</v>
      </c>
      <c r="DU22" s="12">
        <v>89.390085999999997</v>
      </c>
      <c r="DV22" s="12">
        <v>90.980901000000003</v>
      </c>
      <c r="DW22" s="12">
        <v>90.525274999999993</v>
      </c>
      <c r="DX22" s="12">
        <v>90.8142</v>
      </c>
      <c r="DY22" s="12">
        <v>84.430019999999999</v>
      </c>
      <c r="DZ22" s="12">
        <v>82.646772999999996</v>
      </c>
      <c r="EA22" s="12">
        <v>82.646772999999996</v>
      </c>
      <c r="EB22" s="12">
        <v>86.486868119999997</v>
      </c>
      <c r="EC22" s="12">
        <v>90.10454</v>
      </c>
      <c r="ED22" s="12">
        <v>90.326395000000005</v>
      </c>
      <c r="EE22" s="12">
        <v>88.013189999999994</v>
      </c>
      <c r="EF22" s="12">
        <v>88.562827999999996</v>
      </c>
      <c r="EG22" s="12">
        <v>84.245790999999997</v>
      </c>
      <c r="EH22" s="12">
        <v>90.602044000000006</v>
      </c>
      <c r="EI22" s="12">
        <v>100.40735296</v>
      </c>
      <c r="EJ22" s="12">
        <v>86.022274999999993</v>
      </c>
      <c r="EK22" s="12">
        <v>86.022274999999993</v>
      </c>
      <c r="EL22" s="12">
        <v>88.207153000000005</v>
      </c>
      <c r="EM22" s="12">
        <v>89.887484999999998</v>
      </c>
      <c r="EN22" s="12">
        <v>90.190239000000005</v>
      </c>
      <c r="EO22" s="12">
        <v>90.104999000000007</v>
      </c>
      <c r="EP22" s="12">
        <v>90.226303000000001</v>
      </c>
      <c r="EQ22" s="12">
        <v>90.654303999999996</v>
      </c>
      <c r="ER22" s="12">
        <v>97.918083999999993</v>
      </c>
      <c r="ES22" s="12">
        <v>89.849680000000006</v>
      </c>
      <c r="ET22" s="12">
        <v>90.101376000000002</v>
      </c>
      <c r="EU22" s="12">
        <v>92.129285909999993</v>
      </c>
      <c r="EV22" s="12">
        <v>87.604996</v>
      </c>
      <c r="EW22" s="12">
        <v>86.710583</v>
      </c>
      <c r="EX22" s="12">
        <v>88.264903000000004</v>
      </c>
      <c r="EY22" s="12">
        <v>91.783541999999997</v>
      </c>
      <c r="EZ22" s="12">
        <v>83.820868000000004</v>
      </c>
      <c r="FA22" s="12">
        <v>87.375119999999995</v>
      </c>
      <c r="FB22" s="12">
        <v>86.160058000000006</v>
      </c>
      <c r="FC22" s="12">
        <v>90.166725</v>
      </c>
      <c r="FD22" s="12">
        <v>90.513881999999995</v>
      </c>
      <c r="FE22" s="12">
        <v>90.659184999999994</v>
      </c>
      <c r="FF22" s="12">
        <v>103.01160693</v>
      </c>
      <c r="FG22" s="12">
        <v>91.932483000000005</v>
      </c>
      <c r="FH22" s="12">
        <v>97.916659999999993</v>
      </c>
      <c r="FI22" s="12">
        <v>91.045053999999993</v>
      </c>
      <c r="FJ22" s="12">
        <v>115.73267539</v>
      </c>
      <c r="FK22" s="12">
        <v>95.604059030000002</v>
      </c>
      <c r="FL22" s="12">
        <v>101.453222</v>
      </c>
      <c r="FM22" s="12">
        <v>85.663646499999999</v>
      </c>
      <c r="FN22" s="12">
        <v>86.095516000000003</v>
      </c>
      <c r="FO22" s="12">
        <v>88.569456000000002</v>
      </c>
      <c r="FP22" s="12">
        <v>89.648579999999995</v>
      </c>
      <c r="FQ22" s="12">
        <v>98.211940209999995</v>
      </c>
      <c r="FR22" s="12">
        <v>97.876956000000007</v>
      </c>
      <c r="FS22" s="12">
        <v>98.200057999999999</v>
      </c>
      <c r="FT22" s="12">
        <v>89.582404999999994</v>
      </c>
      <c r="FU22" s="12">
        <v>89.582404999999994</v>
      </c>
      <c r="FV22" s="12">
        <v>94.338176000000004</v>
      </c>
      <c r="FW22" s="12">
        <v>94.338176000000004</v>
      </c>
      <c r="FX22" s="12">
        <v>93.224436999999995</v>
      </c>
      <c r="FY22" s="12">
        <v>89.147985000000006</v>
      </c>
      <c r="FZ22" s="12">
        <v>89.077110000000005</v>
      </c>
      <c r="GA22" s="12">
        <v>91.044580999999994</v>
      </c>
      <c r="GB22" s="12">
        <v>90.985350999999994</v>
      </c>
      <c r="GC22" s="12">
        <v>93.169127970000005</v>
      </c>
      <c r="GD22" s="12">
        <v>89.363253999999998</v>
      </c>
      <c r="GE22" s="12">
        <v>92.544331</v>
      </c>
      <c r="GF22" s="12">
        <v>97.269422000000006</v>
      </c>
      <c r="GG22" s="12">
        <v>97.269422000000006</v>
      </c>
      <c r="GH22" s="12">
        <v>87.705673000000004</v>
      </c>
      <c r="GI22" s="12">
        <v>86.14513633</v>
      </c>
      <c r="GJ22" s="12">
        <v>88.374859000000001</v>
      </c>
      <c r="GK22" s="12">
        <v>89.839271999999994</v>
      </c>
      <c r="GL22" s="12">
        <v>93.258850409999994</v>
      </c>
      <c r="GM22" s="12">
        <v>79.716903000000002</v>
      </c>
      <c r="GN22" s="12">
        <v>93.258850409999994</v>
      </c>
      <c r="GO22" s="12">
        <v>89.582404999999994</v>
      </c>
      <c r="GP22" s="12">
        <v>90.806787999999997</v>
      </c>
      <c r="GQ22" s="12">
        <v>89.321128999999999</v>
      </c>
      <c r="GR22" s="12">
        <v>91.677820999999994</v>
      </c>
      <c r="GS22" s="12">
        <v>88.035801000000006</v>
      </c>
      <c r="GT22" s="12">
        <v>85.102825999999993</v>
      </c>
      <c r="GU22" s="12">
        <v>91.470966000000004</v>
      </c>
      <c r="GV22" s="12">
        <v>85.851904000000005</v>
      </c>
      <c r="GW22" s="12">
        <v>96.555176000000003</v>
      </c>
      <c r="GX22" s="12">
        <v>89.407787999999996</v>
      </c>
      <c r="GY22" s="12">
        <v>90.06765</v>
      </c>
      <c r="GZ22" s="12">
        <v>90.038195999999999</v>
      </c>
      <c r="HA22" s="12">
        <v>91.470966000000004</v>
      </c>
      <c r="HB22" s="12">
        <v>91.470966000000004</v>
      </c>
      <c r="HC22" s="12">
        <v>91.470966000000004</v>
      </c>
      <c r="HD22" s="12">
        <v>89.389748999999995</v>
      </c>
      <c r="HE22" s="12">
        <v>97.781557000000006</v>
      </c>
      <c r="HF22" s="12">
        <v>97.918083999999993</v>
      </c>
      <c r="HG22" s="12">
        <v>97.918083999999993</v>
      </c>
      <c r="HH22" s="12">
        <v>97.918083999999993</v>
      </c>
      <c r="HI22" s="12">
        <v>93.123745</v>
      </c>
      <c r="HJ22" s="12">
        <v>91.370452999999998</v>
      </c>
      <c r="HK22" s="12">
        <v>91.033396999999994</v>
      </c>
      <c r="HL22" s="12">
        <v>97.893811999999997</v>
      </c>
      <c r="HM22" s="12">
        <v>91.531754000000006</v>
      </c>
      <c r="HN22" s="12">
        <v>95.612134999999995</v>
      </c>
      <c r="HO22" s="12">
        <v>78.232653979999995</v>
      </c>
      <c r="HP22" s="12">
        <v>98.063620999999998</v>
      </c>
      <c r="HQ22" s="12">
        <v>90.757010500000007</v>
      </c>
      <c r="HR22" s="12">
        <v>91.002280999999996</v>
      </c>
      <c r="HS22" s="12">
        <v>90.060924999999997</v>
      </c>
      <c r="HT22" s="12">
        <v>88.356264999999993</v>
      </c>
      <c r="HU22" s="12">
        <v>85.473849909999998</v>
      </c>
      <c r="HV22" s="12">
        <v>83.478970000000004</v>
      </c>
      <c r="HW22" s="12">
        <v>83.854553999999993</v>
      </c>
      <c r="HX22" s="12">
        <v>90.749684349999995</v>
      </c>
      <c r="HY22" s="12">
        <v>91.146821000000003</v>
      </c>
      <c r="HZ22" s="12">
        <v>99.96199</v>
      </c>
      <c r="IA22" s="12"/>
      <c r="IB22" s="12"/>
      <c r="IC22" s="12"/>
      <c r="ID22" s="12"/>
      <c r="IE22" s="12"/>
      <c r="IF22" s="12"/>
      <c r="IG22" s="12"/>
      <c r="IH22" s="12"/>
      <c r="II22" s="12"/>
      <c r="IJ22" s="12"/>
      <c r="IK22" s="12"/>
    </row>
    <row r="23" spans="1:245" x14ac:dyDescent="0.25">
      <c r="A23" s="11">
        <v>46049.458333333336</v>
      </c>
      <c r="B23" s="12">
        <v>117.7246827</v>
      </c>
      <c r="C23" s="12">
        <v>115.10311400000001</v>
      </c>
      <c r="D23" s="12">
        <v>115.42271</v>
      </c>
      <c r="E23" s="12">
        <v>115.226248</v>
      </c>
      <c r="F23" s="12">
        <v>115.10311400000001</v>
      </c>
      <c r="G23" s="12">
        <v>108.937482</v>
      </c>
      <c r="H23" s="12">
        <v>110.843028</v>
      </c>
      <c r="I23" s="12">
        <v>110.33914</v>
      </c>
      <c r="J23" s="12">
        <v>111.22902000000001</v>
      </c>
      <c r="K23" s="12">
        <v>107.755379</v>
      </c>
      <c r="L23" s="12">
        <v>116.58310299999999</v>
      </c>
      <c r="M23" s="12">
        <v>108.540869</v>
      </c>
      <c r="N23" s="12">
        <v>106.830157</v>
      </c>
      <c r="O23" s="12">
        <v>118.437001</v>
      </c>
      <c r="P23" s="12">
        <v>110.03054292</v>
      </c>
      <c r="Q23" s="12">
        <v>111.455696</v>
      </c>
      <c r="R23" s="12">
        <v>108.442272</v>
      </c>
      <c r="S23" s="12">
        <v>116.925539</v>
      </c>
      <c r="T23" s="12">
        <v>100.251463</v>
      </c>
      <c r="U23" s="12">
        <v>101.07009499999999</v>
      </c>
      <c r="V23" s="12">
        <v>115.0992</v>
      </c>
      <c r="W23" s="12">
        <v>110.02955799999999</v>
      </c>
      <c r="X23" s="12">
        <v>105.885103</v>
      </c>
      <c r="Y23" s="12">
        <v>108.25879399999999</v>
      </c>
      <c r="Z23" s="12">
        <v>111.13012500000001</v>
      </c>
      <c r="AA23" s="12">
        <v>104.522032</v>
      </c>
      <c r="AB23" s="12">
        <v>110.841568</v>
      </c>
      <c r="AC23" s="12">
        <v>110.32316299999999</v>
      </c>
      <c r="AD23" s="12">
        <v>109.786135</v>
      </c>
      <c r="AE23" s="12">
        <v>106.213756</v>
      </c>
      <c r="AF23" s="12">
        <v>113.805159</v>
      </c>
      <c r="AG23" s="12">
        <v>113.88067736000001</v>
      </c>
      <c r="AH23" s="12">
        <v>114.658596</v>
      </c>
      <c r="AI23" s="12">
        <v>114.756962</v>
      </c>
      <c r="AJ23" s="12">
        <v>103.05159500000001</v>
      </c>
      <c r="AK23" s="12">
        <v>115.34708999999999</v>
      </c>
      <c r="AL23" s="12">
        <v>104.069051</v>
      </c>
      <c r="AM23" s="12">
        <v>104.62666299999999</v>
      </c>
      <c r="AN23" s="12">
        <v>109.68248</v>
      </c>
      <c r="AO23" s="12">
        <v>104.520622</v>
      </c>
      <c r="AP23" s="12">
        <v>103.743206</v>
      </c>
      <c r="AQ23" s="12">
        <v>104.166212</v>
      </c>
      <c r="AR23" s="12">
        <v>104.86677899999999</v>
      </c>
      <c r="AS23" s="12">
        <v>110.132402</v>
      </c>
      <c r="AT23" s="12">
        <v>110.132402</v>
      </c>
      <c r="AU23" s="12">
        <v>111.32628099999999</v>
      </c>
      <c r="AV23" s="12">
        <v>110.613524</v>
      </c>
      <c r="AW23" s="12">
        <v>105.03438749999999</v>
      </c>
      <c r="AX23" s="12">
        <v>105.64822599999999</v>
      </c>
      <c r="AY23" s="12">
        <v>117.981459</v>
      </c>
      <c r="AZ23" s="12">
        <v>109.075838</v>
      </c>
      <c r="BA23" s="12">
        <v>108.18388299999999</v>
      </c>
      <c r="BB23" s="12">
        <v>107.638211</v>
      </c>
      <c r="BC23" s="12">
        <v>107.92473067</v>
      </c>
      <c r="BD23" s="12">
        <v>107.399828</v>
      </c>
      <c r="BE23" s="12">
        <v>108.154995</v>
      </c>
      <c r="BF23" s="12">
        <v>110.12352799999999</v>
      </c>
      <c r="BG23" s="12">
        <v>111.495171</v>
      </c>
      <c r="BH23" s="12">
        <v>111.495171</v>
      </c>
      <c r="BI23" s="12">
        <v>111.495171</v>
      </c>
      <c r="BJ23" s="12">
        <v>105.378364</v>
      </c>
      <c r="BK23" s="12">
        <v>106.07047799999999</v>
      </c>
      <c r="BL23" s="12">
        <v>114.745994</v>
      </c>
      <c r="BM23" s="12">
        <v>114.277725</v>
      </c>
      <c r="BN23" s="12">
        <v>110.056961</v>
      </c>
      <c r="BO23" s="12">
        <v>107.777338</v>
      </c>
      <c r="BP23" s="12">
        <v>110.34053400000001</v>
      </c>
      <c r="BQ23" s="12">
        <v>103.10738600000001</v>
      </c>
      <c r="BR23" s="12">
        <v>103.12903855</v>
      </c>
      <c r="BS23" s="12">
        <v>107.910825</v>
      </c>
      <c r="BT23" s="12">
        <v>108.86597633</v>
      </c>
      <c r="BU23" s="12">
        <v>114.30492174</v>
      </c>
      <c r="BV23" s="12">
        <v>117.865737</v>
      </c>
      <c r="BW23" s="12">
        <v>110.24037</v>
      </c>
      <c r="BX23" s="12">
        <v>110.707911</v>
      </c>
      <c r="BY23" s="12">
        <v>110.707911</v>
      </c>
      <c r="BZ23" s="12">
        <v>120.767574</v>
      </c>
      <c r="CA23" s="12">
        <v>115.036439</v>
      </c>
      <c r="CB23" s="12">
        <v>109.785224</v>
      </c>
      <c r="CC23" s="12">
        <v>109.719573</v>
      </c>
      <c r="CD23" s="12">
        <v>108.990325</v>
      </c>
      <c r="CE23" s="12">
        <v>113.476489</v>
      </c>
      <c r="CF23" s="12">
        <v>108.999083</v>
      </c>
      <c r="CG23" s="12">
        <v>117.865737</v>
      </c>
      <c r="CH23" s="12">
        <v>109.089974</v>
      </c>
      <c r="CI23" s="12">
        <v>109.07685600000001</v>
      </c>
      <c r="CJ23" s="12">
        <v>108.95396700000001</v>
      </c>
      <c r="CK23" s="12">
        <v>119.53025599999999</v>
      </c>
      <c r="CL23" s="12">
        <v>120.563135</v>
      </c>
      <c r="CM23" s="12">
        <v>118.625356</v>
      </c>
      <c r="CN23" s="12">
        <v>117.256416</v>
      </c>
      <c r="CO23" s="12">
        <v>118.81668000000001</v>
      </c>
      <c r="CP23" s="12">
        <v>109.33738700000001</v>
      </c>
      <c r="CQ23" s="12">
        <v>109.865813</v>
      </c>
      <c r="CR23" s="12">
        <v>112.7108052</v>
      </c>
      <c r="CS23" s="12">
        <v>114.43691800000001</v>
      </c>
      <c r="CT23" s="12">
        <v>106.28491</v>
      </c>
      <c r="CU23" s="12">
        <v>116.33601637</v>
      </c>
      <c r="CV23" s="12">
        <v>113.200648</v>
      </c>
      <c r="CW23" s="12">
        <v>107.796845</v>
      </c>
      <c r="CX23" s="12">
        <v>114.06007074999999</v>
      </c>
      <c r="CY23" s="12">
        <v>105.66377799999999</v>
      </c>
      <c r="CZ23" s="12">
        <v>107.59373600000001</v>
      </c>
      <c r="DA23" s="12">
        <v>108.15473</v>
      </c>
      <c r="DB23" s="12">
        <v>110.47538400000001</v>
      </c>
      <c r="DC23" s="12">
        <v>111.798221</v>
      </c>
      <c r="DD23" s="12">
        <v>112.14455700000001</v>
      </c>
      <c r="DE23" s="12">
        <v>110.24037</v>
      </c>
      <c r="DF23" s="12">
        <v>109.89120200000001</v>
      </c>
      <c r="DG23" s="12">
        <v>110.010043</v>
      </c>
      <c r="DH23" s="12">
        <v>110.707911</v>
      </c>
      <c r="DI23" s="12">
        <v>110.50554200000001</v>
      </c>
      <c r="DJ23" s="12">
        <v>110.22703</v>
      </c>
      <c r="DK23" s="12">
        <v>119.42369871</v>
      </c>
      <c r="DL23" s="12">
        <v>109.100515</v>
      </c>
      <c r="DM23" s="12">
        <v>108.90633800000001</v>
      </c>
      <c r="DN23" s="12">
        <v>106.99460766999999</v>
      </c>
      <c r="DO23" s="12">
        <v>118.852057</v>
      </c>
      <c r="DP23" s="12">
        <v>117.633765</v>
      </c>
      <c r="DQ23" s="12">
        <v>113.757677</v>
      </c>
      <c r="DR23" s="12">
        <v>99.611469999999997</v>
      </c>
      <c r="DS23" s="12">
        <v>117.53638100000001</v>
      </c>
      <c r="DT23" s="12">
        <v>107.395315</v>
      </c>
      <c r="DU23" s="12">
        <v>107.786097</v>
      </c>
      <c r="DV23" s="12">
        <v>110.00818099999999</v>
      </c>
      <c r="DW23" s="12">
        <v>110.798107</v>
      </c>
      <c r="DX23" s="12">
        <v>111.192205</v>
      </c>
      <c r="DY23" s="12">
        <v>102.873394</v>
      </c>
      <c r="DZ23" s="12">
        <v>99.447216999999995</v>
      </c>
      <c r="EA23" s="12">
        <v>99.447216999999995</v>
      </c>
      <c r="EB23" s="12">
        <v>106.29146308999999</v>
      </c>
      <c r="EC23" s="12">
        <v>109.371154</v>
      </c>
      <c r="ED23" s="12">
        <v>109.639571</v>
      </c>
      <c r="EE23" s="12">
        <v>106.685119</v>
      </c>
      <c r="EF23" s="12">
        <v>107.364588</v>
      </c>
      <c r="EG23" s="12">
        <v>102.988795</v>
      </c>
      <c r="EH23" s="12">
        <v>109.714203</v>
      </c>
      <c r="EI23" s="12">
        <v>122.55452411</v>
      </c>
      <c r="EJ23" s="12">
        <v>105.628439</v>
      </c>
      <c r="EK23" s="12">
        <v>105.628439</v>
      </c>
      <c r="EL23" s="12">
        <v>106.825013</v>
      </c>
      <c r="EM23" s="12">
        <v>110.003199</v>
      </c>
      <c r="EN23" s="12">
        <v>110.326268</v>
      </c>
      <c r="EO23" s="12">
        <v>110.24037</v>
      </c>
      <c r="EP23" s="12">
        <v>109.055284</v>
      </c>
      <c r="EQ23" s="12">
        <v>109.82675500000001</v>
      </c>
      <c r="ER23" s="12">
        <v>118.81366300000001</v>
      </c>
      <c r="ES23" s="12">
        <v>108.81095999999999</v>
      </c>
      <c r="ET23" s="12">
        <v>109.026076</v>
      </c>
      <c r="EU23" s="12">
        <v>111.5335647</v>
      </c>
      <c r="EV23" s="12">
        <v>106.894429</v>
      </c>
      <c r="EW23" s="12">
        <v>105.67613900000001</v>
      </c>
      <c r="EX23" s="12">
        <v>107.332984</v>
      </c>
      <c r="EY23" s="12">
        <v>111.597583</v>
      </c>
      <c r="EZ23" s="12">
        <v>102.53604</v>
      </c>
      <c r="FA23" s="12">
        <v>108.47322800000001</v>
      </c>
      <c r="FB23" s="12">
        <v>106.945221</v>
      </c>
      <c r="FC23" s="12">
        <v>109.38805600000001</v>
      </c>
      <c r="FD23" s="12">
        <v>109.79517199999999</v>
      </c>
      <c r="FE23" s="12">
        <v>109.965577</v>
      </c>
      <c r="FF23" s="12">
        <v>125.33335288000001</v>
      </c>
      <c r="FG23" s="12">
        <v>113.299992</v>
      </c>
      <c r="FH23" s="12">
        <v>118.792901</v>
      </c>
      <c r="FI23" s="12">
        <v>110.165556</v>
      </c>
      <c r="FJ23" s="12">
        <v>140.10264699000001</v>
      </c>
      <c r="FK23" s="12">
        <v>116.08466135</v>
      </c>
      <c r="FL23" s="12">
        <v>123.062775</v>
      </c>
      <c r="FM23" s="12">
        <v>101.7875615</v>
      </c>
      <c r="FN23" s="12">
        <v>102.444187</v>
      </c>
      <c r="FO23" s="12">
        <v>107.662577</v>
      </c>
      <c r="FP23" s="12">
        <v>108.95396700000001</v>
      </c>
      <c r="FQ23" s="12">
        <v>120.78218688</v>
      </c>
      <c r="FR23" s="12">
        <v>120.374317</v>
      </c>
      <c r="FS23" s="12">
        <v>120.767574</v>
      </c>
      <c r="FT23" s="12">
        <v>109.45995600000001</v>
      </c>
      <c r="FU23" s="12">
        <v>109.45995600000001</v>
      </c>
      <c r="FV23" s="12">
        <v>115.028032</v>
      </c>
      <c r="FW23" s="12">
        <v>115.028032</v>
      </c>
      <c r="FX23" s="12">
        <v>113.69846800000001</v>
      </c>
      <c r="FY23" s="12">
        <v>109.01437900000001</v>
      </c>
      <c r="FZ23" s="12">
        <v>108.922152</v>
      </c>
      <c r="GA23" s="12">
        <v>109.96465499999999</v>
      </c>
      <c r="GB23" s="12">
        <v>109.84181599999999</v>
      </c>
      <c r="GC23" s="12">
        <v>113.00603826</v>
      </c>
      <c r="GD23" s="12">
        <v>108.945757</v>
      </c>
      <c r="GE23" s="12">
        <v>112.617228</v>
      </c>
      <c r="GF23" s="12">
        <v>117.865737</v>
      </c>
      <c r="GG23" s="12">
        <v>117.865737</v>
      </c>
      <c r="GH23" s="12">
        <v>107.641232</v>
      </c>
      <c r="GI23" s="12">
        <v>104.48635833</v>
      </c>
      <c r="GJ23" s="12">
        <v>109.188846</v>
      </c>
      <c r="GK23" s="12">
        <v>109.89120200000001</v>
      </c>
      <c r="GL23" s="12">
        <v>113.82925348000001</v>
      </c>
      <c r="GM23" s="12">
        <v>97.536029999999997</v>
      </c>
      <c r="GN23" s="12">
        <v>113.82925348000001</v>
      </c>
      <c r="GO23" s="12">
        <v>109.45995600000001</v>
      </c>
      <c r="GP23" s="12">
        <v>109.529472</v>
      </c>
      <c r="GQ23" s="12">
        <v>109.166021</v>
      </c>
      <c r="GR23" s="12">
        <v>111.24164</v>
      </c>
      <c r="GS23" s="12">
        <v>106.698561</v>
      </c>
      <c r="GT23" s="12">
        <v>105.154944</v>
      </c>
      <c r="GU23" s="12">
        <v>110.606843</v>
      </c>
      <c r="GV23" s="12">
        <v>104.627167</v>
      </c>
      <c r="GW23" s="12">
        <v>116.88691799999999</v>
      </c>
      <c r="GX23" s="12">
        <v>109.102734</v>
      </c>
      <c r="GY23" s="12">
        <v>110.017358</v>
      </c>
      <c r="GZ23" s="12">
        <v>109.977074</v>
      </c>
      <c r="HA23" s="12">
        <v>110.606843</v>
      </c>
      <c r="HB23" s="12">
        <v>110.606843</v>
      </c>
      <c r="HC23" s="12">
        <v>110.606843</v>
      </c>
      <c r="HD23" s="12">
        <v>109.250018</v>
      </c>
      <c r="HE23" s="12">
        <v>118.65622</v>
      </c>
      <c r="HF23" s="12">
        <v>118.81366300000001</v>
      </c>
      <c r="HG23" s="12">
        <v>118.81366300000001</v>
      </c>
      <c r="HH23" s="12">
        <v>118.81366300000001</v>
      </c>
      <c r="HI23" s="12">
        <v>114.609222</v>
      </c>
      <c r="HJ23" s="12">
        <v>111.547251</v>
      </c>
      <c r="HK23" s="12">
        <v>111.154526</v>
      </c>
      <c r="HL23" s="12">
        <v>120.58920000000001</v>
      </c>
      <c r="HM23" s="12">
        <v>111.854304</v>
      </c>
      <c r="HN23" s="12">
        <v>115.901945</v>
      </c>
      <c r="HO23" s="12">
        <v>95.720006659999996</v>
      </c>
      <c r="HP23" s="12">
        <v>118.98176599999999</v>
      </c>
      <c r="HQ23" s="12">
        <v>109.87771100000001</v>
      </c>
      <c r="HR23" s="12">
        <v>110.17013300000001</v>
      </c>
      <c r="HS23" s="12">
        <v>110.68387800000001</v>
      </c>
      <c r="HT23" s="12">
        <v>107.121396</v>
      </c>
      <c r="HU23" s="12">
        <v>103.30283794</v>
      </c>
      <c r="HV23" s="12">
        <v>103.1543875</v>
      </c>
      <c r="HW23" s="12">
        <v>103.617333</v>
      </c>
      <c r="HX23" s="12">
        <v>109.98903143</v>
      </c>
      <c r="HY23" s="12">
        <v>110.330988</v>
      </c>
      <c r="HZ23" s="12">
        <v>121.252256</v>
      </c>
      <c r="IA23" s="12"/>
      <c r="IB23" s="12"/>
      <c r="IC23" s="12"/>
      <c r="ID23" s="12"/>
      <c r="IE23" s="12"/>
      <c r="IF23" s="12"/>
      <c r="IG23" s="12"/>
      <c r="IH23" s="12"/>
      <c r="II23" s="12"/>
      <c r="IJ23" s="12"/>
      <c r="IK23" s="12"/>
    </row>
    <row r="24" spans="1:245" x14ac:dyDescent="0.25">
      <c r="A24" s="11">
        <v>46049.479166666664</v>
      </c>
      <c r="B24" s="12">
        <v>123.54056713999999</v>
      </c>
      <c r="C24" s="12">
        <v>120.82669</v>
      </c>
      <c r="D24" s="12">
        <v>121.18485099999999</v>
      </c>
      <c r="E24" s="12">
        <v>120.969888</v>
      </c>
      <c r="F24" s="12">
        <v>120.82669</v>
      </c>
      <c r="G24" s="12">
        <v>113.554357</v>
      </c>
      <c r="H24" s="12">
        <v>116.476743</v>
      </c>
      <c r="I24" s="12">
        <v>115.93007299999999</v>
      </c>
      <c r="J24" s="12">
        <v>116.89567599999999</v>
      </c>
      <c r="K24" s="12">
        <v>112.343537</v>
      </c>
      <c r="L24" s="12">
        <v>122.424758</v>
      </c>
      <c r="M24" s="12">
        <v>113.848792</v>
      </c>
      <c r="N24" s="12">
        <v>111.983846</v>
      </c>
      <c r="O24" s="12">
        <v>124.457961</v>
      </c>
      <c r="P24" s="12">
        <v>115.53933031</v>
      </c>
      <c r="Q24" s="12">
        <v>117.141397</v>
      </c>
      <c r="R24" s="12">
        <v>114.385009</v>
      </c>
      <c r="S24" s="12">
        <v>122.75433099999999</v>
      </c>
      <c r="T24" s="12">
        <v>106.666747</v>
      </c>
      <c r="U24" s="12">
        <v>107.371782</v>
      </c>
      <c r="V24" s="12">
        <v>120.694723</v>
      </c>
      <c r="W24" s="12">
        <v>114.73026299999999</v>
      </c>
      <c r="X24" s="12">
        <v>110.39130400000001</v>
      </c>
      <c r="Y24" s="12">
        <v>112.90397900000001</v>
      </c>
      <c r="Z24" s="12">
        <v>116.67502399999999</v>
      </c>
      <c r="AA24" s="12">
        <v>109.263527</v>
      </c>
      <c r="AB24" s="12">
        <v>117.24603999999999</v>
      </c>
      <c r="AC24" s="12">
        <v>115.095775</v>
      </c>
      <c r="AD24" s="12">
        <v>114.46164899999999</v>
      </c>
      <c r="AE24" s="12">
        <v>110.90737300000001</v>
      </c>
      <c r="AF24" s="12">
        <v>119.38385649999999</v>
      </c>
      <c r="AG24" s="12">
        <v>119.49105923</v>
      </c>
      <c r="AH24" s="12">
        <v>120.37149700000001</v>
      </c>
      <c r="AI24" s="12">
        <v>120.422166</v>
      </c>
      <c r="AJ24" s="12">
        <v>107.762916</v>
      </c>
      <c r="AK24" s="12">
        <v>120.95665200000001</v>
      </c>
      <c r="AL24" s="12">
        <v>108.66124633</v>
      </c>
      <c r="AM24" s="12">
        <v>109.268235</v>
      </c>
      <c r="AN24" s="12">
        <v>115.12438299999999</v>
      </c>
      <c r="AO24" s="12">
        <v>109.781217</v>
      </c>
      <c r="AP24" s="12">
        <v>108.26774399999999</v>
      </c>
      <c r="AQ24" s="12">
        <v>108.726404</v>
      </c>
      <c r="AR24" s="12">
        <v>109.74535400000001</v>
      </c>
      <c r="AS24" s="12">
        <v>115.729477</v>
      </c>
      <c r="AT24" s="12">
        <v>115.729477</v>
      </c>
      <c r="AU24" s="12">
        <v>117.008698</v>
      </c>
      <c r="AV24" s="12">
        <v>115.275155</v>
      </c>
      <c r="AW24" s="12">
        <v>109.7055</v>
      </c>
      <c r="AX24" s="12">
        <v>110.35253299999999</v>
      </c>
      <c r="AY24" s="12">
        <v>123.822712</v>
      </c>
      <c r="AZ24" s="12">
        <v>113.76536</v>
      </c>
      <c r="BA24" s="12">
        <v>112.796629</v>
      </c>
      <c r="BB24" s="12">
        <v>112.20987649999999</v>
      </c>
      <c r="BC24" s="12">
        <v>112.47295867</v>
      </c>
      <c r="BD24" s="12">
        <v>111.949428</v>
      </c>
      <c r="BE24" s="12">
        <v>112.761803</v>
      </c>
      <c r="BF24" s="12">
        <v>115.69802300000001</v>
      </c>
      <c r="BG24" s="12">
        <v>117.196333</v>
      </c>
      <c r="BH24" s="12">
        <v>117.196333</v>
      </c>
      <c r="BI24" s="12">
        <v>117.196333</v>
      </c>
      <c r="BJ24" s="12">
        <v>109.93520100000001</v>
      </c>
      <c r="BK24" s="12">
        <v>110.677386</v>
      </c>
      <c r="BL24" s="12">
        <v>120.09083099999999</v>
      </c>
      <c r="BM24" s="12">
        <v>119.588255</v>
      </c>
      <c r="BN24" s="12">
        <v>116.068215</v>
      </c>
      <c r="BO24" s="12">
        <v>113.41633</v>
      </c>
      <c r="BP24" s="12">
        <v>116.124392</v>
      </c>
      <c r="BQ24" s="12">
        <v>107.835959</v>
      </c>
      <c r="BR24" s="12">
        <v>107.85860455</v>
      </c>
      <c r="BS24" s="12">
        <v>113.20688199999999</v>
      </c>
      <c r="BT24" s="12">
        <v>113.85720449999999</v>
      </c>
      <c r="BU24" s="12">
        <v>120.69888347</v>
      </c>
      <c r="BV24" s="12">
        <v>123.68810499999999</v>
      </c>
      <c r="BW24" s="12">
        <v>115.79771599999999</v>
      </c>
      <c r="BX24" s="12">
        <v>116.835461</v>
      </c>
      <c r="BY24" s="12">
        <v>116.90066400000001</v>
      </c>
      <c r="BZ24" s="12">
        <v>127.16579400000001</v>
      </c>
      <c r="CA24" s="12">
        <v>121.343146</v>
      </c>
      <c r="CB24" s="12">
        <v>115.537288</v>
      </c>
      <c r="CC24" s="12">
        <v>115.81666300000001</v>
      </c>
      <c r="CD24" s="12">
        <v>114.99729600000001</v>
      </c>
      <c r="CE24" s="12">
        <v>119.769227</v>
      </c>
      <c r="CF24" s="12">
        <v>113.622682</v>
      </c>
      <c r="CG24" s="12">
        <v>123.68810499999999</v>
      </c>
      <c r="CH24" s="12">
        <v>113.77992500000001</v>
      </c>
      <c r="CI24" s="12">
        <v>113.76640999999999</v>
      </c>
      <c r="CJ24" s="12">
        <v>113.966843</v>
      </c>
      <c r="CK24" s="12">
        <v>125.423389</v>
      </c>
      <c r="CL24" s="12">
        <v>126.53555</v>
      </c>
      <c r="CM24" s="12">
        <v>124.53671799999999</v>
      </c>
      <c r="CN24" s="12">
        <v>122.97917700000001</v>
      </c>
      <c r="CO24" s="12">
        <v>124.55939499999999</v>
      </c>
      <c r="CP24" s="12">
        <v>114.24236399999999</v>
      </c>
      <c r="CQ24" s="12">
        <v>114.940602</v>
      </c>
      <c r="CR24" s="12">
        <v>117.99657103</v>
      </c>
      <c r="CS24" s="12">
        <v>119.40133299999999</v>
      </c>
      <c r="CT24" s="12">
        <v>111.48533399999999</v>
      </c>
      <c r="CU24" s="12">
        <v>122.05614138</v>
      </c>
      <c r="CV24" s="12">
        <v>118.60467300000001</v>
      </c>
      <c r="CW24" s="12">
        <v>112.455489</v>
      </c>
      <c r="CX24" s="12">
        <v>119.75116101</v>
      </c>
      <c r="CY24" s="12">
        <v>110.381173</v>
      </c>
      <c r="CZ24" s="12">
        <v>112.09237400000001</v>
      </c>
      <c r="DA24" s="12">
        <v>112.698337</v>
      </c>
      <c r="DB24" s="12">
        <v>116.670694</v>
      </c>
      <c r="DC24" s="12">
        <v>117.52928199999999</v>
      </c>
      <c r="DD24" s="12">
        <v>117.917252</v>
      </c>
      <c r="DE24" s="12">
        <v>115.79771599999999</v>
      </c>
      <c r="DF24" s="12">
        <v>115.436273</v>
      </c>
      <c r="DG24" s="12">
        <v>116.30318699999999</v>
      </c>
      <c r="DH24" s="12">
        <v>116.90066400000001</v>
      </c>
      <c r="DI24" s="12">
        <v>115.194289</v>
      </c>
      <c r="DJ24" s="12">
        <v>115.798862</v>
      </c>
      <c r="DK24" s="12">
        <v>125.9709309</v>
      </c>
      <c r="DL24" s="12">
        <v>114.481258</v>
      </c>
      <c r="DM24" s="12">
        <v>114.282792</v>
      </c>
      <c r="DN24" s="12">
        <v>111.51514632999999</v>
      </c>
      <c r="DO24" s="12">
        <v>124.766617</v>
      </c>
      <c r="DP24" s="12">
        <v>123.38091799999999</v>
      </c>
      <c r="DQ24" s="12">
        <v>119.21262900000001</v>
      </c>
      <c r="DR24" s="12">
        <v>104.078428</v>
      </c>
      <c r="DS24" s="12">
        <v>123.26892700000001</v>
      </c>
      <c r="DT24" s="12">
        <v>111.936893</v>
      </c>
      <c r="DU24" s="12">
        <v>112.36294599999999</v>
      </c>
      <c r="DV24" s="12">
        <v>114.88051900000001</v>
      </c>
      <c r="DW24" s="12">
        <v>116.41705899999999</v>
      </c>
      <c r="DX24" s="12">
        <v>116.84733199999999</v>
      </c>
      <c r="DY24" s="12">
        <v>108.417284</v>
      </c>
      <c r="DZ24" s="12">
        <v>106.493978</v>
      </c>
      <c r="EA24" s="12">
        <v>106.493978</v>
      </c>
      <c r="EB24" s="12">
        <v>111.27605376</v>
      </c>
      <c r="EC24" s="12">
        <v>114.307925</v>
      </c>
      <c r="ED24" s="12">
        <v>114.574635</v>
      </c>
      <c r="EE24" s="12">
        <v>111.199421</v>
      </c>
      <c r="EF24" s="12">
        <v>111.935401</v>
      </c>
      <c r="EG24" s="12">
        <v>107.844087</v>
      </c>
      <c r="EH24" s="12">
        <v>114.68342800000001</v>
      </c>
      <c r="EI24" s="12">
        <v>128.66944982000001</v>
      </c>
      <c r="EJ24" s="12">
        <v>110.587549</v>
      </c>
      <c r="EK24" s="12">
        <v>110.587549</v>
      </c>
      <c r="EL24" s="12">
        <v>112.093333</v>
      </c>
      <c r="EM24" s="12">
        <v>115.554017</v>
      </c>
      <c r="EN24" s="12">
        <v>115.89337999999999</v>
      </c>
      <c r="EO24" s="12">
        <v>115.79771599999999</v>
      </c>
      <c r="EP24" s="12">
        <v>113.30185</v>
      </c>
      <c r="EQ24" s="12">
        <v>115.150918</v>
      </c>
      <c r="ER24" s="12">
        <v>124.72163399999999</v>
      </c>
      <c r="ES24" s="12">
        <v>113.45641999999999</v>
      </c>
      <c r="ET24" s="12">
        <v>113.707323</v>
      </c>
      <c r="EU24" s="12">
        <v>116.31261978000001</v>
      </c>
      <c r="EV24" s="12">
        <v>111.689769</v>
      </c>
      <c r="EW24" s="12">
        <v>110.56515400000001</v>
      </c>
      <c r="EX24" s="12">
        <v>112.071242</v>
      </c>
      <c r="EY24" s="12">
        <v>117.08472399999999</v>
      </c>
      <c r="EZ24" s="12">
        <v>107.343135</v>
      </c>
      <c r="FA24" s="12">
        <v>113.32455299999999</v>
      </c>
      <c r="FB24" s="12">
        <v>111.739626</v>
      </c>
      <c r="FC24" s="12">
        <v>114.57811100000001</v>
      </c>
      <c r="FD24" s="12">
        <v>114.863806</v>
      </c>
      <c r="FE24" s="12">
        <v>114.983463</v>
      </c>
      <c r="FF24" s="12">
        <v>131.17672730999999</v>
      </c>
      <c r="FG24" s="12">
        <v>118.80458</v>
      </c>
      <c r="FH24" s="12">
        <v>124.678822</v>
      </c>
      <c r="FI24" s="12">
        <v>114.947502</v>
      </c>
      <c r="FJ24" s="12">
        <v>146.90831281000001</v>
      </c>
      <c r="FK24" s="12">
        <v>121.56473179</v>
      </c>
      <c r="FL24" s="12">
        <v>129.16332399999999</v>
      </c>
      <c r="FM24" s="12">
        <v>105.8759945</v>
      </c>
      <c r="FN24" s="12">
        <v>106.586564</v>
      </c>
      <c r="FO24" s="12">
        <v>112.404708</v>
      </c>
      <c r="FP24" s="12">
        <v>113.966843</v>
      </c>
      <c r="FQ24" s="12">
        <v>127.18118106</v>
      </c>
      <c r="FR24" s="12">
        <v>126.725932</v>
      </c>
      <c r="FS24" s="12">
        <v>127.16579400000001</v>
      </c>
      <c r="FT24" s="12">
        <v>114.98529600000001</v>
      </c>
      <c r="FU24" s="12">
        <v>114.98529600000001</v>
      </c>
      <c r="FV24" s="12">
        <v>120.942879</v>
      </c>
      <c r="FW24" s="12">
        <v>120.942879</v>
      </c>
      <c r="FX24" s="12">
        <v>119.49596200000001</v>
      </c>
      <c r="FY24" s="12">
        <v>114.40906200000001</v>
      </c>
      <c r="FZ24" s="12">
        <v>114.309254</v>
      </c>
      <c r="GA24" s="12">
        <v>115.82329</v>
      </c>
      <c r="GB24" s="12">
        <v>115.75098199999999</v>
      </c>
      <c r="GC24" s="12">
        <v>118.15439203</v>
      </c>
      <c r="GD24" s="12">
        <v>114.945877</v>
      </c>
      <c r="GE24" s="12">
        <v>117.961482</v>
      </c>
      <c r="GF24" s="12">
        <v>123.68810499999999</v>
      </c>
      <c r="GG24" s="12">
        <v>123.68810499999999</v>
      </c>
      <c r="GH24" s="12">
        <v>112.75420099999999</v>
      </c>
      <c r="GI24" s="12">
        <v>109.22486499999999</v>
      </c>
      <c r="GJ24" s="12">
        <v>114.92449000000001</v>
      </c>
      <c r="GK24" s="12">
        <v>115.436273</v>
      </c>
      <c r="GL24" s="12">
        <v>119.50882697999999</v>
      </c>
      <c r="GM24" s="12">
        <v>101.94363199999999</v>
      </c>
      <c r="GN24" s="12">
        <v>119.50882697999999</v>
      </c>
      <c r="GO24" s="12">
        <v>114.98529600000001</v>
      </c>
      <c r="GP24" s="12">
        <v>114.15568399999999</v>
      </c>
      <c r="GQ24" s="12">
        <v>114.774754</v>
      </c>
      <c r="GR24" s="12">
        <v>116.297371</v>
      </c>
      <c r="GS24" s="12">
        <v>111.34183</v>
      </c>
      <c r="GT24" s="12">
        <v>109.79620300000001</v>
      </c>
      <c r="GU24" s="12">
        <v>115.133438</v>
      </c>
      <c r="GV24" s="12">
        <v>110.202929</v>
      </c>
      <c r="GW24" s="12">
        <v>122.56485000000001</v>
      </c>
      <c r="GX24" s="12">
        <v>114.57795299999999</v>
      </c>
      <c r="GY24" s="12">
        <v>115.525969</v>
      </c>
      <c r="GZ24" s="12">
        <v>115.483192</v>
      </c>
      <c r="HA24" s="12">
        <v>115.133438</v>
      </c>
      <c r="HB24" s="12">
        <v>114.898866</v>
      </c>
      <c r="HC24" s="12">
        <v>115.055284</v>
      </c>
      <c r="HD24" s="12">
        <v>114.84751199999999</v>
      </c>
      <c r="HE24" s="12">
        <v>124.55184199999999</v>
      </c>
      <c r="HF24" s="12">
        <v>124.72163399999999</v>
      </c>
      <c r="HG24" s="12">
        <v>124.72163399999999</v>
      </c>
      <c r="HH24" s="12">
        <v>124.72163399999999</v>
      </c>
      <c r="HI24" s="12">
        <v>120.25134300000001</v>
      </c>
      <c r="HJ24" s="12">
        <v>117.096799</v>
      </c>
      <c r="HK24" s="12">
        <v>116.692705</v>
      </c>
      <c r="HL24" s="12">
        <v>126.83694</v>
      </c>
      <c r="HM24" s="12">
        <v>117.574749</v>
      </c>
      <c r="HN24" s="12">
        <v>121.425544</v>
      </c>
      <c r="HO24" s="12">
        <v>100.04554352</v>
      </c>
      <c r="HP24" s="12">
        <v>124.905591</v>
      </c>
      <c r="HQ24" s="12">
        <v>114.5551425</v>
      </c>
      <c r="HR24" s="12">
        <v>114.88484200000001</v>
      </c>
      <c r="HS24" s="12">
        <v>115.874875</v>
      </c>
      <c r="HT24" s="12">
        <v>111.80372199999999</v>
      </c>
      <c r="HU24" s="12">
        <v>107.93709945000001</v>
      </c>
      <c r="HV24" s="12">
        <v>107.638532</v>
      </c>
      <c r="HW24" s="12">
        <v>108.137236</v>
      </c>
      <c r="HX24" s="12">
        <v>115.45857762</v>
      </c>
      <c r="HY24" s="12">
        <v>115.103021</v>
      </c>
      <c r="HZ24" s="12">
        <v>127.278104</v>
      </c>
      <c r="IA24" s="12"/>
      <c r="IB24" s="12"/>
      <c r="IC24" s="12"/>
      <c r="ID24" s="12"/>
      <c r="IE24" s="12"/>
      <c r="IF24" s="12"/>
      <c r="IG24" s="12"/>
      <c r="IH24" s="12"/>
      <c r="II24" s="12"/>
      <c r="IJ24" s="12"/>
      <c r="IK24" s="12"/>
    </row>
    <row r="25" spans="1:245" x14ac:dyDescent="0.25">
      <c r="A25" s="11">
        <v>46049.5</v>
      </c>
      <c r="B25" s="12">
        <v>122.91467116</v>
      </c>
      <c r="C25" s="12">
        <v>114.853072</v>
      </c>
      <c r="D25" s="12">
        <v>115.584715</v>
      </c>
      <c r="E25" s="12">
        <v>115.375011</v>
      </c>
      <c r="F25" s="12">
        <v>115.240726</v>
      </c>
      <c r="G25" s="12">
        <v>113.45670200000001</v>
      </c>
      <c r="H25" s="12">
        <v>114.955146</v>
      </c>
      <c r="I25" s="12">
        <v>114.524159</v>
      </c>
      <c r="J25" s="12">
        <v>115.284008</v>
      </c>
      <c r="K25" s="12">
        <v>112.388065</v>
      </c>
      <c r="L25" s="12">
        <v>117.7745</v>
      </c>
      <c r="M25" s="12">
        <v>112.107247</v>
      </c>
      <c r="N25" s="12">
        <v>110.226894</v>
      </c>
      <c r="O25" s="12">
        <v>123.588837</v>
      </c>
      <c r="P25" s="12">
        <v>114.98070856</v>
      </c>
      <c r="Q25" s="12">
        <v>115.359106</v>
      </c>
      <c r="R25" s="12">
        <v>112.806184</v>
      </c>
      <c r="S25" s="12">
        <v>121.888977</v>
      </c>
      <c r="T25" s="12">
        <v>106.38950800000001</v>
      </c>
      <c r="U25" s="12">
        <v>107.05821899999999</v>
      </c>
      <c r="V25" s="12">
        <v>119.824724</v>
      </c>
      <c r="W25" s="12">
        <v>114.152863</v>
      </c>
      <c r="X25" s="12">
        <v>109.631832</v>
      </c>
      <c r="Y25" s="12">
        <v>112.28288000000001</v>
      </c>
      <c r="Z25" s="12">
        <v>114.87512099999999</v>
      </c>
      <c r="AA25" s="12">
        <v>108.404499</v>
      </c>
      <c r="AB25" s="12">
        <v>115.842029</v>
      </c>
      <c r="AC25" s="12">
        <v>114.510099</v>
      </c>
      <c r="AD25" s="12">
        <v>113.88554600000001</v>
      </c>
      <c r="AE25" s="12">
        <v>109.87145200000001</v>
      </c>
      <c r="AF25" s="12">
        <v>118.5903935</v>
      </c>
      <c r="AG25" s="12">
        <v>118.68407386</v>
      </c>
      <c r="AH25" s="12">
        <v>119.522496</v>
      </c>
      <c r="AI25" s="12">
        <v>119.60321399999999</v>
      </c>
      <c r="AJ25" s="12">
        <v>106.941604</v>
      </c>
      <c r="AK25" s="12">
        <v>120.092287</v>
      </c>
      <c r="AL25" s="12">
        <v>107.89754133</v>
      </c>
      <c r="AM25" s="12">
        <v>108.481579</v>
      </c>
      <c r="AN25" s="12">
        <v>113.255638</v>
      </c>
      <c r="AO25" s="12">
        <v>109.11199000000001</v>
      </c>
      <c r="AP25" s="12">
        <v>106.99353000000001</v>
      </c>
      <c r="AQ25" s="12">
        <v>107.451459</v>
      </c>
      <c r="AR25" s="12">
        <v>107.812528</v>
      </c>
      <c r="AS25" s="12">
        <v>113.930905</v>
      </c>
      <c r="AT25" s="12">
        <v>113.930905</v>
      </c>
      <c r="AU25" s="12">
        <v>115.215354</v>
      </c>
      <c r="AV25" s="12">
        <v>114.7488915</v>
      </c>
      <c r="AW25" s="12">
        <v>109.70050000000001</v>
      </c>
      <c r="AX25" s="12">
        <v>110.264737</v>
      </c>
      <c r="AY25" s="12">
        <v>123.240719</v>
      </c>
      <c r="AZ25" s="12">
        <v>113.24634399999999</v>
      </c>
      <c r="BA25" s="12">
        <v>112.580247</v>
      </c>
      <c r="BB25" s="12">
        <v>111.98796350000001</v>
      </c>
      <c r="BC25" s="12">
        <v>112.25520433</v>
      </c>
      <c r="BD25" s="12">
        <v>112.017999</v>
      </c>
      <c r="BE25" s="12">
        <v>112.54523399999999</v>
      </c>
      <c r="BF25" s="12">
        <v>113.883601</v>
      </c>
      <c r="BG25" s="12">
        <v>115.406272</v>
      </c>
      <c r="BH25" s="12">
        <v>115.406272</v>
      </c>
      <c r="BI25" s="12">
        <v>115.406272</v>
      </c>
      <c r="BJ25" s="12">
        <v>109.27231</v>
      </c>
      <c r="BK25" s="12">
        <v>110.001035</v>
      </c>
      <c r="BL25" s="12">
        <v>119.148658</v>
      </c>
      <c r="BM25" s="12">
        <v>118.755652</v>
      </c>
      <c r="BN25" s="12">
        <v>114.945312</v>
      </c>
      <c r="BO25" s="12">
        <v>112.270831</v>
      </c>
      <c r="BP25" s="12">
        <v>114.51666299999999</v>
      </c>
      <c r="BQ25" s="12">
        <v>106.99724000000001</v>
      </c>
      <c r="BR25" s="12">
        <v>107.01970942</v>
      </c>
      <c r="BS25" s="12">
        <v>111.822647</v>
      </c>
      <c r="BT25" s="12">
        <v>112.89318367</v>
      </c>
      <c r="BU25" s="12">
        <v>119.34069112</v>
      </c>
      <c r="BV25" s="12">
        <v>123.122179</v>
      </c>
      <c r="BW25" s="12">
        <v>113.920423</v>
      </c>
      <c r="BX25" s="12">
        <v>115.54198</v>
      </c>
      <c r="BY25" s="12">
        <v>115.585212</v>
      </c>
      <c r="BZ25" s="12">
        <v>121.336077</v>
      </c>
      <c r="CA25" s="12">
        <v>120.243972</v>
      </c>
      <c r="CB25" s="12">
        <v>114.637421</v>
      </c>
      <c r="CC25" s="12">
        <v>114.233763</v>
      </c>
      <c r="CD25" s="12">
        <v>113.420563</v>
      </c>
      <c r="CE25" s="12">
        <v>118.530439</v>
      </c>
      <c r="CF25" s="12">
        <v>112.321502</v>
      </c>
      <c r="CG25" s="12">
        <v>123.122179</v>
      </c>
      <c r="CH25" s="12">
        <v>113.262039</v>
      </c>
      <c r="CI25" s="12">
        <v>113.24747499999999</v>
      </c>
      <c r="CJ25" s="12">
        <v>112.745069</v>
      </c>
      <c r="CK25" s="12">
        <v>125.04517199999999</v>
      </c>
      <c r="CL25" s="12">
        <v>126.1538</v>
      </c>
      <c r="CM25" s="12">
        <v>123.87163700000001</v>
      </c>
      <c r="CN25" s="12">
        <v>122.498</v>
      </c>
      <c r="CO25" s="12">
        <v>124.140303</v>
      </c>
      <c r="CP25" s="12">
        <v>113.66147599999999</v>
      </c>
      <c r="CQ25" s="12">
        <v>113.975632</v>
      </c>
      <c r="CR25" s="12">
        <v>117.02748298</v>
      </c>
      <c r="CS25" s="12">
        <v>118.879682</v>
      </c>
      <c r="CT25" s="12">
        <v>110.479797</v>
      </c>
      <c r="CU25" s="12">
        <v>120.96915896</v>
      </c>
      <c r="CV25" s="12">
        <v>115.603335</v>
      </c>
      <c r="CW25" s="12">
        <v>111.818293</v>
      </c>
      <c r="CX25" s="12">
        <v>117.90380356999999</v>
      </c>
      <c r="CY25" s="12">
        <v>109.61307499999999</v>
      </c>
      <c r="CZ25" s="12">
        <v>111.53207367</v>
      </c>
      <c r="DA25" s="12">
        <v>112.137505</v>
      </c>
      <c r="DB25" s="12">
        <v>115.19348100000001</v>
      </c>
      <c r="DC25" s="12">
        <v>115.731745</v>
      </c>
      <c r="DD25" s="12">
        <v>116.12822799999999</v>
      </c>
      <c r="DE25" s="12">
        <v>113.920423</v>
      </c>
      <c r="DF25" s="12">
        <v>113.558286</v>
      </c>
      <c r="DG25" s="12">
        <v>114.94832</v>
      </c>
      <c r="DH25" s="12">
        <v>115.585212</v>
      </c>
      <c r="DI25" s="12">
        <v>114.726107</v>
      </c>
      <c r="DJ25" s="12">
        <v>114.284193</v>
      </c>
      <c r="DK25" s="12">
        <v>124.82983659999999</v>
      </c>
      <c r="DL25" s="12">
        <v>112.657162</v>
      </c>
      <c r="DM25" s="12">
        <v>112.462952</v>
      </c>
      <c r="DN25" s="12">
        <v>111.69505233</v>
      </c>
      <c r="DO25" s="12">
        <v>124.122035</v>
      </c>
      <c r="DP25" s="12">
        <v>122.73513199999999</v>
      </c>
      <c r="DQ25" s="12">
        <v>118.24565200000001</v>
      </c>
      <c r="DR25" s="12">
        <v>103.250259</v>
      </c>
      <c r="DS25" s="12">
        <v>122.61533799999999</v>
      </c>
      <c r="DT25" s="12">
        <v>111.719098</v>
      </c>
      <c r="DU25" s="12">
        <v>112.145852</v>
      </c>
      <c r="DV25" s="12">
        <v>114.28841300000001</v>
      </c>
      <c r="DW25" s="12">
        <v>114.505876</v>
      </c>
      <c r="DX25" s="12">
        <v>114.886002</v>
      </c>
      <c r="DY25" s="12">
        <v>106.884511</v>
      </c>
      <c r="DZ25" s="12">
        <v>106.20166500000001</v>
      </c>
      <c r="EA25" s="12">
        <v>106.20166500000001</v>
      </c>
      <c r="EB25" s="12">
        <v>109.43363382</v>
      </c>
      <c r="EC25" s="12">
        <v>113.02148800000001</v>
      </c>
      <c r="ED25" s="12">
        <v>113.273003</v>
      </c>
      <c r="EE25" s="12">
        <v>110.644373</v>
      </c>
      <c r="EF25" s="12">
        <v>111.351767</v>
      </c>
      <c r="EG25" s="12">
        <v>106.244266</v>
      </c>
      <c r="EH25" s="12">
        <v>113.996627</v>
      </c>
      <c r="EI25" s="12">
        <v>126.68451319</v>
      </c>
      <c r="EJ25" s="12">
        <v>108.705169</v>
      </c>
      <c r="EK25" s="12">
        <v>108.705169</v>
      </c>
      <c r="EL25" s="12">
        <v>111.087907</v>
      </c>
      <c r="EM25" s="12">
        <v>113.636549</v>
      </c>
      <c r="EN25" s="12">
        <v>114.04844900000001</v>
      </c>
      <c r="EO25" s="12">
        <v>113.920423</v>
      </c>
      <c r="EP25" s="12">
        <v>113.081559</v>
      </c>
      <c r="EQ25" s="12">
        <v>113.69928400000001</v>
      </c>
      <c r="ER25" s="12">
        <v>124.078897</v>
      </c>
      <c r="ES25" s="12">
        <v>112.942083</v>
      </c>
      <c r="ET25" s="12">
        <v>113.18918499999999</v>
      </c>
      <c r="EU25" s="12">
        <v>115.72865244</v>
      </c>
      <c r="EV25" s="12">
        <v>110.871399</v>
      </c>
      <c r="EW25" s="12">
        <v>109.823697</v>
      </c>
      <c r="EX25" s="12">
        <v>111.34749600000001</v>
      </c>
      <c r="EY25" s="12">
        <v>116.04201500000001</v>
      </c>
      <c r="EZ25" s="12">
        <v>105.63054700000001</v>
      </c>
      <c r="FA25" s="12">
        <v>111.981926</v>
      </c>
      <c r="FB25" s="12">
        <v>110.45989899999999</v>
      </c>
      <c r="FC25" s="12">
        <v>113.90131100000001</v>
      </c>
      <c r="FD25" s="12">
        <v>114.11655399999999</v>
      </c>
      <c r="FE25" s="12">
        <v>114.206729</v>
      </c>
      <c r="FF25" s="12">
        <v>130.04816149000001</v>
      </c>
      <c r="FG25" s="12">
        <v>114.677297</v>
      </c>
      <c r="FH25" s="12">
        <v>124.05573200000001</v>
      </c>
      <c r="FI25" s="12">
        <v>114.40813199999999</v>
      </c>
      <c r="FJ25" s="12">
        <v>146.10376872000001</v>
      </c>
      <c r="FK25" s="12">
        <v>120.55980418</v>
      </c>
      <c r="FL25" s="12">
        <v>128.383523</v>
      </c>
      <c r="FM25" s="12">
        <v>107.160811</v>
      </c>
      <c r="FN25" s="12">
        <v>107.727688</v>
      </c>
      <c r="FO25" s="12">
        <v>111.71908500000001</v>
      </c>
      <c r="FP25" s="12">
        <v>112.745069</v>
      </c>
      <c r="FQ25" s="12">
        <v>121.35075867</v>
      </c>
      <c r="FR25" s="12">
        <v>120.91287699999999</v>
      </c>
      <c r="FS25" s="12">
        <v>121.336077</v>
      </c>
      <c r="FT25" s="12">
        <v>113.202901</v>
      </c>
      <c r="FU25" s="12">
        <v>113.202901</v>
      </c>
      <c r="FV25" s="12">
        <v>119.29892100000001</v>
      </c>
      <c r="FW25" s="12">
        <v>119.29892100000001</v>
      </c>
      <c r="FX25" s="12">
        <v>117.857241</v>
      </c>
      <c r="FY25" s="12">
        <v>112.58245100000001</v>
      </c>
      <c r="FZ25" s="12">
        <v>112.487725</v>
      </c>
      <c r="GA25" s="12">
        <v>114.091945</v>
      </c>
      <c r="GB25" s="12">
        <v>113.907893</v>
      </c>
      <c r="GC25" s="12">
        <v>117.3927635</v>
      </c>
      <c r="GD25" s="12">
        <v>113.373183</v>
      </c>
      <c r="GE25" s="12">
        <v>116.90257200000001</v>
      </c>
      <c r="GF25" s="12">
        <v>123.122179</v>
      </c>
      <c r="GG25" s="12">
        <v>123.122179</v>
      </c>
      <c r="GH25" s="12">
        <v>110.779045</v>
      </c>
      <c r="GI25" s="12">
        <v>108.36695367</v>
      </c>
      <c r="GJ25" s="12">
        <v>112.010729</v>
      </c>
      <c r="GK25" s="12">
        <v>113.558286</v>
      </c>
      <c r="GL25" s="12">
        <v>117.66520794</v>
      </c>
      <c r="GM25" s="12">
        <v>100.26112500000001</v>
      </c>
      <c r="GN25" s="12">
        <v>117.66520794</v>
      </c>
      <c r="GO25" s="12">
        <v>113.202901</v>
      </c>
      <c r="GP25" s="12">
        <v>113.96487500000001</v>
      </c>
      <c r="GQ25" s="12">
        <v>112.94222000000001</v>
      </c>
      <c r="GR25" s="12">
        <v>114.90856700000001</v>
      </c>
      <c r="GS25" s="12">
        <v>110.667863</v>
      </c>
      <c r="GT25" s="12">
        <v>108.682598</v>
      </c>
      <c r="GU25" s="12">
        <v>114.67011100000001</v>
      </c>
      <c r="GV25" s="12">
        <v>108.55663800000001</v>
      </c>
      <c r="GW25" s="12">
        <v>121.89362300000001</v>
      </c>
      <c r="GX25" s="12">
        <v>112.76023000000001</v>
      </c>
      <c r="GY25" s="12">
        <v>113.73823299999999</v>
      </c>
      <c r="GZ25" s="12">
        <v>113.714356</v>
      </c>
      <c r="HA25" s="12">
        <v>114.67011100000001</v>
      </c>
      <c r="HB25" s="12">
        <v>114.40578499999999</v>
      </c>
      <c r="HC25" s="12">
        <v>114.566672</v>
      </c>
      <c r="HD25" s="12">
        <v>113.035622</v>
      </c>
      <c r="HE25" s="12">
        <v>123.90326399999999</v>
      </c>
      <c r="HF25" s="12">
        <v>124.078897</v>
      </c>
      <c r="HG25" s="12">
        <v>124.078897</v>
      </c>
      <c r="HH25" s="12">
        <v>124.078897</v>
      </c>
      <c r="HI25" s="12">
        <v>115.568893</v>
      </c>
      <c r="HJ25" s="12">
        <v>115.386481</v>
      </c>
      <c r="HK25" s="12">
        <v>114.959746</v>
      </c>
      <c r="HL25" s="12">
        <v>122.263904</v>
      </c>
      <c r="HM25" s="12">
        <v>115.831587</v>
      </c>
      <c r="HN25" s="12">
        <v>120.731059</v>
      </c>
      <c r="HO25" s="12">
        <v>98.39436311</v>
      </c>
      <c r="HP25" s="12">
        <v>124.285065</v>
      </c>
      <c r="HQ25" s="12">
        <v>113.9729085</v>
      </c>
      <c r="HR25" s="12">
        <v>114.30582099999999</v>
      </c>
      <c r="HS25" s="12">
        <v>113.95637000000001</v>
      </c>
      <c r="HT25" s="12">
        <v>111.10748599999999</v>
      </c>
      <c r="HU25" s="12">
        <v>107.38827182</v>
      </c>
      <c r="HV25" s="12">
        <v>106.62105750000001</v>
      </c>
      <c r="HW25" s="12">
        <v>107.09595899999999</v>
      </c>
      <c r="HX25" s="12">
        <v>114.92718459</v>
      </c>
      <c r="HY25" s="12">
        <v>114.517154</v>
      </c>
      <c r="HZ25" s="12">
        <v>126.750073</v>
      </c>
      <c r="IA25" s="12"/>
      <c r="IB25" s="12"/>
      <c r="IC25" s="12"/>
      <c r="ID25" s="12"/>
      <c r="IE25" s="12"/>
      <c r="IF25" s="12"/>
      <c r="IG25" s="12"/>
      <c r="IH25" s="12"/>
      <c r="II25" s="12"/>
      <c r="IJ25" s="12"/>
      <c r="IK25" s="12"/>
    </row>
    <row r="26" spans="1:245" x14ac:dyDescent="0.25">
      <c r="A26" s="11">
        <v>46049.520833333336</v>
      </c>
      <c r="B26" s="12">
        <v>117.58082598</v>
      </c>
      <c r="C26" s="12">
        <v>109.87471499999999</v>
      </c>
      <c r="D26" s="12">
        <v>110.527328</v>
      </c>
      <c r="E26" s="12">
        <v>110.33946299999999</v>
      </c>
      <c r="F26" s="12">
        <v>110.225967</v>
      </c>
      <c r="G26" s="12">
        <v>109.005425</v>
      </c>
      <c r="H26" s="12">
        <v>111.12822</v>
      </c>
      <c r="I26" s="12">
        <v>110.711952</v>
      </c>
      <c r="J26" s="12">
        <v>111.44997600000001</v>
      </c>
      <c r="K26" s="12">
        <v>108.00883</v>
      </c>
      <c r="L26" s="12">
        <v>112.55037799999999</v>
      </c>
      <c r="M26" s="12">
        <v>108.465005</v>
      </c>
      <c r="N26" s="12">
        <v>106.759557</v>
      </c>
      <c r="O26" s="12">
        <v>118.018669</v>
      </c>
      <c r="P26" s="12">
        <v>109.99691066</v>
      </c>
      <c r="Q26" s="12">
        <v>111.60019</v>
      </c>
      <c r="R26" s="12">
        <v>108.72454999999999</v>
      </c>
      <c r="S26" s="12">
        <v>116.531075</v>
      </c>
      <c r="T26" s="12">
        <v>100.17804150000001</v>
      </c>
      <c r="U26" s="12">
        <v>100.942021</v>
      </c>
      <c r="V26" s="12">
        <v>114.711054</v>
      </c>
      <c r="W26" s="12">
        <v>109.71997500000001</v>
      </c>
      <c r="X26" s="12">
        <v>105.476523</v>
      </c>
      <c r="Y26" s="12">
        <v>107.981037</v>
      </c>
      <c r="Z26" s="12">
        <v>111.04265599999999</v>
      </c>
      <c r="AA26" s="12">
        <v>104.548807</v>
      </c>
      <c r="AB26" s="12">
        <v>111.797234</v>
      </c>
      <c r="AC26" s="12">
        <v>110.03585099999999</v>
      </c>
      <c r="AD26" s="12">
        <v>109.47413</v>
      </c>
      <c r="AE26" s="12">
        <v>105.58578799999999</v>
      </c>
      <c r="AF26" s="12">
        <v>113.55973575</v>
      </c>
      <c r="AG26" s="12">
        <v>113.62317068</v>
      </c>
      <c r="AH26" s="12">
        <v>114.390927</v>
      </c>
      <c r="AI26" s="12">
        <v>114.494128</v>
      </c>
      <c r="AJ26" s="12">
        <v>102.720715</v>
      </c>
      <c r="AK26" s="12">
        <v>114.952594</v>
      </c>
      <c r="AL26" s="12">
        <v>104.03827067</v>
      </c>
      <c r="AM26" s="12">
        <v>104.58676800000001</v>
      </c>
      <c r="AN26" s="12">
        <v>109.51239700000001</v>
      </c>
      <c r="AO26" s="12">
        <v>104.238917</v>
      </c>
      <c r="AP26" s="12">
        <v>102.887852</v>
      </c>
      <c r="AQ26" s="12">
        <v>103.309692</v>
      </c>
      <c r="AR26" s="12">
        <v>104.395736</v>
      </c>
      <c r="AS26" s="12">
        <v>110.112251</v>
      </c>
      <c r="AT26" s="12">
        <v>110.112251</v>
      </c>
      <c r="AU26" s="12">
        <v>111.304613</v>
      </c>
      <c r="AV26" s="12">
        <v>110.2546785</v>
      </c>
      <c r="AW26" s="12">
        <v>104.498307</v>
      </c>
      <c r="AX26" s="12">
        <v>105.110489</v>
      </c>
      <c r="AY26" s="12">
        <v>117.96779600000001</v>
      </c>
      <c r="AZ26" s="12">
        <v>108.914467</v>
      </c>
      <c r="BA26" s="12">
        <v>108.241874</v>
      </c>
      <c r="BB26" s="12">
        <v>107.692193</v>
      </c>
      <c r="BC26" s="12">
        <v>107.96328099999999</v>
      </c>
      <c r="BD26" s="12">
        <v>107.666875</v>
      </c>
      <c r="BE26" s="12">
        <v>108.21131099999999</v>
      </c>
      <c r="BF26" s="12">
        <v>110.125377</v>
      </c>
      <c r="BG26" s="12">
        <v>111.478112</v>
      </c>
      <c r="BH26" s="12">
        <v>111.478112</v>
      </c>
      <c r="BI26" s="12">
        <v>111.478112</v>
      </c>
      <c r="BJ26" s="12">
        <v>105.252922</v>
      </c>
      <c r="BK26" s="12">
        <v>105.92698300000001</v>
      </c>
      <c r="BL26" s="12">
        <v>114.25223699999999</v>
      </c>
      <c r="BM26" s="12">
        <v>113.887356</v>
      </c>
      <c r="BN26" s="12">
        <v>110.90307</v>
      </c>
      <c r="BO26" s="12">
        <v>108.331717</v>
      </c>
      <c r="BP26" s="12">
        <v>110.394085</v>
      </c>
      <c r="BQ26" s="12">
        <v>102.776882</v>
      </c>
      <c r="BR26" s="12">
        <v>102.79846515</v>
      </c>
      <c r="BS26" s="12">
        <v>107.920361</v>
      </c>
      <c r="BT26" s="12">
        <v>108.37987583</v>
      </c>
      <c r="BU26" s="12">
        <v>115.18051953</v>
      </c>
      <c r="BV26" s="12">
        <v>117.873874</v>
      </c>
      <c r="BW26" s="12">
        <v>110.244052</v>
      </c>
      <c r="BX26" s="12">
        <v>111.510741</v>
      </c>
      <c r="BY26" s="12">
        <v>111.555955</v>
      </c>
      <c r="BZ26" s="12">
        <v>115.574268</v>
      </c>
      <c r="CA26" s="12">
        <v>114.748946</v>
      </c>
      <c r="CB26" s="12">
        <v>110.529543</v>
      </c>
      <c r="CC26" s="12">
        <v>110.04403000000001</v>
      </c>
      <c r="CD26" s="12">
        <v>109.28387600000001</v>
      </c>
      <c r="CE26" s="12">
        <v>113.12276799999999</v>
      </c>
      <c r="CF26" s="12">
        <v>108.335526</v>
      </c>
      <c r="CG26" s="12">
        <v>117.873874</v>
      </c>
      <c r="CH26" s="12">
        <v>108.93051699999999</v>
      </c>
      <c r="CI26" s="12">
        <v>108.91562399999999</v>
      </c>
      <c r="CJ26" s="12">
        <v>108.71145300000001</v>
      </c>
      <c r="CK26" s="12">
        <v>119.71494</v>
      </c>
      <c r="CL26" s="12">
        <v>120.736197</v>
      </c>
      <c r="CM26" s="12">
        <v>118.519701</v>
      </c>
      <c r="CN26" s="12">
        <v>117.379464</v>
      </c>
      <c r="CO26" s="12">
        <v>118.941891</v>
      </c>
      <c r="CP26" s="12">
        <v>108.78970099999999</v>
      </c>
      <c r="CQ26" s="12">
        <v>109.377775</v>
      </c>
      <c r="CR26" s="12">
        <v>112.21899245</v>
      </c>
      <c r="CS26" s="12">
        <v>114.05852</v>
      </c>
      <c r="CT26" s="12">
        <v>106.560563</v>
      </c>
      <c r="CU26" s="12">
        <v>116.0048654</v>
      </c>
      <c r="CV26" s="12">
        <v>110.668567</v>
      </c>
      <c r="CW26" s="12">
        <v>107.584636</v>
      </c>
      <c r="CX26" s="12">
        <v>113.97029563</v>
      </c>
      <c r="CY26" s="12">
        <v>105.621092</v>
      </c>
      <c r="CZ26" s="12">
        <v>107.29704267</v>
      </c>
      <c r="DA26" s="12">
        <v>107.857648</v>
      </c>
      <c r="DB26" s="12">
        <v>111.11829</v>
      </c>
      <c r="DC26" s="12">
        <v>111.89421400000001</v>
      </c>
      <c r="DD26" s="12">
        <v>112.245042</v>
      </c>
      <c r="DE26" s="12">
        <v>110.244052</v>
      </c>
      <c r="DF26" s="12">
        <v>109.856146</v>
      </c>
      <c r="DG26" s="12">
        <v>110.9786</v>
      </c>
      <c r="DH26" s="12">
        <v>111.555955</v>
      </c>
      <c r="DI26" s="12">
        <v>110.233923</v>
      </c>
      <c r="DJ26" s="12">
        <v>110.57608</v>
      </c>
      <c r="DK26" s="12">
        <v>119.1252413</v>
      </c>
      <c r="DL26" s="12">
        <v>109.02491000000001</v>
      </c>
      <c r="DM26" s="12">
        <v>108.80055299999999</v>
      </c>
      <c r="DN26" s="12">
        <v>107.34856766999999</v>
      </c>
      <c r="DO26" s="12">
        <v>118.746178</v>
      </c>
      <c r="DP26" s="12">
        <v>117.505656</v>
      </c>
      <c r="DQ26" s="12">
        <v>113.25277699999999</v>
      </c>
      <c r="DR26" s="12">
        <v>99.300828999999993</v>
      </c>
      <c r="DS26" s="12">
        <v>117.39665599999999</v>
      </c>
      <c r="DT26" s="12">
        <v>107.452478</v>
      </c>
      <c r="DU26" s="12">
        <v>107.843672</v>
      </c>
      <c r="DV26" s="12">
        <v>109.588235</v>
      </c>
      <c r="DW26" s="12">
        <v>110.776546</v>
      </c>
      <c r="DX26" s="12">
        <v>111.126791</v>
      </c>
      <c r="DY26" s="12">
        <v>103.449646</v>
      </c>
      <c r="DZ26" s="12">
        <v>99.179021000000006</v>
      </c>
      <c r="EA26" s="12">
        <v>99.179021000000006</v>
      </c>
      <c r="EB26" s="12">
        <v>104.88725460000001</v>
      </c>
      <c r="EC26" s="12">
        <v>108.969853</v>
      </c>
      <c r="ED26" s="12">
        <v>109.207396</v>
      </c>
      <c r="EE26" s="12">
        <v>106.54192399999999</v>
      </c>
      <c r="EF26" s="12">
        <v>107.16316399999999</v>
      </c>
      <c r="EG26" s="12">
        <v>103.01889300000001</v>
      </c>
      <c r="EH26" s="12">
        <v>109.106886</v>
      </c>
      <c r="EI26" s="12">
        <v>122.45806312000001</v>
      </c>
      <c r="EJ26" s="12">
        <v>105.200346</v>
      </c>
      <c r="EK26" s="12">
        <v>105.200346</v>
      </c>
      <c r="EL26" s="12">
        <v>107.10572999999999</v>
      </c>
      <c r="EM26" s="12">
        <v>109.986999</v>
      </c>
      <c r="EN26" s="12">
        <v>110.362773</v>
      </c>
      <c r="EO26" s="12">
        <v>110.244052</v>
      </c>
      <c r="EP26" s="12">
        <v>108.698375</v>
      </c>
      <c r="EQ26" s="12">
        <v>109.605932</v>
      </c>
      <c r="ER26" s="12">
        <v>118.708035</v>
      </c>
      <c r="ES26" s="12">
        <v>108.651691</v>
      </c>
      <c r="ET26" s="12">
        <v>108.8651</v>
      </c>
      <c r="EU26" s="12">
        <v>111.21273624</v>
      </c>
      <c r="EV26" s="12">
        <v>106.52628900000001</v>
      </c>
      <c r="EW26" s="12">
        <v>105.390957</v>
      </c>
      <c r="EX26" s="12">
        <v>107.069428</v>
      </c>
      <c r="EY26" s="12">
        <v>111.27992</v>
      </c>
      <c r="EZ26" s="12">
        <v>102.509479</v>
      </c>
      <c r="FA26" s="12">
        <v>107.512586</v>
      </c>
      <c r="FB26" s="12">
        <v>106.08103699999999</v>
      </c>
      <c r="FC26" s="12">
        <v>108.71901699999999</v>
      </c>
      <c r="FD26" s="12">
        <v>109.13494799999999</v>
      </c>
      <c r="FE26" s="12">
        <v>109.30903499999999</v>
      </c>
      <c r="FF26" s="12">
        <v>124.75580764999999</v>
      </c>
      <c r="FG26" s="12">
        <v>109.76669</v>
      </c>
      <c r="FH26" s="12">
        <v>118.710452</v>
      </c>
      <c r="FI26" s="12">
        <v>109.95942100000001</v>
      </c>
      <c r="FJ26" s="12">
        <v>139.81850284999999</v>
      </c>
      <c r="FK26" s="12">
        <v>115.57932508</v>
      </c>
      <c r="FL26" s="12">
        <v>122.696792</v>
      </c>
      <c r="FM26" s="12">
        <v>102.48497999999999</v>
      </c>
      <c r="FN26" s="12">
        <v>103.090688</v>
      </c>
      <c r="FO26" s="12">
        <v>107.42217100000001</v>
      </c>
      <c r="FP26" s="12">
        <v>108.71295600000001</v>
      </c>
      <c r="FQ26" s="12">
        <v>115.58825249</v>
      </c>
      <c r="FR26" s="12">
        <v>115.202664</v>
      </c>
      <c r="FS26" s="12">
        <v>115.574268</v>
      </c>
      <c r="FT26" s="12">
        <v>109.348415</v>
      </c>
      <c r="FU26" s="12">
        <v>109.348415</v>
      </c>
      <c r="FV26" s="12">
        <v>115.04052900000001</v>
      </c>
      <c r="FW26" s="12">
        <v>115.04052900000001</v>
      </c>
      <c r="FX26" s="12">
        <v>113.713455</v>
      </c>
      <c r="FY26" s="12">
        <v>108.944541</v>
      </c>
      <c r="FZ26" s="12">
        <v>108.85492000000001</v>
      </c>
      <c r="GA26" s="12">
        <v>109.90745099999999</v>
      </c>
      <c r="GB26" s="12">
        <v>109.734722</v>
      </c>
      <c r="GC26" s="12">
        <v>112.35182139</v>
      </c>
      <c r="GD26" s="12">
        <v>109.23052300000001</v>
      </c>
      <c r="GE26" s="12">
        <v>112.020081</v>
      </c>
      <c r="GF26" s="12">
        <v>117.873874</v>
      </c>
      <c r="GG26" s="12">
        <v>117.873874</v>
      </c>
      <c r="GH26" s="12">
        <v>107.13073199999999</v>
      </c>
      <c r="GI26" s="12">
        <v>104.51396699999999</v>
      </c>
      <c r="GJ26" s="12">
        <v>109.304919</v>
      </c>
      <c r="GK26" s="12">
        <v>109.856146</v>
      </c>
      <c r="GL26" s="12">
        <v>113.73966003</v>
      </c>
      <c r="GM26" s="12">
        <v>97.539938000000006</v>
      </c>
      <c r="GN26" s="12">
        <v>113.73966003</v>
      </c>
      <c r="GO26" s="12">
        <v>109.348415</v>
      </c>
      <c r="GP26" s="12">
        <v>109.486204</v>
      </c>
      <c r="GQ26" s="12">
        <v>109.026659</v>
      </c>
      <c r="GR26" s="12">
        <v>110.79100800000001</v>
      </c>
      <c r="GS26" s="12">
        <v>106.53878</v>
      </c>
      <c r="GT26" s="12">
        <v>104.45137099999999</v>
      </c>
      <c r="GU26" s="12">
        <v>110.17455</v>
      </c>
      <c r="GV26" s="12">
        <v>104.882606</v>
      </c>
      <c r="GW26" s="12">
        <v>116.64985799999999</v>
      </c>
      <c r="GX26" s="12">
        <v>109.124413</v>
      </c>
      <c r="GY26" s="12">
        <v>109.928862</v>
      </c>
      <c r="GZ26" s="12">
        <v>109.899045</v>
      </c>
      <c r="HA26" s="12">
        <v>110.17455</v>
      </c>
      <c r="HB26" s="12">
        <v>109.93675500000001</v>
      </c>
      <c r="HC26" s="12">
        <v>110.083929</v>
      </c>
      <c r="HD26" s="12">
        <v>109.108716</v>
      </c>
      <c r="HE26" s="12">
        <v>118.546368</v>
      </c>
      <c r="HF26" s="12">
        <v>118.708035</v>
      </c>
      <c r="HG26" s="12">
        <v>118.708035</v>
      </c>
      <c r="HH26" s="12">
        <v>118.708035</v>
      </c>
      <c r="HI26" s="12">
        <v>110.564016</v>
      </c>
      <c r="HJ26" s="12">
        <v>111.478246</v>
      </c>
      <c r="HK26" s="12">
        <v>111.09781700000001</v>
      </c>
      <c r="HL26" s="12">
        <v>116.61228699999999</v>
      </c>
      <c r="HM26" s="12">
        <v>112.003535</v>
      </c>
      <c r="HN26" s="12">
        <v>115.682231</v>
      </c>
      <c r="HO26" s="12">
        <v>95.723841890000003</v>
      </c>
      <c r="HP26" s="12">
        <v>118.911553</v>
      </c>
      <c r="HQ26" s="12">
        <v>109.54377150000001</v>
      </c>
      <c r="HR26" s="12">
        <v>109.850148</v>
      </c>
      <c r="HS26" s="12">
        <v>109.222178</v>
      </c>
      <c r="HT26" s="12">
        <v>106.94919299999999</v>
      </c>
      <c r="HU26" s="12">
        <v>102.78537982</v>
      </c>
      <c r="HV26" s="12">
        <v>102.5128145</v>
      </c>
      <c r="HW26" s="12">
        <v>102.95968000000001</v>
      </c>
      <c r="HX26" s="12">
        <v>109.98912896</v>
      </c>
      <c r="HY26" s="12">
        <v>110.03316</v>
      </c>
      <c r="HZ26" s="12">
        <v>121.17158000000001</v>
      </c>
      <c r="IA26" s="12"/>
      <c r="IB26" s="12"/>
      <c r="IC26" s="12"/>
      <c r="ID26" s="12"/>
      <c r="IE26" s="12"/>
      <c r="IF26" s="12"/>
      <c r="IG26" s="12"/>
      <c r="IH26" s="12"/>
      <c r="II26" s="12"/>
      <c r="IJ26" s="12"/>
      <c r="IK26" s="12"/>
    </row>
    <row r="27" spans="1:245" x14ac:dyDescent="0.25">
      <c r="A27" s="11">
        <v>46049.541666666664</v>
      </c>
      <c r="B27" s="12">
        <v>108.55468088000001</v>
      </c>
      <c r="C27" s="12">
        <v>99.635583999999994</v>
      </c>
      <c r="D27" s="12">
        <v>100.277135</v>
      </c>
      <c r="E27" s="12">
        <v>100.094309</v>
      </c>
      <c r="F27" s="12">
        <v>99.980830999999995</v>
      </c>
      <c r="G27" s="12">
        <v>100.784392</v>
      </c>
      <c r="H27" s="12">
        <v>102.102352</v>
      </c>
      <c r="I27" s="12">
        <v>101.734278</v>
      </c>
      <c r="J27" s="12">
        <v>102.39579999999999</v>
      </c>
      <c r="K27" s="12">
        <v>99.931944999999999</v>
      </c>
      <c r="L27" s="12">
        <v>102.203727</v>
      </c>
      <c r="M27" s="12">
        <v>99.455205000000007</v>
      </c>
      <c r="N27" s="12">
        <v>97.788162999999997</v>
      </c>
      <c r="O27" s="12">
        <v>108.672421</v>
      </c>
      <c r="P27" s="12">
        <v>101.60458970000001</v>
      </c>
      <c r="Q27" s="12">
        <v>102.520888</v>
      </c>
      <c r="R27" s="12">
        <v>99.528733000000003</v>
      </c>
      <c r="S27" s="12">
        <v>107.238142</v>
      </c>
      <c r="T27" s="12">
        <v>91.663269</v>
      </c>
      <c r="U27" s="12">
        <v>92.424499999999995</v>
      </c>
      <c r="V27" s="12">
        <v>105.50253499999999</v>
      </c>
      <c r="W27" s="12">
        <v>101.17252000000001</v>
      </c>
      <c r="X27" s="12">
        <v>97.051790999999994</v>
      </c>
      <c r="Y27" s="12">
        <v>99.388638999999998</v>
      </c>
      <c r="Z27" s="12">
        <v>102.06720799999999</v>
      </c>
      <c r="AA27" s="12">
        <v>95.887797000000006</v>
      </c>
      <c r="AB27" s="12">
        <v>102.614003</v>
      </c>
      <c r="AC27" s="12">
        <v>101.49683400000001</v>
      </c>
      <c r="AD27" s="12">
        <v>100.943354</v>
      </c>
      <c r="AE27" s="12">
        <v>95.218244999999996</v>
      </c>
      <c r="AF27" s="12">
        <v>104.33243425000001</v>
      </c>
      <c r="AG27" s="12">
        <v>104.42563564</v>
      </c>
      <c r="AH27" s="12">
        <v>105.113051</v>
      </c>
      <c r="AI27" s="12">
        <v>105.236653</v>
      </c>
      <c r="AJ27" s="12">
        <v>93.572350999999998</v>
      </c>
      <c r="AK27" s="12">
        <v>105.737263</v>
      </c>
      <c r="AL27" s="12">
        <v>95.480103</v>
      </c>
      <c r="AM27" s="12">
        <v>96.001733000000002</v>
      </c>
      <c r="AN27" s="12">
        <v>100.57068599999999</v>
      </c>
      <c r="AO27" s="12">
        <v>96.115550999999996</v>
      </c>
      <c r="AP27" s="12">
        <v>89.471079500000002</v>
      </c>
      <c r="AQ27" s="12">
        <v>89.880311000000006</v>
      </c>
      <c r="AR27" s="12">
        <v>95.698192000000006</v>
      </c>
      <c r="AS27" s="12">
        <v>101.218163</v>
      </c>
      <c r="AT27" s="12">
        <v>101.218163</v>
      </c>
      <c r="AU27" s="12">
        <v>102.353083</v>
      </c>
      <c r="AV27" s="12">
        <v>101.722331</v>
      </c>
      <c r="AW27" s="12">
        <v>98.385599999999997</v>
      </c>
      <c r="AX27" s="12">
        <v>98.707769999999996</v>
      </c>
      <c r="AY27" s="12">
        <v>108.628401</v>
      </c>
      <c r="AZ27" s="12">
        <v>100.465262</v>
      </c>
      <c r="BA27" s="12">
        <v>99.997315</v>
      </c>
      <c r="BB27" s="12">
        <v>99.472585499999994</v>
      </c>
      <c r="BC27" s="12">
        <v>99.760841999999997</v>
      </c>
      <c r="BD27" s="12">
        <v>99.609869000000003</v>
      </c>
      <c r="BE27" s="12">
        <v>99.970597999999995</v>
      </c>
      <c r="BF27" s="12">
        <v>101.250486</v>
      </c>
      <c r="BG27" s="12">
        <v>102.52057499999999</v>
      </c>
      <c r="BH27" s="12">
        <v>102.52057499999999</v>
      </c>
      <c r="BI27" s="12">
        <v>102.52057499999999</v>
      </c>
      <c r="BJ27" s="12">
        <v>96.717005999999998</v>
      </c>
      <c r="BK27" s="12">
        <v>97.364881999999994</v>
      </c>
      <c r="BL27" s="12">
        <v>105.55276600000001</v>
      </c>
      <c r="BM27" s="12">
        <v>105.142</v>
      </c>
      <c r="BN27" s="12">
        <v>101.830681</v>
      </c>
      <c r="BO27" s="12">
        <v>99.339095</v>
      </c>
      <c r="BP27" s="12">
        <v>101.28456300000001</v>
      </c>
      <c r="BQ27" s="12">
        <v>93.619489000000002</v>
      </c>
      <c r="BR27" s="12">
        <v>93.639149090000004</v>
      </c>
      <c r="BS27" s="12">
        <v>99.019757999999996</v>
      </c>
      <c r="BT27" s="12">
        <v>99.447911169999998</v>
      </c>
      <c r="BU27" s="12">
        <v>105.60412110999999</v>
      </c>
      <c r="BV27" s="12">
        <v>108.521719</v>
      </c>
      <c r="BW27" s="12">
        <v>101.18336499999999</v>
      </c>
      <c r="BX27" s="12">
        <v>102.223049</v>
      </c>
      <c r="BY27" s="12">
        <v>102.280912</v>
      </c>
      <c r="BZ27" s="12">
        <v>105.236289</v>
      </c>
      <c r="CA27" s="12">
        <v>105.188964</v>
      </c>
      <c r="CB27" s="12">
        <v>101.612422</v>
      </c>
      <c r="CC27" s="12">
        <v>100.782382</v>
      </c>
      <c r="CD27" s="12">
        <v>100.066295</v>
      </c>
      <c r="CE27" s="12">
        <v>103.636359</v>
      </c>
      <c r="CF27" s="12">
        <v>99.412499999999994</v>
      </c>
      <c r="CG27" s="12">
        <v>108.521719</v>
      </c>
      <c r="CH27" s="12">
        <v>100.478683</v>
      </c>
      <c r="CI27" s="12">
        <v>100.46623</v>
      </c>
      <c r="CJ27" s="12">
        <v>99.872918999999996</v>
      </c>
      <c r="CK27" s="12">
        <v>110.035466</v>
      </c>
      <c r="CL27" s="12">
        <v>111.01535</v>
      </c>
      <c r="CM27" s="12">
        <v>109.482339</v>
      </c>
      <c r="CN27" s="12">
        <v>107.96006</v>
      </c>
      <c r="CO27" s="12">
        <v>109.368235</v>
      </c>
      <c r="CP27" s="12">
        <v>100.653898</v>
      </c>
      <c r="CQ27" s="12">
        <v>100.414694</v>
      </c>
      <c r="CR27" s="12">
        <v>102.94014846</v>
      </c>
      <c r="CS27" s="12">
        <v>105.306067</v>
      </c>
      <c r="CT27" s="12">
        <v>97.738184000000004</v>
      </c>
      <c r="CU27" s="12">
        <v>106.28639549</v>
      </c>
      <c r="CV27" s="12">
        <v>99.945606999999995</v>
      </c>
      <c r="CW27" s="12">
        <v>99.052324999999996</v>
      </c>
      <c r="CX27" s="12">
        <v>104.75820994</v>
      </c>
      <c r="CY27" s="12">
        <v>96.986435</v>
      </c>
      <c r="CZ27" s="12">
        <v>98.951596330000001</v>
      </c>
      <c r="DA27" s="12">
        <v>99.492334</v>
      </c>
      <c r="DB27" s="12">
        <v>101.97133100000001</v>
      </c>
      <c r="DC27" s="12">
        <v>102.79521099999999</v>
      </c>
      <c r="DD27" s="12">
        <v>103.138386</v>
      </c>
      <c r="DE27" s="12">
        <v>101.18336499999999</v>
      </c>
      <c r="DF27" s="12">
        <v>100.809521</v>
      </c>
      <c r="DG27" s="12">
        <v>101.731593</v>
      </c>
      <c r="DH27" s="12">
        <v>102.280912</v>
      </c>
      <c r="DI27" s="12">
        <v>101.762533</v>
      </c>
      <c r="DJ27" s="12">
        <v>101.67926300000001</v>
      </c>
      <c r="DK27" s="12">
        <v>109.20066070999999</v>
      </c>
      <c r="DL27" s="12">
        <v>100.01725999999999</v>
      </c>
      <c r="DM27" s="12">
        <v>99.756124</v>
      </c>
      <c r="DN27" s="12">
        <v>99.358029329999994</v>
      </c>
      <c r="DO27" s="12">
        <v>109.67971</v>
      </c>
      <c r="DP27" s="12">
        <v>108.430076</v>
      </c>
      <c r="DQ27" s="12">
        <v>104.06079200000001</v>
      </c>
      <c r="DR27" s="12">
        <v>90.254508000000001</v>
      </c>
      <c r="DS27" s="12">
        <v>108.340439</v>
      </c>
      <c r="DT27" s="12">
        <v>99.232648999999995</v>
      </c>
      <c r="DU27" s="12">
        <v>99.611587</v>
      </c>
      <c r="DV27" s="12">
        <v>101.28010999999999</v>
      </c>
      <c r="DW27" s="12">
        <v>101.671571</v>
      </c>
      <c r="DX27" s="12">
        <v>101.989377</v>
      </c>
      <c r="DY27" s="12">
        <v>94.451678000000001</v>
      </c>
      <c r="DZ27" s="12">
        <v>94.387866000000002</v>
      </c>
      <c r="EA27" s="12">
        <v>94.387866000000002</v>
      </c>
      <c r="EB27" s="12">
        <v>95.190129060000004</v>
      </c>
      <c r="EC27" s="12">
        <v>100.07391800000001</v>
      </c>
      <c r="ED27" s="12">
        <v>100.30924</v>
      </c>
      <c r="EE27" s="12">
        <v>98.079783000000006</v>
      </c>
      <c r="EF27" s="12">
        <v>98.644712999999996</v>
      </c>
      <c r="EG27" s="12">
        <v>93.829054999999997</v>
      </c>
      <c r="EH27" s="12">
        <v>100.72194399999999</v>
      </c>
      <c r="EI27" s="12">
        <v>112.55992112</v>
      </c>
      <c r="EJ27" s="12">
        <v>96.481942000000004</v>
      </c>
      <c r="EK27" s="12">
        <v>96.481942000000004</v>
      </c>
      <c r="EL27" s="12">
        <v>98.276908000000006</v>
      </c>
      <c r="EM27" s="12">
        <v>100.917582</v>
      </c>
      <c r="EN27" s="12">
        <v>101.311734</v>
      </c>
      <c r="EO27" s="12">
        <v>101.18336499999999</v>
      </c>
      <c r="EP27" s="12">
        <v>100.275087</v>
      </c>
      <c r="EQ27" s="12">
        <v>100.66106600000001</v>
      </c>
      <c r="ER27" s="12">
        <v>109.638519</v>
      </c>
      <c r="ES27" s="12">
        <v>100.21037699999999</v>
      </c>
      <c r="ET27" s="12">
        <v>100.417378</v>
      </c>
      <c r="EU27" s="12">
        <v>102.53190807999999</v>
      </c>
      <c r="EV27" s="12">
        <v>97.387296000000006</v>
      </c>
      <c r="EW27" s="12">
        <v>96.564396000000002</v>
      </c>
      <c r="EX27" s="12">
        <v>98.185226999999998</v>
      </c>
      <c r="EY27" s="12">
        <v>101.957289</v>
      </c>
      <c r="EZ27" s="12">
        <v>93.685659999999999</v>
      </c>
      <c r="FA27" s="12">
        <v>96.526895999999994</v>
      </c>
      <c r="FB27" s="12">
        <v>95.219404999999995</v>
      </c>
      <c r="FC27" s="12">
        <v>100.167737</v>
      </c>
      <c r="FD27" s="12">
        <v>100.56060100000001</v>
      </c>
      <c r="FE27" s="12">
        <v>100.72504000000001</v>
      </c>
      <c r="FF27" s="12">
        <v>114.59483887</v>
      </c>
      <c r="FG27" s="12">
        <v>99.368274</v>
      </c>
      <c r="FH27" s="12">
        <v>109.62346700000001</v>
      </c>
      <c r="FI27" s="12">
        <v>101.456671</v>
      </c>
      <c r="FJ27" s="12">
        <v>129.09311732</v>
      </c>
      <c r="FK27" s="12">
        <v>106.82695253999999</v>
      </c>
      <c r="FL27" s="12">
        <v>113.432796</v>
      </c>
      <c r="FM27" s="12">
        <v>95.790493499999997</v>
      </c>
      <c r="FN27" s="12">
        <v>96.235743999999997</v>
      </c>
      <c r="FO27" s="12">
        <v>98.528908000000001</v>
      </c>
      <c r="FP27" s="12">
        <v>99.877243000000007</v>
      </c>
      <c r="FQ27" s="12">
        <v>105.24902259</v>
      </c>
      <c r="FR27" s="12">
        <v>104.871212</v>
      </c>
      <c r="FS27" s="12">
        <v>105.236289</v>
      </c>
      <c r="FT27" s="12">
        <v>100.359353</v>
      </c>
      <c r="FU27" s="12">
        <v>100.359353</v>
      </c>
      <c r="FV27" s="12">
        <v>105.507555</v>
      </c>
      <c r="FW27" s="12">
        <v>105.507555</v>
      </c>
      <c r="FX27" s="12">
        <v>104.21885</v>
      </c>
      <c r="FY27" s="12">
        <v>99.902105000000006</v>
      </c>
      <c r="FZ27" s="12">
        <v>99.818855999999997</v>
      </c>
      <c r="GA27" s="12">
        <v>100.905242</v>
      </c>
      <c r="GB27" s="12">
        <v>100.77478000000001</v>
      </c>
      <c r="GC27" s="12">
        <v>103.52986009999999</v>
      </c>
      <c r="GD27" s="12">
        <v>100.023492</v>
      </c>
      <c r="GE27" s="12">
        <v>102.841562</v>
      </c>
      <c r="GF27" s="12">
        <v>108.521719</v>
      </c>
      <c r="GG27" s="12">
        <v>108.521719</v>
      </c>
      <c r="GH27" s="12">
        <v>98.360726</v>
      </c>
      <c r="GI27" s="12">
        <v>95.854744999999994</v>
      </c>
      <c r="GJ27" s="12">
        <v>99.851310999999995</v>
      </c>
      <c r="GK27" s="12">
        <v>100.809521</v>
      </c>
      <c r="GL27" s="12">
        <v>104.54621634999999</v>
      </c>
      <c r="GM27" s="12">
        <v>88.724371000000005</v>
      </c>
      <c r="GN27" s="12">
        <v>104.54621634999999</v>
      </c>
      <c r="GO27" s="12">
        <v>100.359353</v>
      </c>
      <c r="GP27" s="12">
        <v>101.178411</v>
      </c>
      <c r="GQ27" s="12">
        <v>100.04745800000001</v>
      </c>
      <c r="GR27" s="12">
        <v>101.910894</v>
      </c>
      <c r="GS27" s="12">
        <v>98.019526999999997</v>
      </c>
      <c r="GT27" s="12">
        <v>94.130171000000004</v>
      </c>
      <c r="GU27" s="12">
        <v>101.710222</v>
      </c>
      <c r="GV27" s="12">
        <v>96.123818999999997</v>
      </c>
      <c r="GW27" s="12">
        <v>107.701724</v>
      </c>
      <c r="GX27" s="12">
        <v>100.311662</v>
      </c>
      <c r="GY27" s="12">
        <v>100.953813</v>
      </c>
      <c r="GZ27" s="12">
        <v>100.91032199999999</v>
      </c>
      <c r="HA27" s="12">
        <v>101.710222</v>
      </c>
      <c r="HB27" s="12">
        <v>101.500899</v>
      </c>
      <c r="HC27" s="12">
        <v>101.621532</v>
      </c>
      <c r="HD27" s="12">
        <v>100.12598300000001</v>
      </c>
      <c r="HE27" s="12">
        <v>109.481894</v>
      </c>
      <c r="HF27" s="12">
        <v>109.638519</v>
      </c>
      <c r="HG27" s="12">
        <v>109.638519</v>
      </c>
      <c r="HH27" s="12">
        <v>109.638519</v>
      </c>
      <c r="HI27" s="12">
        <v>100.28856399999999</v>
      </c>
      <c r="HJ27" s="12">
        <v>102.40928</v>
      </c>
      <c r="HK27" s="12">
        <v>102.04283700000001</v>
      </c>
      <c r="HL27" s="12">
        <v>106.114648</v>
      </c>
      <c r="HM27" s="12">
        <v>102.931242</v>
      </c>
      <c r="HN27" s="12">
        <v>106.708142</v>
      </c>
      <c r="HO27" s="12">
        <v>87.072411939999995</v>
      </c>
      <c r="HP27" s="12">
        <v>109.82513299999999</v>
      </c>
      <c r="HQ27" s="12">
        <v>100.96237499999999</v>
      </c>
      <c r="HR27" s="12">
        <v>101.271807</v>
      </c>
      <c r="HS27" s="12">
        <v>99.124825000000001</v>
      </c>
      <c r="HT27" s="12">
        <v>98.347758999999996</v>
      </c>
      <c r="HU27" s="12">
        <v>95.098608060000004</v>
      </c>
      <c r="HV27" s="12">
        <v>92.269332500000004</v>
      </c>
      <c r="HW27" s="12">
        <v>92.700607000000005</v>
      </c>
      <c r="HX27" s="12">
        <v>101.28304994</v>
      </c>
      <c r="HY27" s="12">
        <v>101.494888</v>
      </c>
      <c r="HZ27" s="12">
        <v>112.036052</v>
      </c>
      <c r="IA27" s="12"/>
      <c r="IB27" s="12"/>
      <c r="IC27" s="12"/>
      <c r="ID27" s="12"/>
      <c r="IE27" s="12"/>
      <c r="IF27" s="12"/>
      <c r="IG27" s="12"/>
      <c r="IH27" s="12"/>
      <c r="II27" s="12"/>
      <c r="IJ27" s="12"/>
      <c r="IK27" s="12"/>
    </row>
    <row r="28" spans="1:245" x14ac:dyDescent="0.25">
      <c r="A28" s="11">
        <v>46049.5625</v>
      </c>
      <c r="B28" s="12">
        <v>107.18554622000001</v>
      </c>
      <c r="C28" s="12">
        <v>99.133960999999999</v>
      </c>
      <c r="D28" s="12">
        <v>99.780060000000006</v>
      </c>
      <c r="E28" s="12">
        <v>99.589309</v>
      </c>
      <c r="F28" s="12">
        <v>99.466682000000006</v>
      </c>
      <c r="G28" s="12">
        <v>99.948342999999994</v>
      </c>
      <c r="H28" s="12">
        <v>100.70537</v>
      </c>
      <c r="I28" s="12">
        <v>100.325844</v>
      </c>
      <c r="J28" s="12">
        <v>101.007981</v>
      </c>
      <c r="K28" s="12">
        <v>99.102365000000006</v>
      </c>
      <c r="L28" s="12">
        <v>101.496348</v>
      </c>
      <c r="M28" s="12">
        <v>98.256022000000002</v>
      </c>
      <c r="N28" s="12">
        <v>96.529133000000002</v>
      </c>
      <c r="O28" s="12">
        <v>107.454297</v>
      </c>
      <c r="P28" s="12">
        <v>100.32464372</v>
      </c>
      <c r="Q28" s="12">
        <v>101.079454</v>
      </c>
      <c r="R28" s="12">
        <v>98.087298000000004</v>
      </c>
      <c r="S28" s="12">
        <v>106.03675699999999</v>
      </c>
      <c r="T28" s="12">
        <v>91.004247000000007</v>
      </c>
      <c r="U28" s="12">
        <v>91.763214000000005</v>
      </c>
      <c r="V28" s="12">
        <v>104.33475300000001</v>
      </c>
      <c r="W28" s="12">
        <v>100.26476599999999</v>
      </c>
      <c r="X28" s="12">
        <v>96.156341999999995</v>
      </c>
      <c r="Y28" s="12">
        <v>98.488698999999997</v>
      </c>
      <c r="Z28" s="12">
        <v>101.345327</v>
      </c>
      <c r="AA28" s="12">
        <v>94.921610000000001</v>
      </c>
      <c r="AB28" s="12">
        <v>101.20656200000001</v>
      </c>
      <c r="AC28" s="12">
        <v>100.6079</v>
      </c>
      <c r="AD28" s="12">
        <v>100.034374</v>
      </c>
      <c r="AE28" s="12">
        <v>94.450969000000001</v>
      </c>
      <c r="AF28" s="12">
        <v>103.13016225</v>
      </c>
      <c r="AG28" s="12">
        <v>103.22357174</v>
      </c>
      <c r="AH28" s="12">
        <v>103.90634799999999</v>
      </c>
      <c r="AI28" s="12">
        <v>104.029009</v>
      </c>
      <c r="AJ28" s="12">
        <v>92.899613000000002</v>
      </c>
      <c r="AK28" s="12">
        <v>104.568001</v>
      </c>
      <c r="AL28" s="12">
        <v>94.566111000000006</v>
      </c>
      <c r="AM28" s="12">
        <v>95.073283000000004</v>
      </c>
      <c r="AN28" s="12">
        <v>99.464958999999993</v>
      </c>
      <c r="AO28" s="12">
        <v>95.364163000000005</v>
      </c>
      <c r="AP28" s="12">
        <v>88.7779515</v>
      </c>
      <c r="AQ28" s="12">
        <v>89.183976000000001</v>
      </c>
      <c r="AR28" s="12">
        <v>94.529751000000005</v>
      </c>
      <c r="AS28" s="12">
        <v>100.839985</v>
      </c>
      <c r="AT28" s="12">
        <v>100.839985</v>
      </c>
      <c r="AU28" s="12">
        <v>101.70281300000001</v>
      </c>
      <c r="AV28" s="12">
        <v>100.82131149999999</v>
      </c>
      <c r="AW28" s="12">
        <v>98.381175999999996</v>
      </c>
      <c r="AX28" s="12">
        <v>98.618286999999995</v>
      </c>
      <c r="AY28" s="12">
        <v>107.317711</v>
      </c>
      <c r="AZ28" s="12">
        <v>99.586320999999998</v>
      </c>
      <c r="BA28" s="12">
        <v>99.156592000000003</v>
      </c>
      <c r="BB28" s="12">
        <v>98.646671999999995</v>
      </c>
      <c r="BC28" s="12">
        <v>98.977997000000002</v>
      </c>
      <c r="BD28" s="12">
        <v>98.799204000000003</v>
      </c>
      <c r="BE28" s="12">
        <v>99.134949000000006</v>
      </c>
      <c r="BF28" s="12">
        <v>100.806946</v>
      </c>
      <c r="BG28" s="12">
        <v>101.86912599999999</v>
      </c>
      <c r="BH28" s="12">
        <v>101.86912599999999</v>
      </c>
      <c r="BI28" s="12">
        <v>101.86912599999999</v>
      </c>
      <c r="BJ28" s="12">
        <v>95.796149</v>
      </c>
      <c r="BK28" s="12">
        <v>96.443962999999997</v>
      </c>
      <c r="BL28" s="12">
        <v>104.351274</v>
      </c>
      <c r="BM28" s="12">
        <v>103.98268299999999</v>
      </c>
      <c r="BN28" s="12">
        <v>100.612021</v>
      </c>
      <c r="BO28" s="12">
        <v>98.161958999999996</v>
      </c>
      <c r="BP28" s="12">
        <v>99.964467999999997</v>
      </c>
      <c r="BQ28" s="12">
        <v>92.960566999999998</v>
      </c>
      <c r="BR28" s="12">
        <v>92.980088719999998</v>
      </c>
      <c r="BS28" s="12">
        <v>97.788552999999993</v>
      </c>
      <c r="BT28" s="12">
        <v>98.434631999999993</v>
      </c>
      <c r="BU28" s="12">
        <v>104.35679868</v>
      </c>
      <c r="BV28" s="12">
        <v>107.21516200000001</v>
      </c>
      <c r="BW28" s="12">
        <v>99.853517999999994</v>
      </c>
      <c r="BX28" s="12">
        <v>101.064656</v>
      </c>
      <c r="BY28" s="12">
        <v>101.072841</v>
      </c>
      <c r="BZ28" s="12">
        <v>105.017105</v>
      </c>
      <c r="CA28" s="12">
        <v>103.94694699999999</v>
      </c>
      <c r="CB28" s="12">
        <v>100.469105</v>
      </c>
      <c r="CC28" s="12">
        <v>99.30086</v>
      </c>
      <c r="CD28" s="12">
        <v>98.606313999999998</v>
      </c>
      <c r="CE28" s="12">
        <v>102.458985</v>
      </c>
      <c r="CF28" s="12">
        <v>98.286373999999995</v>
      </c>
      <c r="CG28" s="12">
        <v>107.21516200000001</v>
      </c>
      <c r="CH28" s="12">
        <v>99.601341000000005</v>
      </c>
      <c r="CI28" s="12">
        <v>99.587404000000006</v>
      </c>
      <c r="CJ28" s="12">
        <v>98.786310999999998</v>
      </c>
      <c r="CK28" s="12">
        <v>108.428031</v>
      </c>
      <c r="CL28" s="12">
        <v>109.41327200000001</v>
      </c>
      <c r="CM28" s="12">
        <v>108.06518800000001</v>
      </c>
      <c r="CN28" s="12">
        <v>106.67532799999999</v>
      </c>
      <c r="CO28" s="12">
        <v>108.03226100000001</v>
      </c>
      <c r="CP28" s="12">
        <v>100.05286599999999</v>
      </c>
      <c r="CQ28" s="12">
        <v>99.377739000000005</v>
      </c>
      <c r="CR28" s="12">
        <v>101.90050845</v>
      </c>
      <c r="CS28" s="12">
        <v>104.497665</v>
      </c>
      <c r="CT28" s="12">
        <v>96.658438000000004</v>
      </c>
      <c r="CU28" s="12">
        <v>106.25866605</v>
      </c>
      <c r="CV28" s="12">
        <v>99.267277000000007</v>
      </c>
      <c r="CW28" s="12">
        <v>98.351174999999998</v>
      </c>
      <c r="CX28" s="12">
        <v>104.01729655</v>
      </c>
      <c r="CY28" s="12">
        <v>96.101584000000003</v>
      </c>
      <c r="CZ28" s="12">
        <v>98.030023670000006</v>
      </c>
      <c r="DA28" s="12">
        <v>98.540751</v>
      </c>
      <c r="DB28" s="12">
        <v>100.60463799999999</v>
      </c>
      <c r="DC28" s="12">
        <v>101.434971</v>
      </c>
      <c r="DD28" s="12">
        <v>101.783022</v>
      </c>
      <c r="DE28" s="12">
        <v>99.853517999999994</v>
      </c>
      <c r="DF28" s="12">
        <v>99.515946999999997</v>
      </c>
      <c r="DG28" s="12">
        <v>100.409614</v>
      </c>
      <c r="DH28" s="12">
        <v>101.072841</v>
      </c>
      <c r="DI28" s="12">
        <v>100.86639700000001</v>
      </c>
      <c r="DJ28" s="12">
        <v>100.352664</v>
      </c>
      <c r="DK28" s="12">
        <v>107.91127566</v>
      </c>
      <c r="DL28" s="12">
        <v>98.781856000000005</v>
      </c>
      <c r="DM28" s="12">
        <v>98.523994000000002</v>
      </c>
      <c r="DN28" s="12">
        <v>98.551637330000005</v>
      </c>
      <c r="DO28" s="12">
        <v>108.267968</v>
      </c>
      <c r="DP28" s="12">
        <v>107.142539</v>
      </c>
      <c r="DQ28" s="12">
        <v>102.94799399999999</v>
      </c>
      <c r="DR28" s="12">
        <v>89.645583999999999</v>
      </c>
      <c r="DS28" s="12">
        <v>107.057759</v>
      </c>
      <c r="DT28" s="12">
        <v>98.397098</v>
      </c>
      <c r="DU28" s="12">
        <v>98.773473999999993</v>
      </c>
      <c r="DV28" s="12">
        <v>100.549018</v>
      </c>
      <c r="DW28" s="12">
        <v>100.340856</v>
      </c>
      <c r="DX28" s="12">
        <v>100.666674</v>
      </c>
      <c r="DY28" s="12">
        <v>92.871268999999998</v>
      </c>
      <c r="DZ28" s="12">
        <v>93.648396000000005</v>
      </c>
      <c r="EA28" s="12">
        <v>93.648396000000005</v>
      </c>
      <c r="EB28" s="12">
        <v>94.459112399999995</v>
      </c>
      <c r="EC28" s="12">
        <v>98.968038000000007</v>
      </c>
      <c r="ED28" s="12">
        <v>99.207395000000005</v>
      </c>
      <c r="EE28" s="12">
        <v>97.150758999999994</v>
      </c>
      <c r="EF28" s="12">
        <v>97.728279999999998</v>
      </c>
      <c r="EG28" s="12">
        <v>90.493474000000006</v>
      </c>
      <c r="EH28" s="12">
        <v>100.07640600000001</v>
      </c>
      <c r="EI28" s="12">
        <v>111.76382931000001</v>
      </c>
      <c r="EJ28" s="12">
        <v>95.304783</v>
      </c>
      <c r="EK28" s="12">
        <v>95.304783</v>
      </c>
      <c r="EL28" s="12">
        <v>97.149225999999999</v>
      </c>
      <c r="EM28" s="12">
        <v>99.583231999999995</v>
      </c>
      <c r="EN28" s="12">
        <v>99.974283</v>
      </c>
      <c r="EO28" s="12">
        <v>99.853517999999994</v>
      </c>
      <c r="EP28" s="12">
        <v>99.678011999999995</v>
      </c>
      <c r="EQ28" s="12">
        <v>99.469950999999995</v>
      </c>
      <c r="ER28" s="12">
        <v>108.23326</v>
      </c>
      <c r="ES28" s="12">
        <v>99.334563000000003</v>
      </c>
      <c r="ET28" s="12">
        <v>99.539023999999998</v>
      </c>
      <c r="EU28" s="12">
        <v>101.62198657</v>
      </c>
      <c r="EV28" s="12">
        <v>96.566872000000004</v>
      </c>
      <c r="EW28" s="12">
        <v>95.806113999999994</v>
      </c>
      <c r="EX28" s="12">
        <v>97.313884000000002</v>
      </c>
      <c r="EY28" s="12">
        <v>101.930689</v>
      </c>
      <c r="EZ28" s="12">
        <v>92.760656999999995</v>
      </c>
      <c r="FA28" s="12">
        <v>95.822558000000001</v>
      </c>
      <c r="FB28" s="12">
        <v>94.481241999999995</v>
      </c>
      <c r="FC28" s="12">
        <v>99.482375000000005</v>
      </c>
      <c r="FD28" s="12">
        <v>99.876885999999999</v>
      </c>
      <c r="FE28" s="12">
        <v>100.042011</v>
      </c>
      <c r="FF28" s="12">
        <v>113.31147534</v>
      </c>
      <c r="FG28" s="12">
        <v>98.714734000000007</v>
      </c>
      <c r="FH28" s="12">
        <v>108.278237</v>
      </c>
      <c r="FI28" s="12">
        <v>100.557125</v>
      </c>
      <c r="FJ28" s="12">
        <v>127.71675261</v>
      </c>
      <c r="FK28" s="12">
        <v>105.58568579</v>
      </c>
      <c r="FL28" s="12">
        <v>112.095398</v>
      </c>
      <c r="FM28" s="12">
        <v>95.001480999999998</v>
      </c>
      <c r="FN28" s="12">
        <v>95.444227999999995</v>
      </c>
      <c r="FO28" s="12">
        <v>97.654719</v>
      </c>
      <c r="FP28" s="12">
        <v>98.792698000000001</v>
      </c>
      <c r="FQ28" s="12">
        <v>105.02981207000001</v>
      </c>
      <c r="FR28" s="12">
        <v>104.63189300000001</v>
      </c>
      <c r="FS28" s="12">
        <v>105.017105</v>
      </c>
      <c r="FT28" s="12">
        <v>99.141773999999998</v>
      </c>
      <c r="FU28" s="12">
        <v>99.141773999999998</v>
      </c>
      <c r="FV28" s="12">
        <v>99.766867000000005</v>
      </c>
      <c r="FW28" s="12">
        <v>99.766867000000005</v>
      </c>
      <c r="FX28" s="12">
        <v>98.733430999999996</v>
      </c>
      <c r="FY28" s="12">
        <v>98.660516999999999</v>
      </c>
      <c r="FZ28" s="12">
        <v>98.56935</v>
      </c>
      <c r="GA28" s="12">
        <v>99.449049000000002</v>
      </c>
      <c r="GB28" s="12">
        <v>99.359847000000002</v>
      </c>
      <c r="GC28" s="12">
        <v>102.83387071999999</v>
      </c>
      <c r="GD28" s="12">
        <v>98.561668999999995</v>
      </c>
      <c r="GE28" s="12">
        <v>101.771062</v>
      </c>
      <c r="GF28" s="12">
        <v>107.21516200000001</v>
      </c>
      <c r="GG28" s="12">
        <v>107.21516200000001</v>
      </c>
      <c r="GH28" s="12">
        <v>97.172252</v>
      </c>
      <c r="GI28" s="12">
        <v>94.888300330000007</v>
      </c>
      <c r="GJ28" s="12">
        <v>97.996329000000003</v>
      </c>
      <c r="GK28" s="12">
        <v>99.515946999999997</v>
      </c>
      <c r="GL28" s="12">
        <v>103.8068023</v>
      </c>
      <c r="GM28" s="12">
        <v>86.648518999999993</v>
      </c>
      <c r="GN28" s="12">
        <v>103.8068023</v>
      </c>
      <c r="GO28" s="12">
        <v>99.141773999999998</v>
      </c>
      <c r="GP28" s="12">
        <v>100.323655</v>
      </c>
      <c r="GQ28" s="12">
        <v>98.852098999999995</v>
      </c>
      <c r="GR28" s="12">
        <v>100.787811</v>
      </c>
      <c r="GS28" s="12">
        <v>97.070957000000007</v>
      </c>
      <c r="GT28" s="12">
        <v>93.401449999999997</v>
      </c>
      <c r="GU28" s="12">
        <v>100.811966</v>
      </c>
      <c r="GV28" s="12">
        <v>94.517831999999999</v>
      </c>
      <c r="GW28" s="12">
        <v>106.55343000000001</v>
      </c>
      <c r="GX28" s="12">
        <v>99.944957000000002</v>
      </c>
      <c r="GY28" s="12">
        <v>99.872905000000003</v>
      </c>
      <c r="GZ28" s="12">
        <v>99.757378000000003</v>
      </c>
      <c r="HA28" s="12">
        <v>100.811966</v>
      </c>
      <c r="HB28" s="12">
        <v>100.606433</v>
      </c>
      <c r="HC28" s="12">
        <v>100.7261505</v>
      </c>
      <c r="HD28" s="12">
        <v>98.929533000000006</v>
      </c>
      <c r="HE28" s="12">
        <v>108.078101</v>
      </c>
      <c r="HF28" s="12">
        <v>108.23326</v>
      </c>
      <c r="HG28" s="12">
        <v>108.23326</v>
      </c>
      <c r="HH28" s="12">
        <v>108.23326</v>
      </c>
      <c r="HI28" s="12">
        <v>99.643651000000006</v>
      </c>
      <c r="HJ28" s="12">
        <v>101.278683</v>
      </c>
      <c r="HK28" s="12">
        <v>100.87103500000001</v>
      </c>
      <c r="HL28" s="12">
        <v>105.288746</v>
      </c>
      <c r="HM28" s="12">
        <v>101.54884</v>
      </c>
      <c r="HN28" s="12">
        <v>105.510161</v>
      </c>
      <c r="HO28" s="12">
        <v>85.035210219999996</v>
      </c>
      <c r="HP28" s="12">
        <v>108.449968</v>
      </c>
      <c r="HQ28" s="12">
        <v>100.06706250000001</v>
      </c>
      <c r="HR28" s="12">
        <v>100.374071</v>
      </c>
      <c r="HS28" s="12">
        <v>98.363094000000004</v>
      </c>
      <c r="HT28" s="12">
        <v>97.428191999999996</v>
      </c>
      <c r="HU28" s="12">
        <v>94.530748220000007</v>
      </c>
      <c r="HV28" s="12">
        <v>91.530260499999997</v>
      </c>
      <c r="HW28" s="12">
        <v>91.963634999999996</v>
      </c>
      <c r="HX28" s="12">
        <v>100.05426851</v>
      </c>
      <c r="HY28" s="12">
        <v>100.611549</v>
      </c>
      <c r="HZ28" s="12">
        <v>110.527742</v>
      </c>
      <c r="IA28" s="12">
        <v>118.76680030999999</v>
      </c>
      <c r="IB28" s="12">
        <v>118.73312641</v>
      </c>
      <c r="IC28" s="12">
        <v>113.61338356</v>
      </c>
      <c r="ID28" s="12">
        <v>107.95687476000001</v>
      </c>
      <c r="IE28" s="12">
        <v>101.61993147</v>
      </c>
      <c r="IF28" s="12">
        <v>104.53786530000001</v>
      </c>
      <c r="IG28" s="12">
        <v>115.77294898</v>
      </c>
      <c r="IH28" s="12">
        <v>115.76710142</v>
      </c>
      <c r="II28" s="12">
        <v>119.11130240999999</v>
      </c>
      <c r="IJ28" s="12">
        <v>105.37850286</v>
      </c>
      <c r="IK28" s="12">
        <v>105.37285693</v>
      </c>
    </row>
    <row r="29" spans="1:245" x14ac:dyDescent="0.25">
      <c r="A29" s="11">
        <v>46049.583333333336</v>
      </c>
      <c r="B29" s="12">
        <v>117.583071</v>
      </c>
      <c r="C29" s="12">
        <v>108.91846700000001</v>
      </c>
      <c r="D29" s="12">
        <v>109.647738</v>
      </c>
      <c r="E29" s="12">
        <v>109.42837900000001</v>
      </c>
      <c r="F29" s="12">
        <v>109.295604</v>
      </c>
      <c r="G29" s="12">
        <v>109.61147099999999</v>
      </c>
      <c r="H29" s="12">
        <v>111.596692</v>
      </c>
      <c r="I29" s="12">
        <v>111.15108600000001</v>
      </c>
      <c r="J29" s="12">
        <v>111.93015699999999</v>
      </c>
      <c r="K29" s="12">
        <v>108.591962</v>
      </c>
      <c r="L29" s="12">
        <v>111.555142</v>
      </c>
      <c r="M29" s="12">
        <v>109.033877</v>
      </c>
      <c r="N29" s="12">
        <v>107.192537</v>
      </c>
      <c r="O29" s="12">
        <v>117.92991499999999</v>
      </c>
      <c r="P29" s="12">
        <v>110.03181074</v>
      </c>
      <c r="Q29" s="12">
        <v>112.099706</v>
      </c>
      <c r="R29" s="12">
        <v>108.46126599999999</v>
      </c>
      <c r="S29" s="12">
        <v>116.359402</v>
      </c>
      <c r="T29" s="12">
        <v>99.576141000000007</v>
      </c>
      <c r="U29" s="12">
        <v>100.431675</v>
      </c>
      <c r="V29" s="12">
        <v>114.477234</v>
      </c>
      <c r="W29" s="12">
        <v>110.200486</v>
      </c>
      <c r="X29" s="12">
        <v>105.720822</v>
      </c>
      <c r="Y29" s="12">
        <v>108.269386</v>
      </c>
      <c r="Z29" s="12">
        <v>112.48624599999999</v>
      </c>
      <c r="AA29" s="12">
        <v>104.76517699999999</v>
      </c>
      <c r="AB29" s="12">
        <v>112.621135</v>
      </c>
      <c r="AC29" s="12">
        <v>110.573143</v>
      </c>
      <c r="AD29" s="12">
        <v>109.938337</v>
      </c>
      <c r="AE29" s="12">
        <v>103.834822</v>
      </c>
      <c r="AF29" s="12">
        <v>113.16320450000001</v>
      </c>
      <c r="AG29" s="12">
        <v>113.26500941</v>
      </c>
      <c r="AH29" s="12">
        <v>114.009109</v>
      </c>
      <c r="AI29" s="12">
        <v>114.146511</v>
      </c>
      <c r="AJ29" s="12">
        <v>102.12052300000001</v>
      </c>
      <c r="AK29" s="12">
        <v>114.73620099999999</v>
      </c>
      <c r="AL29" s="12">
        <v>104.4609</v>
      </c>
      <c r="AM29" s="12">
        <v>104.964854</v>
      </c>
      <c r="AN29" s="12">
        <v>110.20094400000001</v>
      </c>
      <c r="AO29" s="12">
        <v>104.872598</v>
      </c>
      <c r="AP29" s="12">
        <v>97.570723999999998</v>
      </c>
      <c r="AQ29" s="12">
        <v>98.017230999999995</v>
      </c>
      <c r="AR29" s="12">
        <v>104.859633</v>
      </c>
      <c r="AS29" s="12">
        <v>111.71087199999999</v>
      </c>
      <c r="AT29" s="12">
        <v>111.71087199999999</v>
      </c>
      <c r="AU29" s="12">
        <v>112.778074</v>
      </c>
      <c r="AV29" s="12">
        <v>110.79472749999999</v>
      </c>
      <c r="AW29" s="12">
        <v>107.691771</v>
      </c>
      <c r="AX29" s="12">
        <v>107.991581</v>
      </c>
      <c r="AY29" s="12">
        <v>117.75551</v>
      </c>
      <c r="AZ29" s="12">
        <v>109.419391</v>
      </c>
      <c r="BA29" s="12">
        <v>108.802362</v>
      </c>
      <c r="BB29" s="12">
        <v>108.2104235</v>
      </c>
      <c r="BC29" s="12">
        <v>108.57727933</v>
      </c>
      <c r="BD29" s="12">
        <v>108.276599</v>
      </c>
      <c r="BE29" s="12">
        <v>108.775792</v>
      </c>
      <c r="BF29" s="12">
        <v>111.893704</v>
      </c>
      <c r="BG29" s="12">
        <v>112.957488</v>
      </c>
      <c r="BH29" s="12">
        <v>112.957488</v>
      </c>
      <c r="BI29" s="12">
        <v>112.957488</v>
      </c>
      <c r="BJ29" s="12">
        <v>105.442246</v>
      </c>
      <c r="BK29" s="12">
        <v>106.156504</v>
      </c>
      <c r="BL29" s="12">
        <v>114.474294</v>
      </c>
      <c r="BM29" s="12">
        <v>114.11084200000001</v>
      </c>
      <c r="BN29" s="12">
        <v>111.63451499999999</v>
      </c>
      <c r="BO29" s="12">
        <v>108.86194500000001</v>
      </c>
      <c r="BP29" s="12">
        <v>110.67767000000001</v>
      </c>
      <c r="BQ29" s="12">
        <v>102.17994</v>
      </c>
      <c r="BR29" s="12">
        <v>102.20139779</v>
      </c>
      <c r="BS29" s="12">
        <v>108.115469</v>
      </c>
      <c r="BT29" s="12">
        <v>107.94022033</v>
      </c>
      <c r="BU29" s="12">
        <v>116.10025529000001</v>
      </c>
      <c r="BV29" s="12">
        <v>117.642545</v>
      </c>
      <c r="BW29" s="12">
        <v>110.635443</v>
      </c>
      <c r="BX29" s="12">
        <v>112.446748</v>
      </c>
      <c r="BY29" s="12">
        <v>112.446748</v>
      </c>
      <c r="BZ29" s="12">
        <v>115.536064</v>
      </c>
      <c r="CA29" s="12">
        <v>114.05715600000001</v>
      </c>
      <c r="CB29" s="12">
        <v>111.23859299999999</v>
      </c>
      <c r="CC29" s="12">
        <v>109.800805</v>
      </c>
      <c r="CD29" s="12">
        <v>109.04577</v>
      </c>
      <c r="CE29" s="12">
        <v>112.376648</v>
      </c>
      <c r="CF29" s="12">
        <v>108.4405</v>
      </c>
      <c r="CG29" s="12">
        <v>117.642545</v>
      </c>
      <c r="CH29" s="12">
        <v>109.43512</v>
      </c>
      <c r="CI29" s="12">
        <v>109.420524</v>
      </c>
      <c r="CJ29" s="12">
        <v>108.976131</v>
      </c>
      <c r="CK29" s="12">
        <v>118.93981599999999</v>
      </c>
      <c r="CL29" s="12">
        <v>120.02578099999999</v>
      </c>
      <c r="CM29" s="12">
        <v>118.483885</v>
      </c>
      <c r="CN29" s="12">
        <v>117.047658</v>
      </c>
      <c r="CO29" s="12">
        <v>118.55186</v>
      </c>
      <c r="CP29" s="12">
        <v>109.80426799999999</v>
      </c>
      <c r="CQ29" s="12">
        <v>108.995064</v>
      </c>
      <c r="CR29" s="12">
        <v>111.80006487999999</v>
      </c>
      <c r="CS29" s="12">
        <v>114.811982</v>
      </c>
      <c r="CT29" s="12">
        <v>106.93592599999999</v>
      </c>
      <c r="CU29" s="12">
        <v>116.6967878</v>
      </c>
      <c r="CV29" s="12">
        <v>109.05878300000001</v>
      </c>
      <c r="CW29" s="12">
        <v>108.15014600000001</v>
      </c>
      <c r="CX29" s="12">
        <v>115.45194588</v>
      </c>
      <c r="CY29" s="12">
        <v>105.943871</v>
      </c>
      <c r="CZ29" s="12">
        <v>107.64488267</v>
      </c>
      <c r="DA29" s="12">
        <v>108.234874</v>
      </c>
      <c r="DB29" s="12">
        <v>111.75952100000001</v>
      </c>
      <c r="DC29" s="12">
        <v>112.391284</v>
      </c>
      <c r="DD29" s="12">
        <v>112.761723</v>
      </c>
      <c r="DE29" s="12">
        <v>110.635443</v>
      </c>
      <c r="DF29" s="12">
        <v>110.237579</v>
      </c>
      <c r="DG29" s="12">
        <v>111.73981999999999</v>
      </c>
      <c r="DH29" s="12">
        <v>112.446748</v>
      </c>
      <c r="DI29" s="12">
        <v>110.78928000000001</v>
      </c>
      <c r="DJ29" s="12">
        <v>110.97408299999999</v>
      </c>
      <c r="DK29" s="12">
        <v>118.40706781999999</v>
      </c>
      <c r="DL29" s="12">
        <v>109.587289</v>
      </c>
      <c r="DM29" s="12">
        <v>109.36267700000001</v>
      </c>
      <c r="DN29" s="12">
        <v>107.95645500000001</v>
      </c>
      <c r="DO29" s="12">
        <v>118.724214</v>
      </c>
      <c r="DP29" s="12">
        <v>117.534358</v>
      </c>
      <c r="DQ29" s="12">
        <v>112.96535799999999</v>
      </c>
      <c r="DR29" s="12">
        <v>98.517844999999994</v>
      </c>
      <c r="DS29" s="12">
        <v>117.42273900000001</v>
      </c>
      <c r="DT29" s="12">
        <v>107.96345599999999</v>
      </c>
      <c r="DU29" s="12">
        <v>108.379187</v>
      </c>
      <c r="DV29" s="12">
        <v>110.411432</v>
      </c>
      <c r="DW29" s="12">
        <v>111.174972</v>
      </c>
      <c r="DX29" s="12">
        <v>111.533534</v>
      </c>
      <c r="DY29" s="12">
        <v>102.62451299999999</v>
      </c>
      <c r="DZ29" s="12">
        <v>102.985338</v>
      </c>
      <c r="EA29" s="12">
        <v>102.985338</v>
      </c>
      <c r="EB29" s="12">
        <v>103.81235053</v>
      </c>
      <c r="EC29" s="12">
        <v>109.20341999999999</v>
      </c>
      <c r="ED29" s="12">
        <v>109.450874</v>
      </c>
      <c r="EE29" s="12">
        <v>106.77673299999999</v>
      </c>
      <c r="EF29" s="12">
        <v>107.42105599999999</v>
      </c>
      <c r="EG29" s="12">
        <v>101.079095</v>
      </c>
      <c r="EH29" s="12">
        <v>109.838235</v>
      </c>
      <c r="EI29" s="12">
        <v>124.05005706</v>
      </c>
      <c r="EJ29" s="12">
        <v>105.68416499999999</v>
      </c>
      <c r="EK29" s="12">
        <v>105.68416499999999</v>
      </c>
      <c r="EL29" s="12">
        <v>107.479827</v>
      </c>
      <c r="EM29" s="12">
        <v>110.338094</v>
      </c>
      <c r="EN29" s="12">
        <v>110.763379</v>
      </c>
      <c r="EO29" s="12">
        <v>110.635443</v>
      </c>
      <c r="EP29" s="12">
        <v>109.44439300000001</v>
      </c>
      <c r="EQ29" s="12">
        <v>109.92698900000001</v>
      </c>
      <c r="ER29" s="12">
        <v>118.68744700000001</v>
      </c>
      <c r="ES29" s="12">
        <v>109.143034</v>
      </c>
      <c r="ET29" s="12">
        <v>109.36747200000001</v>
      </c>
      <c r="EU29" s="12">
        <v>111.74770183</v>
      </c>
      <c r="EV29" s="12">
        <v>106.20447900000001</v>
      </c>
      <c r="EW29" s="12">
        <v>105.35771800000001</v>
      </c>
      <c r="EX29" s="12">
        <v>107.051967</v>
      </c>
      <c r="EY29" s="12">
        <v>111.94365999999999</v>
      </c>
      <c r="EZ29" s="12">
        <v>103.195472</v>
      </c>
      <c r="FA29" s="12">
        <v>105.28634</v>
      </c>
      <c r="FB29" s="12">
        <v>103.842645</v>
      </c>
      <c r="FC29" s="12">
        <v>109.12694</v>
      </c>
      <c r="FD29" s="12">
        <v>109.603948</v>
      </c>
      <c r="FE29" s="12">
        <v>109.803567</v>
      </c>
      <c r="FF29" s="12">
        <v>124.34427316999999</v>
      </c>
      <c r="FG29" s="12">
        <v>108.467077</v>
      </c>
      <c r="FH29" s="12">
        <v>118.76182</v>
      </c>
      <c r="FI29" s="12">
        <v>110.490042</v>
      </c>
      <c r="FJ29" s="12">
        <v>140.0006291</v>
      </c>
      <c r="FK29" s="12">
        <v>115.79281887</v>
      </c>
      <c r="FL29" s="12">
        <v>123.142315</v>
      </c>
      <c r="FM29" s="12">
        <v>103.1797255</v>
      </c>
      <c r="FN29" s="12">
        <v>103.775021</v>
      </c>
      <c r="FO29" s="12">
        <v>107.417929</v>
      </c>
      <c r="FP29" s="12">
        <v>108.98909999999999</v>
      </c>
      <c r="FQ29" s="12">
        <v>115.55004386</v>
      </c>
      <c r="FR29" s="12">
        <v>115.103081</v>
      </c>
      <c r="FS29" s="12">
        <v>115.536064</v>
      </c>
      <c r="FT29" s="12">
        <v>109.734984</v>
      </c>
      <c r="FU29" s="12">
        <v>109.734984</v>
      </c>
      <c r="FV29" s="12">
        <v>112.29391</v>
      </c>
      <c r="FW29" s="12">
        <v>112.29391</v>
      </c>
      <c r="FX29" s="12">
        <v>111.049156</v>
      </c>
      <c r="FY29" s="12">
        <v>109.477557</v>
      </c>
      <c r="FZ29" s="12">
        <v>109.37128199999999</v>
      </c>
      <c r="GA29" s="12">
        <v>110.160363</v>
      </c>
      <c r="GB29" s="12">
        <v>110.06952800000001</v>
      </c>
      <c r="GC29" s="12">
        <v>112.86923207</v>
      </c>
      <c r="GD29" s="12">
        <v>109.008638</v>
      </c>
      <c r="GE29" s="12">
        <v>111.670928</v>
      </c>
      <c r="GF29" s="12">
        <v>117.642545</v>
      </c>
      <c r="GG29" s="12">
        <v>117.642545</v>
      </c>
      <c r="GH29" s="12">
        <v>107.78649900000001</v>
      </c>
      <c r="GI29" s="12">
        <v>104.728272</v>
      </c>
      <c r="GJ29" s="12">
        <v>109.04297099999999</v>
      </c>
      <c r="GK29" s="12">
        <v>110.237579</v>
      </c>
      <c r="GL29" s="12">
        <v>115.21831194000001</v>
      </c>
      <c r="GM29" s="12">
        <v>96.467252999999999</v>
      </c>
      <c r="GN29" s="12">
        <v>115.21831194000001</v>
      </c>
      <c r="GO29" s="12">
        <v>109.734984</v>
      </c>
      <c r="GP29" s="12">
        <v>110.067227</v>
      </c>
      <c r="GQ29" s="12">
        <v>109.415237</v>
      </c>
      <c r="GR29" s="12">
        <v>111.212131</v>
      </c>
      <c r="GS29" s="12">
        <v>106.833446</v>
      </c>
      <c r="GT29" s="12">
        <v>102.635312</v>
      </c>
      <c r="GU29" s="12">
        <v>110.719567</v>
      </c>
      <c r="GV29" s="12">
        <v>104.508954</v>
      </c>
      <c r="GW29" s="12">
        <v>116.801805</v>
      </c>
      <c r="GX29" s="12">
        <v>110.98370199999999</v>
      </c>
      <c r="GY29" s="12">
        <v>110.617397</v>
      </c>
      <c r="GZ29" s="12">
        <v>110.460734</v>
      </c>
      <c r="HA29" s="12">
        <v>110.719567</v>
      </c>
      <c r="HB29" s="12">
        <v>110.493342</v>
      </c>
      <c r="HC29" s="12">
        <v>110.6221085</v>
      </c>
      <c r="HD29" s="12">
        <v>109.499769</v>
      </c>
      <c r="HE29" s="12">
        <v>118.509736</v>
      </c>
      <c r="HF29" s="12">
        <v>118.68744700000001</v>
      </c>
      <c r="HG29" s="12">
        <v>118.68744700000001</v>
      </c>
      <c r="HH29" s="12">
        <v>118.68744700000001</v>
      </c>
      <c r="HI29" s="12">
        <v>109.498949</v>
      </c>
      <c r="HJ29" s="12">
        <v>112.272797</v>
      </c>
      <c r="HK29" s="12">
        <v>111.82118199999999</v>
      </c>
      <c r="HL29" s="12">
        <v>115.74886100000001</v>
      </c>
      <c r="HM29" s="12">
        <v>112.512128</v>
      </c>
      <c r="HN29" s="12">
        <v>115.680437</v>
      </c>
      <c r="HO29" s="12">
        <v>94.671129219999997</v>
      </c>
      <c r="HP29" s="12">
        <v>118.94239899999999</v>
      </c>
      <c r="HQ29" s="12">
        <v>110.0682975</v>
      </c>
      <c r="HR29" s="12">
        <v>110.376932</v>
      </c>
      <c r="HS29" s="12">
        <v>108.102446</v>
      </c>
      <c r="HT29" s="12">
        <v>107.240285</v>
      </c>
      <c r="HU29" s="12">
        <v>103.74395084</v>
      </c>
      <c r="HV29" s="12">
        <v>100.552474</v>
      </c>
      <c r="HW29" s="12">
        <v>101.03483900000001</v>
      </c>
      <c r="HX29" s="12">
        <v>109.78994215</v>
      </c>
      <c r="HY29" s="12">
        <v>110.58261899999999</v>
      </c>
      <c r="HZ29" s="12">
        <v>121.221416</v>
      </c>
      <c r="IA29" s="12">
        <v>118.96005365000001</v>
      </c>
      <c r="IB29" s="12">
        <v>118.92605313</v>
      </c>
      <c r="IC29" s="12">
        <v>113.7566494</v>
      </c>
      <c r="ID29" s="12">
        <v>108.04527317</v>
      </c>
      <c r="IE29" s="12">
        <v>101.6468623</v>
      </c>
      <c r="IF29" s="12">
        <v>104.59309973000001</v>
      </c>
      <c r="IG29" s="12">
        <v>115.93716234</v>
      </c>
      <c r="IH29" s="12">
        <v>115.93125806</v>
      </c>
      <c r="II29" s="12">
        <v>119.30789738999999</v>
      </c>
      <c r="IJ29" s="12">
        <v>105.44189136999999</v>
      </c>
      <c r="IK29" s="12">
        <v>105.43619068</v>
      </c>
    </row>
    <row r="30" spans="1:245" x14ac:dyDescent="0.25">
      <c r="A30" s="11">
        <v>46049.604166666664</v>
      </c>
      <c r="B30" s="12">
        <v>135.27403217</v>
      </c>
      <c r="C30" s="12">
        <v>124.809541</v>
      </c>
      <c r="D30" s="12">
        <v>125.648662</v>
      </c>
      <c r="E30" s="12">
        <v>125.393404</v>
      </c>
      <c r="F30" s="12">
        <v>125.24032699999999</v>
      </c>
      <c r="G30" s="12">
        <v>125.011056</v>
      </c>
      <c r="H30" s="12">
        <v>128.30350999999999</v>
      </c>
      <c r="I30" s="12">
        <v>127.792181</v>
      </c>
      <c r="J30" s="12">
        <v>128.6754</v>
      </c>
      <c r="K30" s="12">
        <v>123.768311</v>
      </c>
      <c r="L30" s="12">
        <v>127.88222500000001</v>
      </c>
      <c r="M30" s="12">
        <v>125.304936</v>
      </c>
      <c r="N30" s="12">
        <v>123.201232</v>
      </c>
      <c r="O30" s="12">
        <v>135.70120399999999</v>
      </c>
      <c r="P30" s="12">
        <v>126.43288309</v>
      </c>
      <c r="Q30" s="12">
        <v>128.78117800000001</v>
      </c>
      <c r="R30" s="12">
        <v>124.565832</v>
      </c>
      <c r="S30" s="12">
        <v>133.83551499999999</v>
      </c>
      <c r="T30" s="12">
        <v>114.0662675</v>
      </c>
      <c r="U30" s="12">
        <v>115.043876</v>
      </c>
      <c r="V30" s="12">
        <v>131.60412199999999</v>
      </c>
      <c r="W30" s="12">
        <v>126.004203</v>
      </c>
      <c r="X30" s="12">
        <v>120.882306</v>
      </c>
      <c r="Y30" s="12">
        <v>123.766918</v>
      </c>
      <c r="Z30" s="12">
        <v>129.15631400000001</v>
      </c>
      <c r="AA30" s="12">
        <v>119.688816</v>
      </c>
      <c r="AB30" s="12">
        <v>128.60718900000001</v>
      </c>
      <c r="AC30" s="12">
        <v>126.471358</v>
      </c>
      <c r="AD30" s="12">
        <v>125.68968</v>
      </c>
      <c r="AE30" s="12">
        <v>118.73957</v>
      </c>
      <c r="AF30" s="12">
        <v>130.17199650000001</v>
      </c>
      <c r="AG30" s="12">
        <v>130.28851388999999</v>
      </c>
      <c r="AH30" s="12">
        <v>131.17836600000001</v>
      </c>
      <c r="AI30" s="12">
        <v>131.30383900000001</v>
      </c>
      <c r="AJ30" s="12">
        <v>116.67233</v>
      </c>
      <c r="AK30" s="12">
        <v>131.90312800000001</v>
      </c>
      <c r="AL30" s="12">
        <v>119.16944767</v>
      </c>
      <c r="AM30" s="12">
        <v>119.807273</v>
      </c>
      <c r="AN30" s="12">
        <v>126.609746</v>
      </c>
      <c r="AO30" s="12">
        <v>119.81194600000001</v>
      </c>
      <c r="AP30" s="12">
        <v>111.6204005</v>
      </c>
      <c r="AQ30" s="12">
        <v>112.13050800000001</v>
      </c>
      <c r="AR30" s="12">
        <v>120.80797</v>
      </c>
      <c r="AS30" s="12">
        <v>128.25546700000001</v>
      </c>
      <c r="AT30" s="12">
        <v>128.25546700000001</v>
      </c>
      <c r="AU30" s="12">
        <v>129.495645</v>
      </c>
      <c r="AV30" s="12">
        <v>126.64408899999999</v>
      </c>
      <c r="AW30" s="12">
        <v>122.90009999999999</v>
      </c>
      <c r="AX30" s="12">
        <v>123.287468</v>
      </c>
      <c r="AY30" s="12">
        <v>135.42531500000001</v>
      </c>
      <c r="AZ30" s="12">
        <v>125.092384</v>
      </c>
      <c r="BA30" s="12">
        <v>124.192899</v>
      </c>
      <c r="BB30" s="12">
        <v>123.717646</v>
      </c>
      <c r="BC30" s="12">
        <v>123.97597</v>
      </c>
      <c r="BD30" s="12">
        <v>123.403285</v>
      </c>
      <c r="BE30" s="12">
        <v>124.168532</v>
      </c>
      <c r="BF30" s="12">
        <v>128.46341699999999</v>
      </c>
      <c r="BG30" s="12">
        <v>129.704239</v>
      </c>
      <c r="BH30" s="12">
        <v>129.704239</v>
      </c>
      <c r="BI30" s="12">
        <v>129.704239</v>
      </c>
      <c r="BJ30" s="12">
        <v>120.50508000000001</v>
      </c>
      <c r="BK30" s="12">
        <v>121.324518</v>
      </c>
      <c r="BL30" s="12">
        <v>131.657445</v>
      </c>
      <c r="BM30" s="12">
        <v>131.10705999999999</v>
      </c>
      <c r="BN30" s="12">
        <v>127.449237</v>
      </c>
      <c r="BO30" s="12">
        <v>124.32845</v>
      </c>
      <c r="BP30" s="12">
        <v>127.163262</v>
      </c>
      <c r="BQ30" s="12">
        <v>116.735331</v>
      </c>
      <c r="BR30" s="12">
        <v>116.75984542</v>
      </c>
      <c r="BS30" s="12">
        <v>123.893311</v>
      </c>
      <c r="BT30" s="12">
        <v>124.00960216999999</v>
      </c>
      <c r="BU30" s="12">
        <v>132.56896169000001</v>
      </c>
      <c r="BV30" s="12">
        <v>135.291157</v>
      </c>
      <c r="BW30" s="12">
        <v>127.094381</v>
      </c>
      <c r="BX30" s="12">
        <v>128.39720800000001</v>
      </c>
      <c r="BY30" s="12">
        <v>128.39720800000001</v>
      </c>
      <c r="BZ30" s="12">
        <v>132.47614999999999</v>
      </c>
      <c r="CA30" s="12">
        <v>131.59805700000001</v>
      </c>
      <c r="CB30" s="12">
        <v>126.97379599999999</v>
      </c>
      <c r="CC30" s="12">
        <v>126.126057</v>
      </c>
      <c r="CD30" s="12">
        <v>125.25195100000001</v>
      </c>
      <c r="CE30" s="12">
        <v>129.66184699999999</v>
      </c>
      <c r="CF30" s="12">
        <v>124.01190800000001</v>
      </c>
      <c r="CG30" s="12">
        <v>135.291157</v>
      </c>
      <c r="CH30" s="12">
        <v>125.110292</v>
      </c>
      <c r="CI30" s="12">
        <v>125.093675</v>
      </c>
      <c r="CJ30" s="12">
        <v>124.713306</v>
      </c>
      <c r="CK30" s="12">
        <v>136.90603999999999</v>
      </c>
      <c r="CL30" s="12">
        <v>138.14241999999999</v>
      </c>
      <c r="CM30" s="12">
        <v>136.06815399999999</v>
      </c>
      <c r="CN30" s="12">
        <v>134.58459300000001</v>
      </c>
      <c r="CO30" s="12">
        <v>136.337557</v>
      </c>
      <c r="CP30" s="12">
        <v>125.62794</v>
      </c>
      <c r="CQ30" s="12">
        <v>125.21469999999999</v>
      </c>
      <c r="CR30" s="12">
        <v>128.34150224000001</v>
      </c>
      <c r="CS30" s="12">
        <v>131.352675</v>
      </c>
      <c r="CT30" s="12">
        <v>122.161956</v>
      </c>
      <c r="CU30" s="12">
        <v>132.8477978</v>
      </c>
      <c r="CV30" s="12">
        <v>124.888148</v>
      </c>
      <c r="CW30" s="12">
        <v>123.47609199999999</v>
      </c>
      <c r="CX30" s="12">
        <v>132.56152022000001</v>
      </c>
      <c r="CY30" s="12">
        <v>121.025263</v>
      </c>
      <c r="CZ30" s="12">
        <v>123.06954133000001</v>
      </c>
      <c r="DA30" s="12">
        <v>123.743573</v>
      </c>
      <c r="DB30" s="12">
        <v>127.59546</v>
      </c>
      <c r="DC30" s="12">
        <v>129.09271100000001</v>
      </c>
      <c r="DD30" s="12">
        <v>129.525655</v>
      </c>
      <c r="DE30" s="12">
        <v>127.094381</v>
      </c>
      <c r="DF30" s="12">
        <v>126.608997</v>
      </c>
      <c r="DG30" s="12">
        <v>127.56700600000001</v>
      </c>
      <c r="DH30" s="12">
        <v>128.39720800000001</v>
      </c>
      <c r="DI30" s="12">
        <v>126.58983499999999</v>
      </c>
      <c r="DJ30" s="12">
        <v>127.73766000000001</v>
      </c>
      <c r="DK30" s="12">
        <v>136.61694370000001</v>
      </c>
      <c r="DL30" s="12">
        <v>125.92964000000001</v>
      </c>
      <c r="DM30" s="12">
        <v>125.68728400000001</v>
      </c>
      <c r="DN30" s="12">
        <v>122.96581999999999</v>
      </c>
      <c r="DO30" s="12">
        <v>136.382127</v>
      </c>
      <c r="DP30" s="12">
        <v>135.07474400000001</v>
      </c>
      <c r="DQ30" s="12">
        <v>129.83504600000001</v>
      </c>
      <c r="DR30" s="12">
        <v>112.553617</v>
      </c>
      <c r="DS30" s="12">
        <v>134.93677400000001</v>
      </c>
      <c r="DT30" s="12">
        <v>123.22909300000001</v>
      </c>
      <c r="DU30" s="12">
        <v>123.706723</v>
      </c>
      <c r="DV30" s="12">
        <v>126.321476</v>
      </c>
      <c r="DW30" s="12">
        <v>127.720403</v>
      </c>
      <c r="DX30" s="12">
        <v>128.12562800000001</v>
      </c>
      <c r="DY30" s="12">
        <v>117.87837399999999</v>
      </c>
      <c r="DZ30" s="12">
        <v>117.654775</v>
      </c>
      <c r="EA30" s="12">
        <v>117.654775</v>
      </c>
      <c r="EB30" s="12">
        <v>118.87180854</v>
      </c>
      <c r="EC30" s="12">
        <v>124.920776</v>
      </c>
      <c r="ED30" s="12">
        <v>125.199732</v>
      </c>
      <c r="EE30" s="12">
        <v>122.058959</v>
      </c>
      <c r="EF30" s="12">
        <v>122.796224</v>
      </c>
      <c r="EG30" s="12">
        <v>116.565917</v>
      </c>
      <c r="EH30" s="12">
        <v>125.71729499999999</v>
      </c>
      <c r="EI30" s="12">
        <v>142.43384139</v>
      </c>
      <c r="EJ30" s="12">
        <v>121.65478899999999</v>
      </c>
      <c r="EK30" s="12">
        <v>121.65478899999999</v>
      </c>
      <c r="EL30" s="12">
        <v>122.812939</v>
      </c>
      <c r="EM30" s="12">
        <v>126.74969900000001</v>
      </c>
      <c r="EN30" s="12">
        <v>127.257684</v>
      </c>
      <c r="EO30" s="12">
        <v>127.094381</v>
      </c>
      <c r="EP30" s="12">
        <v>125.049423</v>
      </c>
      <c r="EQ30" s="12">
        <v>125.665532</v>
      </c>
      <c r="ER30" s="12">
        <v>136.34882200000001</v>
      </c>
      <c r="ES30" s="12">
        <v>124.776482</v>
      </c>
      <c r="ET30" s="12">
        <v>125.033036</v>
      </c>
      <c r="EU30" s="12">
        <v>127.8363706</v>
      </c>
      <c r="EV30" s="12">
        <v>121.372767</v>
      </c>
      <c r="EW30" s="12">
        <v>120.3639</v>
      </c>
      <c r="EX30" s="12">
        <v>122.329069</v>
      </c>
      <c r="EY30" s="12">
        <v>127.43683</v>
      </c>
      <c r="EZ30" s="12">
        <v>118.459442</v>
      </c>
      <c r="FA30" s="12">
        <v>120.42699399999999</v>
      </c>
      <c r="FB30" s="12">
        <v>118.785706</v>
      </c>
      <c r="FC30" s="12">
        <v>124.979798</v>
      </c>
      <c r="FD30" s="12">
        <v>125.49731300000001</v>
      </c>
      <c r="FE30" s="12">
        <v>125.713905</v>
      </c>
      <c r="FF30" s="12">
        <v>142.93856575999999</v>
      </c>
      <c r="FG30" s="12">
        <v>124.287414</v>
      </c>
      <c r="FH30" s="12">
        <v>136.47532100000001</v>
      </c>
      <c r="FI30" s="12">
        <v>126.349523</v>
      </c>
      <c r="FJ30" s="12">
        <v>160.82040022999999</v>
      </c>
      <c r="FK30" s="12">
        <v>133.18210033</v>
      </c>
      <c r="FL30" s="12">
        <v>141.54116300000001</v>
      </c>
      <c r="FM30" s="12">
        <v>116.6865935</v>
      </c>
      <c r="FN30" s="12">
        <v>117.472365</v>
      </c>
      <c r="FO30" s="12">
        <v>122.72183800000001</v>
      </c>
      <c r="FP30" s="12">
        <v>124.73408499999999</v>
      </c>
      <c r="FQ30" s="12">
        <v>132.49217960999999</v>
      </c>
      <c r="FR30" s="12">
        <v>131.97421399999999</v>
      </c>
      <c r="FS30" s="12">
        <v>132.47614999999999</v>
      </c>
      <c r="FT30" s="12">
        <v>125.952011</v>
      </c>
      <c r="FU30" s="12">
        <v>125.952011</v>
      </c>
      <c r="FV30" s="12">
        <v>129.61105699999999</v>
      </c>
      <c r="FW30" s="12">
        <v>129.61105699999999</v>
      </c>
      <c r="FX30" s="12">
        <v>128.162971</v>
      </c>
      <c r="FY30" s="12">
        <v>125.797872</v>
      </c>
      <c r="FZ30" s="12">
        <v>125.678078</v>
      </c>
      <c r="GA30" s="12">
        <v>125.739733</v>
      </c>
      <c r="GB30" s="12">
        <v>125.63527000000001</v>
      </c>
      <c r="GC30" s="12">
        <v>129.22680990000001</v>
      </c>
      <c r="GD30" s="12">
        <v>125.21439100000001</v>
      </c>
      <c r="GE30" s="12">
        <v>128.32237599999999</v>
      </c>
      <c r="GF30" s="12">
        <v>135.291157</v>
      </c>
      <c r="GG30" s="12">
        <v>135.291157</v>
      </c>
      <c r="GH30" s="12">
        <v>124.220821</v>
      </c>
      <c r="GI30" s="12">
        <v>119.646613</v>
      </c>
      <c r="GJ30" s="12">
        <v>125.669971</v>
      </c>
      <c r="GK30" s="12">
        <v>126.608997</v>
      </c>
      <c r="GL30" s="12">
        <v>132.29326255000001</v>
      </c>
      <c r="GM30" s="12">
        <v>111.17714700000001</v>
      </c>
      <c r="GN30" s="12">
        <v>132.29326255000001</v>
      </c>
      <c r="GO30" s="12">
        <v>125.952011</v>
      </c>
      <c r="GP30" s="12">
        <v>125.566439</v>
      </c>
      <c r="GQ30" s="12">
        <v>125.59468699999999</v>
      </c>
      <c r="GR30" s="12">
        <v>127.14303700000001</v>
      </c>
      <c r="GS30" s="12">
        <v>122.10432299999999</v>
      </c>
      <c r="GT30" s="12">
        <v>117.375928</v>
      </c>
      <c r="GU30" s="12">
        <v>126.428758</v>
      </c>
      <c r="GV30" s="12">
        <v>119.970737</v>
      </c>
      <c r="GW30" s="12">
        <v>134.17163300000001</v>
      </c>
      <c r="GX30" s="12">
        <v>127.414395</v>
      </c>
      <c r="GY30" s="12">
        <v>126.992153</v>
      </c>
      <c r="GZ30" s="12">
        <v>126.803184</v>
      </c>
      <c r="HA30" s="12">
        <v>126.428758</v>
      </c>
      <c r="HB30" s="12">
        <v>126.018379</v>
      </c>
      <c r="HC30" s="12">
        <v>126.3171555</v>
      </c>
      <c r="HD30" s="12">
        <v>125.690994</v>
      </c>
      <c r="HE30" s="12">
        <v>136.146322</v>
      </c>
      <c r="HF30" s="12">
        <v>136.34882200000001</v>
      </c>
      <c r="HG30" s="12">
        <v>136.34882200000001</v>
      </c>
      <c r="HH30" s="12">
        <v>136.34882200000001</v>
      </c>
      <c r="HI30" s="12">
        <v>125.49163</v>
      </c>
      <c r="HJ30" s="12">
        <v>128.96529100000001</v>
      </c>
      <c r="HK30" s="12">
        <v>128.463571</v>
      </c>
      <c r="HL30" s="12">
        <v>132.73356100000001</v>
      </c>
      <c r="HM30" s="12">
        <v>129.327945</v>
      </c>
      <c r="HN30" s="12">
        <v>132.90183200000001</v>
      </c>
      <c r="HO30" s="12">
        <v>109.1071397</v>
      </c>
      <c r="HP30" s="12">
        <v>136.668869</v>
      </c>
      <c r="HQ30" s="12">
        <v>125.9110305</v>
      </c>
      <c r="HR30" s="12">
        <v>126.263586</v>
      </c>
      <c r="HS30" s="12">
        <v>123.784454</v>
      </c>
      <c r="HT30" s="12">
        <v>122.568686</v>
      </c>
      <c r="HU30" s="12">
        <v>118.69428274000001</v>
      </c>
      <c r="HV30" s="12">
        <v>115.007593</v>
      </c>
      <c r="HW30" s="12">
        <v>115.554845</v>
      </c>
      <c r="HX30" s="12">
        <v>126.27333489</v>
      </c>
      <c r="HY30" s="12">
        <v>126.488012</v>
      </c>
      <c r="HZ30" s="12">
        <v>139.25264200000001</v>
      </c>
      <c r="IA30" s="12"/>
      <c r="IB30" s="12"/>
      <c r="IC30" s="12"/>
      <c r="ID30" s="12"/>
      <c r="IE30" s="12"/>
      <c r="IF30" s="12"/>
      <c r="IG30" s="12"/>
      <c r="IH30" s="12"/>
      <c r="II30" s="12"/>
      <c r="IJ30" s="12"/>
      <c r="IK30" s="12"/>
    </row>
    <row r="31" spans="1:245" x14ac:dyDescent="0.25">
      <c r="A31" s="11">
        <v>46049.625</v>
      </c>
      <c r="B31" s="12">
        <v>139.58248610000001</v>
      </c>
      <c r="C31" s="12">
        <v>129.15255500000001</v>
      </c>
      <c r="D31" s="12">
        <v>130.02264700000001</v>
      </c>
      <c r="E31" s="12">
        <v>129.78367900000001</v>
      </c>
      <c r="F31" s="12">
        <v>129.60026400000001</v>
      </c>
      <c r="G31" s="12">
        <v>129.72159300000001</v>
      </c>
      <c r="H31" s="12">
        <v>131.77757299999999</v>
      </c>
      <c r="I31" s="12">
        <v>131.20578</v>
      </c>
      <c r="J31" s="12">
        <v>132.19003499999999</v>
      </c>
      <c r="K31" s="12">
        <v>128.61677900000001</v>
      </c>
      <c r="L31" s="12">
        <v>132.40848199999999</v>
      </c>
      <c r="M31" s="12">
        <v>129.54527400000001</v>
      </c>
      <c r="N31" s="12">
        <v>127.48825100000001</v>
      </c>
      <c r="O31" s="12">
        <v>140.23921000000001</v>
      </c>
      <c r="P31" s="12">
        <v>130.51003194</v>
      </c>
      <c r="Q31" s="12">
        <v>132.258037</v>
      </c>
      <c r="R31" s="12">
        <v>128.51922099999999</v>
      </c>
      <c r="S31" s="12">
        <v>138.27148700000001</v>
      </c>
      <c r="T31" s="12">
        <v>118.21397949999999</v>
      </c>
      <c r="U31" s="12">
        <v>119.20255299999999</v>
      </c>
      <c r="V31" s="12">
        <v>135.920569</v>
      </c>
      <c r="W31" s="12">
        <v>130.35040699999999</v>
      </c>
      <c r="X31" s="12">
        <v>125.07783999999999</v>
      </c>
      <c r="Y31" s="12">
        <v>128.01765800000001</v>
      </c>
      <c r="Z31" s="12">
        <v>133.62593699999999</v>
      </c>
      <c r="AA31" s="12">
        <v>123.730226</v>
      </c>
      <c r="AB31" s="12">
        <v>132.640207</v>
      </c>
      <c r="AC31" s="12">
        <v>130.80927299999999</v>
      </c>
      <c r="AD31" s="12">
        <v>130.03109699999999</v>
      </c>
      <c r="AE31" s="12">
        <v>122.673807</v>
      </c>
      <c r="AF31" s="12">
        <v>134.45468450000001</v>
      </c>
      <c r="AG31" s="12">
        <v>134.56706542000001</v>
      </c>
      <c r="AH31" s="12">
        <v>135.50097600000001</v>
      </c>
      <c r="AI31" s="12">
        <v>135.61118200000001</v>
      </c>
      <c r="AJ31" s="12">
        <v>120.46827500000001</v>
      </c>
      <c r="AK31" s="12">
        <v>136.214958</v>
      </c>
      <c r="AL31" s="12">
        <v>123.39960000000001</v>
      </c>
      <c r="AM31" s="12">
        <v>124.006952</v>
      </c>
      <c r="AN31" s="12">
        <v>130.43485000000001</v>
      </c>
      <c r="AO31" s="12">
        <v>123.639037</v>
      </c>
      <c r="AP31" s="12">
        <v>115.3073445</v>
      </c>
      <c r="AQ31" s="12">
        <v>115.833753</v>
      </c>
      <c r="AR31" s="12">
        <v>124.15072499999999</v>
      </c>
      <c r="AS31" s="12">
        <v>132.587166</v>
      </c>
      <c r="AT31" s="12">
        <v>132.587166</v>
      </c>
      <c r="AU31" s="12">
        <v>133.86697799999999</v>
      </c>
      <c r="AV31" s="12">
        <v>131.024708</v>
      </c>
      <c r="AW31" s="12">
        <v>127.095187</v>
      </c>
      <c r="AX31" s="12">
        <v>127.49251599999999</v>
      </c>
      <c r="AY31" s="12">
        <v>139.748964</v>
      </c>
      <c r="AZ31" s="12">
        <v>129.44892100000001</v>
      </c>
      <c r="BA31" s="12">
        <v>128.79097999999999</v>
      </c>
      <c r="BB31" s="12">
        <v>128.1030385</v>
      </c>
      <c r="BC31" s="12">
        <v>128.45535167</v>
      </c>
      <c r="BD31" s="12">
        <v>128.24223799999999</v>
      </c>
      <c r="BE31" s="12">
        <v>128.753815</v>
      </c>
      <c r="BF31" s="12">
        <v>132.95587499999999</v>
      </c>
      <c r="BG31" s="12">
        <v>134.08505299999999</v>
      </c>
      <c r="BH31" s="12">
        <v>134.08505299999999</v>
      </c>
      <c r="BI31" s="12">
        <v>134.08505299999999</v>
      </c>
      <c r="BJ31" s="12">
        <v>124.965738</v>
      </c>
      <c r="BK31" s="12">
        <v>125.79516599999999</v>
      </c>
      <c r="BL31" s="12">
        <v>135.929902</v>
      </c>
      <c r="BM31" s="12">
        <v>135.402366</v>
      </c>
      <c r="BN31" s="12">
        <v>131.61754099999999</v>
      </c>
      <c r="BO31" s="12">
        <v>128.37460300000001</v>
      </c>
      <c r="BP31" s="12">
        <v>131.29045600000001</v>
      </c>
      <c r="BQ31" s="12">
        <v>120.544674</v>
      </c>
      <c r="BR31" s="12">
        <v>120.56998838</v>
      </c>
      <c r="BS31" s="12">
        <v>127.799187</v>
      </c>
      <c r="BT31" s="12">
        <v>128.12795550000001</v>
      </c>
      <c r="BU31" s="12">
        <v>136.81554348</v>
      </c>
      <c r="BV31" s="12">
        <v>139.60004499999999</v>
      </c>
      <c r="BW31" s="12">
        <v>130.70524900000001</v>
      </c>
      <c r="BX31" s="12">
        <v>132.51015599999999</v>
      </c>
      <c r="BY31" s="12">
        <v>132.51015599999999</v>
      </c>
      <c r="BZ31" s="12">
        <v>137.05690799999999</v>
      </c>
      <c r="CA31" s="12">
        <v>136.13278600000001</v>
      </c>
      <c r="CB31" s="12">
        <v>131.26458700000001</v>
      </c>
      <c r="CC31" s="12">
        <v>130.17015599999999</v>
      </c>
      <c r="CD31" s="12">
        <v>129.24026499999999</v>
      </c>
      <c r="CE31" s="12">
        <v>134.18296100000001</v>
      </c>
      <c r="CF31" s="12">
        <v>127.852763</v>
      </c>
      <c r="CG31" s="12">
        <v>139.60004499999999</v>
      </c>
      <c r="CH31" s="12">
        <v>129.46522300000001</v>
      </c>
      <c r="CI31" s="12">
        <v>129.450096</v>
      </c>
      <c r="CJ31" s="12">
        <v>128.62240700000001</v>
      </c>
      <c r="CK31" s="12">
        <v>141.26095799999999</v>
      </c>
      <c r="CL31" s="12">
        <v>142.56035600000001</v>
      </c>
      <c r="CM31" s="12">
        <v>140.420964</v>
      </c>
      <c r="CN31" s="12">
        <v>138.815628</v>
      </c>
      <c r="CO31" s="12">
        <v>140.63636099999999</v>
      </c>
      <c r="CP31" s="12">
        <v>129.893258</v>
      </c>
      <c r="CQ31" s="12">
        <v>129.37159600000001</v>
      </c>
      <c r="CR31" s="12">
        <v>132.62214711999999</v>
      </c>
      <c r="CS31" s="12">
        <v>135.93316799999999</v>
      </c>
      <c r="CT31" s="12">
        <v>126.216217</v>
      </c>
      <c r="CU31" s="12">
        <v>137.02353916999999</v>
      </c>
      <c r="CV31" s="12">
        <v>129.178618</v>
      </c>
      <c r="CW31" s="12">
        <v>127.707347</v>
      </c>
      <c r="CX31" s="12">
        <v>137.14898482999999</v>
      </c>
      <c r="CY31" s="12">
        <v>125.149534</v>
      </c>
      <c r="CZ31" s="12">
        <v>127.49389567</v>
      </c>
      <c r="DA31" s="12">
        <v>128.18946600000001</v>
      </c>
      <c r="DB31" s="12">
        <v>131.408198</v>
      </c>
      <c r="DC31" s="12">
        <v>132.76032499999999</v>
      </c>
      <c r="DD31" s="12">
        <v>133.21588199999999</v>
      </c>
      <c r="DE31" s="12">
        <v>130.70524900000001</v>
      </c>
      <c r="DF31" s="12">
        <v>130.26890900000001</v>
      </c>
      <c r="DG31" s="12">
        <v>131.60118</v>
      </c>
      <c r="DH31" s="12">
        <v>132.51015599999999</v>
      </c>
      <c r="DI31" s="12">
        <v>131.03710799999999</v>
      </c>
      <c r="DJ31" s="12">
        <v>131.07433700000001</v>
      </c>
      <c r="DK31" s="12">
        <v>141.32461819</v>
      </c>
      <c r="DL31" s="12">
        <v>130.10164499999999</v>
      </c>
      <c r="DM31" s="12">
        <v>129.840191</v>
      </c>
      <c r="DN31" s="12">
        <v>127.93149267</v>
      </c>
      <c r="DO31" s="12">
        <v>140.740377</v>
      </c>
      <c r="DP31" s="12">
        <v>139.436668</v>
      </c>
      <c r="DQ31" s="12">
        <v>134.09463700000001</v>
      </c>
      <c r="DR31" s="12">
        <v>116.24626499999999</v>
      </c>
      <c r="DS31" s="12">
        <v>139.30217200000001</v>
      </c>
      <c r="DT31" s="12">
        <v>127.798732</v>
      </c>
      <c r="DU31" s="12">
        <v>128.29045600000001</v>
      </c>
      <c r="DV31" s="12">
        <v>130.640163</v>
      </c>
      <c r="DW31" s="12">
        <v>131.350089</v>
      </c>
      <c r="DX31" s="12">
        <v>131.787342</v>
      </c>
      <c r="DY31" s="12">
        <v>121.538681</v>
      </c>
      <c r="DZ31" s="12">
        <v>121.414451</v>
      </c>
      <c r="EA31" s="12">
        <v>121.414451</v>
      </c>
      <c r="EB31" s="12">
        <v>122.88772374</v>
      </c>
      <c r="EC31" s="12">
        <v>128.77208999999999</v>
      </c>
      <c r="ED31" s="12">
        <v>129.08025699999999</v>
      </c>
      <c r="EE31" s="12">
        <v>126.45186099999999</v>
      </c>
      <c r="EF31" s="12">
        <v>127.127589</v>
      </c>
      <c r="EG31" s="12">
        <v>121.58170699999999</v>
      </c>
      <c r="EH31" s="12">
        <v>129.97471999999999</v>
      </c>
      <c r="EI31" s="12">
        <v>147.36295057999999</v>
      </c>
      <c r="EJ31" s="12">
        <v>124.953152</v>
      </c>
      <c r="EK31" s="12">
        <v>124.953152</v>
      </c>
      <c r="EL31" s="12">
        <v>126.89662800000001</v>
      </c>
      <c r="EM31" s="12">
        <v>130.35654</v>
      </c>
      <c r="EN31" s="12">
        <v>130.842545</v>
      </c>
      <c r="EO31" s="12">
        <v>130.70524900000001</v>
      </c>
      <c r="EP31" s="12">
        <v>129.52654000000001</v>
      </c>
      <c r="EQ31" s="12">
        <v>129.38680600000001</v>
      </c>
      <c r="ER31" s="12">
        <v>140.704914</v>
      </c>
      <c r="ES31" s="12">
        <v>129.120664</v>
      </c>
      <c r="ET31" s="12">
        <v>129.38725199999999</v>
      </c>
      <c r="EU31" s="12">
        <v>132.22864057000001</v>
      </c>
      <c r="EV31" s="12">
        <v>125.30304</v>
      </c>
      <c r="EW31" s="12">
        <v>124.211798</v>
      </c>
      <c r="EX31" s="12">
        <v>126.289832</v>
      </c>
      <c r="EY31" s="12">
        <v>131.44249099999999</v>
      </c>
      <c r="EZ31" s="12">
        <v>123.067759</v>
      </c>
      <c r="FA31" s="12">
        <v>124.449248</v>
      </c>
      <c r="FB31" s="12">
        <v>122.70161899999999</v>
      </c>
      <c r="FC31" s="12">
        <v>129.25565499999999</v>
      </c>
      <c r="FD31" s="12">
        <v>129.75632100000001</v>
      </c>
      <c r="FE31" s="12">
        <v>129.96588700000001</v>
      </c>
      <c r="FF31" s="12">
        <v>147.74539177</v>
      </c>
      <c r="FG31" s="12">
        <v>128.60852700000001</v>
      </c>
      <c r="FH31" s="12">
        <v>140.87943899999999</v>
      </c>
      <c r="FI31" s="12">
        <v>130.75473199999999</v>
      </c>
      <c r="FJ31" s="12">
        <v>166.04502669999999</v>
      </c>
      <c r="FK31" s="12">
        <v>137.50277371999999</v>
      </c>
      <c r="FL31" s="12">
        <v>146.06793099999999</v>
      </c>
      <c r="FM31" s="12">
        <v>122.980324</v>
      </c>
      <c r="FN31" s="12">
        <v>123.594098</v>
      </c>
      <c r="FO31" s="12">
        <v>126.620774</v>
      </c>
      <c r="FP31" s="12">
        <v>128.64897500000001</v>
      </c>
      <c r="FQ31" s="12">
        <v>137.07349189000001</v>
      </c>
      <c r="FR31" s="12">
        <v>136.53975800000001</v>
      </c>
      <c r="FS31" s="12">
        <v>137.05690799999999</v>
      </c>
      <c r="FT31" s="12">
        <v>129.69266099999999</v>
      </c>
      <c r="FU31" s="12">
        <v>129.69266099999999</v>
      </c>
      <c r="FV31" s="12">
        <v>136.17596800000001</v>
      </c>
      <c r="FW31" s="12">
        <v>136.17596800000001</v>
      </c>
      <c r="FX31" s="12">
        <v>134.56441699999999</v>
      </c>
      <c r="FY31" s="12">
        <v>129.868718</v>
      </c>
      <c r="FZ31" s="12">
        <v>129.742302</v>
      </c>
      <c r="GA31" s="12">
        <v>129.014421</v>
      </c>
      <c r="GB31" s="12">
        <v>128.53263699999999</v>
      </c>
      <c r="GC31" s="12">
        <v>133.5944763</v>
      </c>
      <c r="GD31" s="12">
        <v>129.19474700000001</v>
      </c>
      <c r="GE31" s="12">
        <v>132.53402600000001</v>
      </c>
      <c r="GF31" s="12">
        <v>139.60004499999999</v>
      </c>
      <c r="GG31" s="12">
        <v>139.60004499999999</v>
      </c>
      <c r="GH31" s="12">
        <v>127.729632</v>
      </c>
      <c r="GI31" s="12">
        <v>123.687095</v>
      </c>
      <c r="GJ31" s="12">
        <v>128.639928</v>
      </c>
      <c r="GK31" s="12">
        <v>130.26890900000001</v>
      </c>
      <c r="GL31" s="12">
        <v>136.87144376000001</v>
      </c>
      <c r="GM31" s="12">
        <v>115.519068</v>
      </c>
      <c r="GN31" s="12">
        <v>136.87144376000001</v>
      </c>
      <c r="GO31" s="12">
        <v>129.69266099999999</v>
      </c>
      <c r="GP31" s="12">
        <v>130.19218699999999</v>
      </c>
      <c r="GQ31" s="12">
        <v>129.332066</v>
      </c>
      <c r="GR31" s="12">
        <v>131.10525200000001</v>
      </c>
      <c r="GS31" s="12">
        <v>126.577821</v>
      </c>
      <c r="GT31" s="12">
        <v>121.282456</v>
      </c>
      <c r="GU31" s="12">
        <v>130.84463</v>
      </c>
      <c r="GV31" s="12">
        <v>123.694946</v>
      </c>
      <c r="GW31" s="12">
        <v>138.53051199999999</v>
      </c>
      <c r="GX31" s="12">
        <v>131.921209</v>
      </c>
      <c r="GY31" s="12">
        <v>130.881652</v>
      </c>
      <c r="GZ31" s="12">
        <v>130.64179300000001</v>
      </c>
      <c r="HA31" s="12">
        <v>130.84463</v>
      </c>
      <c r="HB31" s="12">
        <v>130.42137199999999</v>
      </c>
      <c r="HC31" s="12">
        <v>130.687353</v>
      </c>
      <c r="HD31" s="12">
        <v>129.43193299999999</v>
      </c>
      <c r="HE31" s="12">
        <v>140.48535200000001</v>
      </c>
      <c r="HF31" s="12">
        <v>140.704914</v>
      </c>
      <c r="HG31" s="12">
        <v>140.704914</v>
      </c>
      <c r="HH31" s="12">
        <v>140.704914</v>
      </c>
      <c r="HI31" s="12">
        <v>129.85960499999999</v>
      </c>
      <c r="HJ31" s="12">
        <v>133.16967500000001</v>
      </c>
      <c r="HK31" s="12">
        <v>132.62790699999999</v>
      </c>
      <c r="HL31" s="12">
        <v>137.602116</v>
      </c>
      <c r="HM31" s="12">
        <v>132.881483</v>
      </c>
      <c r="HN31" s="12">
        <v>137.22247999999999</v>
      </c>
      <c r="HO31" s="12">
        <v>113.36821847</v>
      </c>
      <c r="HP31" s="12">
        <v>141.068701</v>
      </c>
      <c r="HQ31" s="12">
        <v>130.24048199999999</v>
      </c>
      <c r="HR31" s="12">
        <v>130.60276300000001</v>
      </c>
      <c r="HS31" s="12">
        <v>127.966382</v>
      </c>
      <c r="HT31" s="12">
        <v>127.05545100000001</v>
      </c>
      <c r="HU31" s="12">
        <v>122.72418930000001</v>
      </c>
      <c r="HV31" s="12">
        <v>118.88014200000001</v>
      </c>
      <c r="HW31" s="12">
        <v>119.434763</v>
      </c>
      <c r="HX31" s="12">
        <v>130.30359419000001</v>
      </c>
      <c r="HY31" s="12">
        <v>130.82523</v>
      </c>
      <c r="HZ31" s="12">
        <v>143.698588</v>
      </c>
      <c r="IA31" s="12"/>
      <c r="IB31" s="12"/>
      <c r="IC31" s="12"/>
      <c r="ID31" s="12"/>
      <c r="IE31" s="12"/>
      <c r="IF31" s="12"/>
      <c r="IG31" s="12"/>
      <c r="IH31" s="12"/>
      <c r="II31" s="12"/>
      <c r="IJ31" s="12"/>
      <c r="IK31" s="12"/>
    </row>
    <row r="32" spans="1:245" x14ac:dyDescent="0.25">
      <c r="A32" s="11">
        <v>46049.645833333336</v>
      </c>
      <c r="B32" s="12">
        <v>134.22878745</v>
      </c>
      <c r="C32" s="12">
        <v>124.186644</v>
      </c>
      <c r="D32" s="12">
        <v>125.00856</v>
      </c>
      <c r="E32" s="12">
        <v>124.779571</v>
      </c>
      <c r="F32" s="12">
        <v>124.608557</v>
      </c>
      <c r="G32" s="12">
        <v>124.270287</v>
      </c>
      <c r="H32" s="12">
        <v>126.385588</v>
      </c>
      <c r="I32" s="12">
        <v>125.750193</v>
      </c>
      <c r="J32" s="12">
        <v>126.858659</v>
      </c>
      <c r="K32" s="12">
        <v>123.167597</v>
      </c>
      <c r="L32" s="12">
        <v>127.372446</v>
      </c>
      <c r="M32" s="12">
        <v>124.981554</v>
      </c>
      <c r="N32" s="12">
        <v>123.099897</v>
      </c>
      <c r="O32" s="12">
        <v>135.338785</v>
      </c>
      <c r="P32" s="12">
        <v>125.41814374</v>
      </c>
      <c r="Q32" s="12">
        <v>127.015507</v>
      </c>
      <c r="R32" s="12">
        <v>123.369381</v>
      </c>
      <c r="S32" s="12">
        <v>133.41136900000001</v>
      </c>
      <c r="T32" s="12">
        <v>116.48662950000001</v>
      </c>
      <c r="U32" s="12">
        <v>117.22870399999999</v>
      </c>
      <c r="V32" s="12">
        <v>131.09446700000001</v>
      </c>
      <c r="W32" s="12">
        <v>124.945914</v>
      </c>
      <c r="X32" s="12">
        <v>119.755472</v>
      </c>
      <c r="Y32" s="12">
        <v>122.621855</v>
      </c>
      <c r="Z32" s="12">
        <v>128.642945</v>
      </c>
      <c r="AA32" s="12">
        <v>118.26282999999999</v>
      </c>
      <c r="AB32" s="12">
        <v>125.19667200000001</v>
      </c>
      <c r="AC32" s="12">
        <v>125.420068</v>
      </c>
      <c r="AD32" s="12">
        <v>124.63167199999999</v>
      </c>
      <c r="AE32" s="12">
        <v>117.731369</v>
      </c>
      <c r="AF32" s="12">
        <v>129.69829125000001</v>
      </c>
      <c r="AG32" s="12">
        <v>129.80314156</v>
      </c>
      <c r="AH32" s="12">
        <v>130.77285800000001</v>
      </c>
      <c r="AI32" s="12">
        <v>130.80919800000001</v>
      </c>
      <c r="AJ32" s="12">
        <v>115.59814799999999</v>
      </c>
      <c r="AK32" s="12">
        <v>131.38881599999999</v>
      </c>
      <c r="AL32" s="12">
        <v>117.85832567</v>
      </c>
      <c r="AM32" s="12">
        <v>118.4884</v>
      </c>
      <c r="AN32" s="12">
        <v>126.024841</v>
      </c>
      <c r="AO32" s="12">
        <v>118.614267</v>
      </c>
      <c r="AP32" s="12">
        <v>110.707792</v>
      </c>
      <c r="AQ32" s="12">
        <v>111.214411</v>
      </c>
      <c r="AR32" s="12">
        <v>124.50320499999999</v>
      </c>
      <c r="AS32" s="12">
        <v>127.492238</v>
      </c>
      <c r="AT32" s="12">
        <v>127.492238</v>
      </c>
      <c r="AU32" s="12">
        <v>128.82175599999999</v>
      </c>
      <c r="AV32" s="12">
        <v>125.6231815</v>
      </c>
      <c r="AW32" s="12">
        <v>122.784291</v>
      </c>
      <c r="AX32" s="12">
        <v>123.098157</v>
      </c>
      <c r="AY32" s="12">
        <v>134.44608600000001</v>
      </c>
      <c r="AZ32" s="12">
        <v>124.027428</v>
      </c>
      <c r="BA32" s="12">
        <v>123.364998</v>
      </c>
      <c r="BB32" s="12">
        <v>122.71796999999999</v>
      </c>
      <c r="BC32" s="12">
        <v>123.04658133</v>
      </c>
      <c r="BD32" s="12">
        <v>122.81022299999999</v>
      </c>
      <c r="BE32" s="12">
        <v>123.329812</v>
      </c>
      <c r="BF32" s="12">
        <v>127.951877</v>
      </c>
      <c r="BG32" s="12">
        <v>129.031982</v>
      </c>
      <c r="BH32" s="12">
        <v>129.031982</v>
      </c>
      <c r="BI32" s="12">
        <v>129.031982</v>
      </c>
      <c r="BJ32" s="12">
        <v>119.342462</v>
      </c>
      <c r="BK32" s="12">
        <v>120.15348299999999</v>
      </c>
      <c r="BL32" s="12">
        <v>130.70246</v>
      </c>
      <c r="BM32" s="12">
        <v>130.13009</v>
      </c>
      <c r="BN32" s="12">
        <v>124.58355899999999</v>
      </c>
      <c r="BO32" s="12">
        <v>121.804137</v>
      </c>
      <c r="BP32" s="12">
        <v>126.29985000000001</v>
      </c>
      <c r="BQ32" s="12">
        <v>115.676903</v>
      </c>
      <c r="BR32" s="12">
        <v>115.70119515</v>
      </c>
      <c r="BS32" s="12">
        <v>122.60199</v>
      </c>
      <c r="BT32" s="12">
        <v>123.33216899999999</v>
      </c>
      <c r="BU32" s="12">
        <v>129.06628345999999</v>
      </c>
      <c r="BV32" s="12">
        <v>134.29029299999999</v>
      </c>
      <c r="BW32" s="12">
        <v>125.576936</v>
      </c>
      <c r="BX32" s="12">
        <v>125.00475400000001</v>
      </c>
      <c r="BY32" s="12">
        <v>125.00475400000001</v>
      </c>
      <c r="BZ32" s="12">
        <v>131.674451</v>
      </c>
      <c r="CA32" s="12">
        <v>132.07932299999999</v>
      </c>
      <c r="CB32" s="12">
        <v>124.52364300000001</v>
      </c>
      <c r="CC32" s="12">
        <v>124.99646799999999</v>
      </c>
      <c r="CD32" s="12">
        <v>124.101063</v>
      </c>
      <c r="CE32" s="12">
        <v>130.332933</v>
      </c>
      <c r="CF32" s="12">
        <v>122.209109</v>
      </c>
      <c r="CG32" s="12">
        <v>134.29029299999999</v>
      </c>
      <c r="CH32" s="12">
        <v>124.04426599999999</v>
      </c>
      <c r="CI32" s="12">
        <v>124.028642</v>
      </c>
      <c r="CJ32" s="12">
        <v>123.20818199999999</v>
      </c>
      <c r="CK32" s="12">
        <v>135.92771500000001</v>
      </c>
      <c r="CL32" s="12">
        <v>137.14259200000001</v>
      </c>
      <c r="CM32" s="12">
        <v>134.95441700000001</v>
      </c>
      <c r="CN32" s="12">
        <v>133.46947</v>
      </c>
      <c r="CO32" s="12">
        <v>135.223693</v>
      </c>
      <c r="CP32" s="12">
        <v>124.99656400000001</v>
      </c>
      <c r="CQ32" s="12">
        <v>124.525363</v>
      </c>
      <c r="CR32" s="12">
        <v>127.67748614999999</v>
      </c>
      <c r="CS32" s="12">
        <v>130.36429100000001</v>
      </c>
      <c r="CT32" s="12">
        <v>120.208296</v>
      </c>
      <c r="CU32" s="12">
        <v>131.87073756999999</v>
      </c>
      <c r="CV32" s="12">
        <v>124.156013</v>
      </c>
      <c r="CW32" s="12">
        <v>122.523687</v>
      </c>
      <c r="CX32" s="12">
        <v>132.03461623999999</v>
      </c>
      <c r="CY32" s="12">
        <v>119.762468</v>
      </c>
      <c r="CZ32" s="12">
        <v>122.21888567000001</v>
      </c>
      <c r="DA32" s="12">
        <v>122.828666</v>
      </c>
      <c r="DB32" s="12">
        <v>124.076626</v>
      </c>
      <c r="DC32" s="12">
        <v>127.490115</v>
      </c>
      <c r="DD32" s="12">
        <v>127.909871</v>
      </c>
      <c r="DE32" s="12">
        <v>125.576936</v>
      </c>
      <c r="DF32" s="12">
        <v>125.175697</v>
      </c>
      <c r="DG32" s="12">
        <v>124.193336</v>
      </c>
      <c r="DH32" s="12">
        <v>125.00475400000001</v>
      </c>
      <c r="DI32" s="12">
        <v>125.5944415</v>
      </c>
      <c r="DJ32" s="12">
        <v>125.85350699999999</v>
      </c>
      <c r="DK32" s="12">
        <v>137.11656421999999</v>
      </c>
      <c r="DL32" s="12">
        <v>125.371077</v>
      </c>
      <c r="DM32" s="12">
        <v>125.173445</v>
      </c>
      <c r="DN32" s="12">
        <v>122.50737933000001</v>
      </c>
      <c r="DO32" s="12">
        <v>135.257486</v>
      </c>
      <c r="DP32" s="12">
        <v>134.03406899999999</v>
      </c>
      <c r="DQ32" s="12">
        <v>129.256247</v>
      </c>
      <c r="DR32" s="12">
        <v>111.537477</v>
      </c>
      <c r="DS32" s="12">
        <v>133.89822899999999</v>
      </c>
      <c r="DT32" s="12">
        <v>122.41288299999999</v>
      </c>
      <c r="DU32" s="12">
        <v>122.88471800000001</v>
      </c>
      <c r="DV32" s="12">
        <v>125.498074</v>
      </c>
      <c r="DW32" s="12">
        <v>126.31468700000001</v>
      </c>
      <c r="DX32" s="12">
        <v>126.833479</v>
      </c>
      <c r="DY32" s="12">
        <v>116.584121</v>
      </c>
      <c r="DZ32" s="12">
        <v>116.480451</v>
      </c>
      <c r="EA32" s="12">
        <v>116.480451</v>
      </c>
      <c r="EB32" s="12">
        <v>118.1110718</v>
      </c>
      <c r="EC32" s="12">
        <v>123.18236899999999</v>
      </c>
      <c r="ED32" s="12">
        <v>123.469143</v>
      </c>
      <c r="EE32" s="12">
        <v>120.819681</v>
      </c>
      <c r="EF32" s="12">
        <v>121.597731</v>
      </c>
      <c r="EG32" s="12">
        <v>117.128591</v>
      </c>
      <c r="EH32" s="12">
        <v>125.0895</v>
      </c>
      <c r="EI32" s="12">
        <v>141.86769702999999</v>
      </c>
      <c r="EJ32" s="12">
        <v>125.283272</v>
      </c>
      <c r="EK32" s="12">
        <v>125.283272</v>
      </c>
      <c r="EL32" s="12">
        <v>120.886118</v>
      </c>
      <c r="EM32" s="12">
        <v>125.24073300000001</v>
      </c>
      <c r="EN32" s="12">
        <v>125.693181</v>
      </c>
      <c r="EO32" s="12">
        <v>125.576936</v>
      </c>
      <c r="EP32" s="12">
        <v>124.152716</v>
      </c>
      <c r="EQ32" s="12">
        <v>123.179413</v>
      </c>
      <c r="ER32" s="12">
        <v>135.22574900000001</v>
      </c>
      <c r="ES32" s="12">
        <v>123.712855</v>
      </c>
      <c r="ET32" s="12">
        <v>123.96832999999999</v>
      </c>
      <c r="EU32" s="12">
        <v>126.78159001</v>
      </c>
      <c r="EV32" s="12">
        <v>120.17334200000001</v>
      </c>
      <c r="EW32" s="12">
        <v>119.164523</v>
      </c>
      <c r="EX32" s="12">
        <v>121.06018400000001</v>
      </c>
      <c r="EY32" s="12">
        <v>126.499566</v>
      </c>
      <c r="EZ32" s="12">
        <v>119.525178</v>
      </c>
      <c r="FA32" s="12">
        <v>119.48198600000001</v>
      </c>
      <c r="FB32" s="12">
        <v>117.823775</v>
      </c>
      <c r="FC32" s="12">
        <v>124.821405</v>
      </c>
      <c r="FD32" s="12">
        <v>125.012981</v>
      </c>
      <c r="FE32" s="12">
        <v>125.093255</v>
      </c>
      <c r="FF32" s="12">
        <v>142.25220727000001</v>
      </c>
      <c r="FG32" s="12">
        <v>123.672844</v>
      </c>
      <c r="FH32" s="12">
        <v>135.398338</v>
      </c>
      <c r="FI32" s="12">
        <v>125.301314</v>
      </c>
      <c r="FJ32" s="12">
        <v>159.34822167999999</v>
      </c>
      <c r="FK32" s="12">
        <v>132.21664902000001</v>
      </c>
      <c r="FL32" s="12">
        <v>140.563388</v>
      </c>
      <c r="FM32" s="12">
        <v>118.4760345</v>
      </c>
      <c r="FN32" s="12">
        <v>118.980991</v>
      </c>
      <c r="FO32" s="12">
        <v>121.37230700000001</v>
      </c>
      <c r="FP32" s="12">
        <v>123.23764799999999</v>
      </c>
      <c r="FQ32" s="12">
        <v>131.69038361</v>
      </c>
      <c r="FR32" s="12">
        <v>131.18429699999999</v>
      </c>
      <c r="FS32" s="12">
        <v>131.674451</v>
      </c>
      <c r="FT32" s="12">
        <v>124.617546</v>
      </c>
      <c r="FU32" s="12">
        <v>124.617546</v>
      </c>
      <c r="FV32" s="12">
        <v>130.672978</v>
      </c>
      <c r="FW32" s="12">
        <v>130.672978</v>
      </c>
      <c r="FX32" s="12">
        <v>129.17818399999999</v>
      </c>
      <c r="FY32" s="12">
        <v>125.175404</v>
      </c>
      <c r="FZ32" s="12">
        <v>125.036754</v>
      </c>
      <c r="GA32" s="12">
        <v>121.660642</v>
      </c>
      <c r="GB32" s="12">
        <v>121.213148</v>
      </c>
      <c r="GC32" s="12">
        <v>128.57711463999999</v>
      </c>
      <c r="GD32" s="12">
        <v>124.07796500000001</v>
      </c>
      <c r="GE32" s="12">
        <v>127.695222</v>
      </c>
      <c r="GF32" s="12">
        <v>134.29029299999999</v>
      </c>
      <c r="GG32" s="12">
        <v>134.29029299999999</v>
      </c>
      <c r="GH32" s="12">
        <v>125.44143099999999</v>
      </c>
      <c r="GI32" s="12">
        <v>118.22172267000001</v>
      </c>
      <c r="GJ32" s="12">
        <v>123.545197</v>
      </c>
      <c r="GK32" s="12">
        <v>125.175697</v>
      </c>
      <c r="GL32" s="12">
        <v>131.76742485</v>
      </c>
      <c r="GM32" s="12">
        <v>111.464924</v>
      </c>
      <c r="GN32" s="12">
        <v>131.76742485</v>
      </c>
      <c r="GO32" s="12">
        <v>124.617546</v>
      </c>
      <c r="GP32" s="12">
        <v>124.743779</v>
      </c>
      <c r="GQ32" s="12">
        <v>124.339331</v>
      </c>
      <c r="GR32" s="12">
        <v>125.427824</v>
      </c>
      <c r="GS32" s="12">
        <v>120.98068000000001</v>
      </c>
      <c r="GT32" s="12">
        <v>116.45183</v>
      </c>
      <c r="GU32" s="12">
        <v>125.45186699999999</v>
      </c>
      <c r="GV32" s="12">
        <v>118.69146000000001</v>
      </c>
      <c r="GW32" s="12">
        <v>132.94340199999999</v>
      </c>
      <c r="GX32" s="12">
        <v>126.945573</v>
      </c>
      <c r="GY32" s="12">
        <v>125.94398099999999</v>
      </c>
      <c r="GZ32" s="12">
        <v>125.619471</v>
      </c>
      <c r="HA32" s="12">
        <v>125.45186699999999</v>
      </c>
      <c r="HB32" s="12">
        <v>125.04580900000001</v>
      </c>
      <c r="HC32" s="12">
        <v>125.3440705</v>
      </c>
      <c r="HD32" s="12">
        <v>124.419828</v>
      </c>
      <c r="HE32" s="12">
        <v>135.02059800000001</v>
      </c>
      <c r="HF32" s="12">
        <v>135.22574900000001</v>
      </c>
      <c r="HG32" s="12">
        <v>135.22574900000001</v>
      </c>
      <c r="HH32" s="12">
        <v>135.22574900000001</v>
      </c>
      <c r="HI32" s="12">
        <v>124.89717400000001</v>
      </c>
      <c r="HJ32" s="12">
        <v>128.307468</v>
      </c>
      <c r="HK32" s="12">
        <v>127.80728499999999</v>
      </c>
      <c r="HL32" s="12">
        <v>132.428673</v>
      </c>
      <c r="HM32" s="12">
        <v>127.587653</v>
      </c>
      <c r="HN32" s="12">
        <v>131.89840000000001</v>
      </c>
      <c r="HO32" s="12">
        <v>109.38955858</v>
      </c>
      <c r="HP32" s="12">
        <v>135.572788</v>
      </c>
      <c r="HQ32" s="12">
        <v>124.8741795</v>
      </c>
      <c r="HR32" s="12">
        <v>125.221622</v>
      </c>
      <c r="HS32" s="12">
        <v>122.99242700000001</v>
      </c>
      <c r="HT32" s="12">
        <v>121.38394700000001</v>
      </c>
      <c r="HU32" s="12">
        <v>118.09775363999999</v>
      </c>
      <c r="HV32" s="12">
        <v>114.172307</v>
      </c>
      <c r="HW32" s="12">
        <v>114.69714399999999</v>
      </c>
      <c r="HX32" s="12">
        <v>125.35920811</v>
      </c>
      <c r="HY32" s="12">
        <v>125.445944</v>
      </c>
      <c r="HZ32" s="12">
        <v>138.08710199999999</v>
      </c>
      <c r="IA32" s="12"/>
      <c r="IB32" s="12"/>
      <c r="IC32" s="12"/>
      <c r="ID32" s="12"/>
      <c r="IE32" s="12"/>
      <c r="IF32" s="12"/>
      <c r="IG32" s="12"/>
      <c r="IH32" s="12"/>
      <c r="II32" s="12"/>
      <c r="IJ32" s="12"/>
      <c r="IK32" s="12"/>
    </row>
    <row r="33" spans="1:245" x14ac:dyDescent="0.25">
      <c r="A33" s="11">
        <v>46049.666666666664</v>
      </c>
      <c r="B33" s="12">
        <v>163.32252607000001</v>
      </c>
      <c r="C33" s="12">
        <v>147.888226</v>
      </c>
      <c r="D33" s="12">
        <v>149.12733299999999</v>
      </c>
      <c r="E33" s="12">
        <v>148.83350899999999</v>
      </c>
      <c r="F33" s="12">
        <v>148.649925</v>
      </c>
      <c r="G33" s="12">
        <v>150.77753000000001</v>
      </c>
      <c r="H33" s="12">
        <v>158.08550199999999</v>
      </c>
      <c r="I33" s="12">
        <v>157.27484799999999</v>
      </c>
      <c r="J33" s="12">
        <v>158.71993399999999</v>
      </c>
      <c r="K33" s="12">
        <v>149.22506899999999</v>
      </c>
      <c r="L33" s="12">
        <v>152.56526500000001</v>
      </c>
      <c r="M33" s="12">
        <v>154.94125600000001</v>
      </c>
      <c r="N33" s="12">
        <v>152.43554599999999</v>
      </c>
      <c r="O33" s="12">
        <v>164.45151100000001</v>
      </c>
      <c r="P33" s="12">
        <v>152.57597824999999</v>
      </c>
      <c r="Q33" s="12">
        <v>158.936677</v>
      </c>
      <c r="R33" s="12">
        <v>153.04298399999999</v>
      </c>
      <c r="S33" s="12">
        <v>162.13631100000001</v>
      </c>
      <c r="T33" s="12">
        <v>141.52961450000001</v>
      </c>
      <c r="U33" s="12">
        <v>142.44331600000001</v>
      </c>
      <c r="V33" s="12">
        <v>159.34764100000001</v>
      </c>
      <c r="W33" s="12">
        <v>152.40975599999999</v>
      </c>
      <c r="X33" s="12">
        <v>146.318738</v>
      </c>
      <c r="Y33" s="12">
        <v>149.63421399999999</v>
      </c>
      <c r="Z33" s="12">
        <v>159.73676399999999</v>
      </c>
      <c r="AA33" s="12">
        <v>145.07352</v>
      </c>
      <c r="AB33" s="12">
        <v>153.26114799999999</v>
      </c>
      <c r="AC33" s="12">
        <v>153.011819</v>
      </c>
      <c r="AD33" s="12">
        <v>152.02396100000001</v>
      </c>
      <c r="AE33" s="12">
        <v>143.38835700000001</v>
      </c>
      <c r="AF33" s="12">
        <v>157.70996</v>
      </c>
      <c r="AG33" s="12">
        <v>157.84679591</v>
      </c>
      <c r="AH33" s="12">
        <v>159.04945900000001</v>
      </c>
      <c r="AI33" s="12">
        <v>159.07478</v>
      </c>
      <c r="AJ33" s="12">
        <v>140.958484</v>
      </c>
      <c r="AK33" s="12">
        <v>159.715801</v>
      </c>
      <c r="AL33" s="12">
        <v>144.57501966999999</v>
      </c>
      <c r="AM33" s="12">
        <v>145.349558</v>
      </c>
      <c r="AN33" s="12">
        <v>157.24772999999999</v>
      </c>
      <c r="AO33" s="12">
        <v>144.73960600000001</v>
      </c>
      <c r="AP33" s="12">
        <v>134.5623295</v>
      </c>
      <c r="AQ33" s="12">
        <v>135.180768</v>
      </c>
      <c r="AR33" s="12">
        <v>153.77051</v>
      </c>
      <c r="AS33" s="12">
        <v>158.528772</v>
      </c>
      <c r="AT33" s="12">
        <v>158.528772</v>
      </c>
      <c r="AU33" s="12">
        <v>160.123099</v>
      </c>
      <c r="AV33" s="12">
        <v>153.090069</v>
      </c>
      <c r="AW33" s="12">
        <v>149.45315099999999</v>
      </c>
      <c r="AX33" s="12">
        <v>149.836512</v>
      </c>
      <c r="AY33" s="12">
        <v>163.58642900000001</v>
      </c>
      <c r="AZ33" s="12">
        <v>151.37390199999999</v>
      </c>
      <c r="BA33" s="12">
        <v>150.01085699999999</v>
      </c>
      <c r="BB33" s="12">
        <v>149.247016</v>
      </c>
      <c r="BC33" s="12">
        <v>149.86690433000001</v>
      </c>
      <c r="BD33" s="12">
        <v>148.790235</v>
      </c>
      <c r="BE33" s="12">
        <v>149.98883499999999</v>
      </c>
      <c r="BF33" s="12">
        <v>158.835002</v>
      </c>
      <c r="BG33" s="12">
        <v>160.378007</v>
      </c>
      <c r="BH33" s="12">
        <v>160.378007</v>
      </c>
      <c r="BI33" s="12">
        <v>160.378007</v>
      </c>
      <c r="BJ33" s="12">
        <v>146.01355100000001</v>
      </c>
      <c r="BK33" s="12">
        <v>147.00233800000001</v>
      </c>
      <c r="BL33" s="12">
        <v>159.16898399999999</v>
      </c>
      <c r="BM33" s="12">
        <v>158.50648100000001</v>
      </c>
      <c r="BN33" s="12">
        <v>152.198802</v>
      </c>
      <c r="BO33" s="12">
        <v>149.25230999999999</v>
      </c>
      <c r="BP33" s="12">
        <v>156.76128800000001</v>
      </c>
      <c r="BQ33" s="12">
        <v>141.038183</v>
      </c>
      <c r="BR33" s="12">
        <v>141.06780101999999</v>
      </c>
      <c r="BS33" s="12">
        <v>151.71617900000001</v>
      </c>
      <c r="BT33" s="12">
        <v>150.3048235</v>
      </c>
      <c r="BU33" s="12">
        <v>158.09330797999999</v>
      </c>
      <c r="BV33" s="12">
        <v>163.39787200000001</v>
      </c>
      <c r="BW33" s="12">
        <v>157.138216</v>
      </c>
      <c r="BX33" s="12">
        <v>153.11833999999999</v>
      </c>
      <c r="BY33" s="12">
        <v>153.11833999999999</v>
      </c>
      <c r="BZ33" s="12">
        <v>157.10870299999999</v>
      </c>
      <c r="CA33" s="12">
        <v>160.782535</v>
      </c>
      <c r="CB33" s="12">
        <v>151.88930500000001</v>
      </c>
      <c r="CC33" s="12">
        <v>155.045962</v>
      </c>
      <c r="CD33" s="12">
        <v>153.967986</v>
      </c>
      <c r="CE33" s="12">
        <v>158.71288100000001</v>
      </c>
      <c r="CF33" s="12">
        <v>151.488303</v>
      </c>
      <c r="CG33" s="12">
        <v>163.39787200000001</v>
      </c>
      <c r="CH33" s="12">
        <v>151.39077399999999</v>
      </c>
      <c r="CI33" s="12">
        <v>151.37511799999999</v>
      </c>
      <c r="CJ33" s="12">
        <v>152.38541900000001</v>
      </c>
      <c r="CK33" s="12">
        <v>165.413613</v>
      </c>
      <c r="CL33" s="12">
        <v>166.90984599999999</v>
      </c>
      <c r="CM33" s="12">
        <v>164.116367</v>
      </c>
      <c r="CN33" s="12">
        <v>162.40454800000001</v>
      </c>
      <c r="CO33" s="12">
        <v>164.54355799999999</v>
      </c>
      <c r="CP33" s="12">
        <v>152.15524600000001</v>
      </c>
      <c r="CQ33" s="12">
        <v>151.760684</v>
      </c>
      <c r="CR33" s="12">
        <v>155.45523886000001</v>
      </c>
      <c r="CS33" s="12">
        <v>158.78829200000001</v>
      </c>
      <c r="CT33" s="12">
        <v>147.392335</v>
      </c>
      <c r="CU33" s="12">
        <v>160.78477194999999</v>
      </c>
      <c r="CV33" s="12">
        <v>149.81549999999999</v>
      </c>
      <c r="CW33" s="12">
        <v>149.525655</v>
      </c>
      <c r="CX33" s="12">
        <v>163.94822378000001</v>
      </c>
      <c r="CY33" s="12">
        <v>146.68196800000001</v>
      </c>
      <c r="CZ33" s="12">
        <v>149.02619999999999</v>
      </c>
      <c r="DA33" s="12">
        <v>149.79840799999999</v>
      </c>
      <c r="DB33" s="12">
        <v>152.106525</v>
      </c>
      <c r="DC33" s="12">
        <v>159.55744300000001</v>
      </c>
      <c r="DD33" s="12">
        <v>160.03295499999999</v>
      </c>
      <c r="DE33" s="12">
        <v>157.138216</v>
      </c>
      <c r="DF33" s="12">
        <v>156.64957799999999</v>
      </c>
      <c r="DG33" s="12">
        <v>152.04000099999999</v>
      </c>
      <c r="DH33" s="12">
        <v>153.11833999999999</v>
      </c>
      <c r="DI33" s="12">
        <v>152.98807049999999</v>
      </c>
      <c r="DJ33" s="12">
        <v>157.43857</v>
      </c>
      <c r="DK33" s="12">
        <v>166.91445931999999</v>
      </c>
      <c r="DL33" s="12">
        <v>155.565055</v>
      </c>
      <c r="DM33" s="12">
        <v>155.346452</v>
      </c>
      <c r="DN33" s="12">
        <v>148.20067900000001</v>
      </c>
      <c r="DO33" s="12">
        <v>164.47951800000001</v>
      </c>
      <c r="DP33" s="12">
        <v>163.133837</v>
      </c>
      <c r="DQ33" s="12">
        <v>157.179486</v>
      </c>
      <c r="DR33" s="12">
        <v>135.98803799999999</v>
      </c>
      <c r="DS33" s="12">
        <v>162.96855400000001</v>
      </c>
      <c r="DT33" s="12">
        <v>148.84867499999999</v>
      </c>
      <c r="DU33" s="12">
        <v>149.42461299999999</v>
      </c>
      <c r="DV33" s="12">
        <v>152.90264500000001</v>
      </c>
      <c r="DW33" s="12">
        <v>158.18697700000001</v>
      </c>
      <c r="DX33" s="12">
        <v>158.91480799999999</v>
      </c>
      <c r="DY33" s="12">
        <v>144.767943</v>
      </c>
      <c r="DZ33" s="12">
        <v>142.13697199999999</v>
      </c>
      <c r="EA33" s="12">
        <v>142.13697199999999</v>
      </c>
      <c r="EB33" s="12">
        <v>143.16539005999999</v>
      </c>
      <c r="EC33" s="12">
        <v>152.44761399999999</v>
      </c>
      <c r="ED33" s="12">
        <v>152.78770800000001</v>
      </c>
      <c r="EE33" s="12">
        <v>147.413205</v>
      </c>
      <c r="EF33" s="12">
        <v>148.37210099999999</v>
      </c>
      <c r="EG33" s="12">
        <v>145.12424999999999</v>
      </c>
      <c r="EH33" s="12">
        <v>152.212197</v>
      </c>
      <c r="EI33" s="12">
        <v>176.15802281000001</v>
      </c>
      <c r="EJ33" s="12">
        <v>154.730997</v>
      </c>
      <c r="EK33" s="12">
        <v>154.730997</v>
      </c>
      <c r="EL33" s="12">
        <v>148.25523699999999</v>
      </c>
      <c r="EM33" s="12">
        <v>156.752723</v>
      </c>
      <c r="EN33" s="12">
        <v>157.268317</v>
      </c>
      <c r="EO33" s="12">
        <v>157.138216</v>
      </c>
      <c r="EP33" s="12">
        <v>151.037462</v>
      </c>
      <c r="EQ33" s="12">
        <v>151.99974700000001</v>
      </c>
      <c r="ER33" s="12">
        <v>164.45050800000001</v>
      </c>
      <c r="ES33" s="12">
        <v>150.914153</v>
      </c>
      <c r="ET33" s="12">
        <v>151.28753900000001</v>
      </c>
      <c r="EU33" s="12">
        <v>154.65424075000001</v>
      </c>
      <c r="EV33" s="12">
        <v>146.61854500000001</v>
      </c>
      <c r="EW33" s="12">
        <v>145.41354000000001</v>
      </c>
      <c r="EX33" s="12">
        <v>147.81464700000001</v>
      </c>
      <c r="EY33" s="12">
        <v>154.23591500000001</v>
      </c>
      <c r="EZ33" s="12">
        <v>146.64371800000001</v>
      </c>
      <c r="FA33" s="12">
        <v>145.23033100000001</v>
      </c>
      <c r="FB33" s="12">
        <v>143.24888200000001</v>
      </c>
      <c r="FC33" s="12">
        <v>151.790187</v>
      </c>
      <c r="FD33" s="12">
        <v>152.062668</v>
      </c>
      <c r="FE33" s="12">
        <v>152.17683</v>
      </c>
      <c r="FF33" s="12">
        <v>175.53846573999999</v>
      </c>
      <c r="FG33" s="12">
        <v>148.45712399999999</v>
      </c>
      <c r="FH33" s="12">
        <v>164.75122500000001</v>
      </c>
      <c r="FI33" s="12">
        <v>152.85211200000001</v>
      </c>
      <c r="FJ33" s="12">
        <v>194.38855629</v>
      </c>
      <c r="FK33" s="12">
        <v>161.01457914</v>
      </c>
      <c r="FL33" s="12">
        <v>170.75546299999999</v>
      </c>
      <c r="FM33" s="12">
        <v>140.76316299999999</v>
      </c>
      <c r="FN33" s="12">
        <v>141.70210599999999</v>
      </c>
      <c r="FO33" s="12">
        <v>148.17277300000001</v>
      </c>
      <c r="FP33" s="12">
        <v>152.42459199999999</v>
      </c>
      <c r="FQ33" s="12">
        <v>157.12771315000001</v>
      </c>
      <c r="FR33" s="12">
        <v>156.52166500000001</v>
      </c>
      <c r="FS33" s="12">
        <v>157.10870299999999</v>
      </c>
      <c r="FT33" s="12">
        <v>156.02549300000001</v>
      </c>
      <c r="FU33" s="12">
        <v>156.02549300000001</v>
      </c>
      <c r="FV33" s="12">
        <v>161.35785899999999</v>
      </c>
      <c r="FW33" s="12">
        <v>161.35785899999999</v>
      </c>
      <c r="FX33" s="12">
        <v>159.564438</v>
      </c>
      <c r="FY33" s="12">
        <v>155.52144000000001</v>
      </c>
      <c r="FZ33" s="12">
        <v>155.386191</v>
      </c>
      <c r="GA33" s="12">
        <v>149.562172</v>
      </c>
      <c r="GB33" s="12">
        <v>148.96167399999999</v>
      </c>
      <c r="GC33" s="12">
        <v>156.42337681999999</v>
      </c>
      <c r="GD33" s="12">
        <v>153.96689599999999</v>
      </c>
      <c r="GE33" s="12">
        <v>155.33999499999999</v>
      </c>
      <c r="GF33" s="12">
        <v>163.39787200000001</v>
      </c>
      <c r="GG33" s="12">
        <v>163.39787200000001</v>
      </c>
      <c r="GH33" s="12">
        <v>156.39397399999999</v>
      </c>
      <c r="GI33" s="12">
        <v>145.02304566999999</v>
      </c>
      <c r="GJ33" s="12">
        <v>155.75897499999999</v>
      </c>
      <c r="GK33" s="12">
        <v>156.64957799999999</v>
      </c>
      <c r="GL33" s="12">
        <v>163.61645052</v>
      </c>
      <c r="GM33" s="12">
        <v>138.43607600000001</v>
      </c>
      <c r="GN33" s="12">
        <v>163.61645052</v>
      </c>
      <c r="GO33" s="12">
        <v>156.02549300000001</v>
      </c>
      <c r="GP33" s="12">
        <v>151.48791800000001</v>
      </c>
      <c r="GQ33" s="12">
        <v>156.20996299999999</v>
      </c>
      <c r="GR33" s="12">
        <v>155.09525199999999</v>
      </c>
      <c r="GS33" s="12">
        <v>148.00907699999999</v>
      </c>
      <c r="GT33" s="12">
        <v>141.70350999999999</v>
      </c>
      <c r="GU33" s="12">
        <v>152.68221800000001</v>
      </c>
      <c r="GV33" s="12">
        <v>147.18341599999999</v>
      </c>
      <c r="GW33" s="12">
        <v>162.17737299999999</v>
      </c>
      <c r="GX33" s="12">
        <v>157.498808</v>
      </c>
      <c r="GY33" s="12">
        <v>157.180252</v>
      </c>
      <c r="GZ33" s="12">
        <v>156.84754000000001</v>
      </c>
      <c r="HA33" s="12">
        <v>152.68221800000001</v>
      </c>
      <c r="HB33" s="12">
        <v>152.187026</v>
      </c>
      <c r="HC33" s="12">
        <v>152.448474</v>
      </c>
      <c r="HD33" s="12">
        <v>156.25983199999999</v>
      </c>
      <c r="HE33" s="12">
        <v>164.20677499999999</v>
      </c>
      <c r="HF33" s="12">
        <v>164.45050800000001</v>
      </c>
      <c r="HG33" s="12">
        <v>164.45050800000001</v>
      </c>
      <c r="HH33" s="12">
        <v>164.45050800000001</v>
      </c>
      <c r="HI33" s="12">
        <v>149.58604500000001</v>
      </c>
      <c r="HJ33" s="12">
        <v>159.341171</v>
      </c>
      <c r="HK33" s="12">
        <v>158.772008</v>
      </c>
      <c r="HL33" s="12">
        <v>158.647199</v>
      </c>
      <c r="HM33" s="12">
        <v>159.656576</v>
      </c>
      <c r="HN33" s="12">
        <v>160.59594899999999</v>
      </c>
      <c r="HO33" s="12">
        <v>135.85853470000001</v>
      </c>
      <c r="HP33" s="12">
        <v>164.92893699999999</v>
      </c>
      <c r="HQ33" s="12">
        <v>152.328227</v>
      </c>
      <c r="HR33" s="12">
        <v>152.75148999999999</v>
      </c>
      <c r="HS33" s="12">
        <v>149.08197799999999</v>
      </c>
      <c r="HT33" s="12">
        <v>148.503241</v>
      </c>
      <c r="HU33" s="12">
        <v>143.75749365999999</v>
      </c>
      <c r="HV33" s="12">
        <v>138.91253800000001</v>
      </c>
      <c r="HW33" s="12">
        <v>139.55251999999999</v>
      </c>
      <c r="HX33" s="12">
        <v>152.53121628</v>
      </c>
      <c r="HY33" s="12">
        <v>153.034853</v>
      </c>
      <c r="HZ33" s="12">
        <v>168.01418200000001</v>
      </c>
      <c r="IA33" s="12"/>
      <c r="IB33" s="12"/>
      <c r="IC33" s="12"/>
      <c r="ID33" s="12"/>
      <c r="IE33" s="12"/>
      <c r="IF33" s="12"/>
      <c r="IG33" s="12"/>
      <c r="IH33" s="12"/>
      <c r="II33" s="12"/>
      <c r="IJ33" s="12"/>
      <c r="IK33" s="12"/>
    </row>
    <row r="34" spans="1:245" x14ac:dyDescent="0.25">
      <c r="A34" s="11">
        <v>46049.6875</v>
      </c>
      <c r="B34" s="12">
        <v>163.74740291000001</v>
      </c>
      <c r="C34" s="12">
        <v>148.512788</v>
      </c>
      <c r="D34" s="12">
        <v>149.75110900000001</v>
      </c>
      <c r="E34" s="12">
        <v>149.462502</v>
      </c>
      <c r="F34" s="12">
        <v>149.28019699999999</v>
      </c>
      <c r="G34" s="12">
        <v>152.373865</v>
      </c>
      <c r="H34" s="12">
        <v>159.80314999999999</v>
      </c>
      <c r="I34" s="12">
        <v>158.987334</v>
      </c>
      <c r="J34" s="12">
        <v>160.43892</v>
      </c>
      <c r="K34" s="12">
        <v>151.00837000000001</v>
      </c>
      <c r="L34" s="12">
        <v>153.172224</v>
      </c>
      <c r="M34" s="12">
        <v>156.48629700000001</v>
      </c>
      <c r="N34" s="12">
        <v>153.95504800000001</v>
      </c>
      <c r="O34" s="12">
        <v>165.06854100000001</v>
      </c>
      <c r="P34" s="12">
        <v>153.09314583</v>
      </c>
      <c r="Q34" s="12">
        <v>160.60473300000001</v>
      </c>
      <c r="R34" s="12">
        <v>154.23419799999999</v>
      </c>
      <c r="S34" s="12">
        <v>162.76769400000001</v>
      </c>
      <c r="T34" s="12">
        <v>138.952958</v>
      </c>
      <c r="U34" s="12">
        <v>140.14053200000001</v>
      </c>
      <c r="V34" s="12">
        <v>159.981762</v>
      </c>
      <c r="W34" s="12">
        <v>153.33102500000001</v>
      </c>
      <c r="X34" s="12">
        <v>147.17247699999999</v>
      </c>
      <c r="Y34" s="12">
        <v>150.61169699999999</v>
      </c>
      <c r="Z34" s="12">
        <v>161.42231200000001</v>
      </c>
      <c r="AA34" s="12">
        <v>146.12633</v>
      </c>
      <c r="AB34" s="12">
        <v>154.25429500000001</v>
      </c>
      <c r="AC34" s="12">
        <v>153.88829699999999</v>
      </c>
      <c r="AD34" s="12">
        <v>152.951133</v>
      </c>
      <c r="AE34" s="12">
        <v>144.39280600000001</v>
      </c>
      <c r="AF34" s="12">
        <v>158.31956450000001</v>
      </c>
      <c r="AG34" s="12">
        <v>158.46527090000001</v>
      </c>
      <c r="AH34" s="12">
        <v>159.68667400000001</v>
      </c>
      <c r="AI34" s="12">
        <v>159.70019199999999</v>
      </c>
      <c r="AJ34" s="12">
        <v>141.98173399999999</v>
      </c>
      <c r="AK34" s="12">
        <v>160.35185999999999</v>
      </c>
      <c r="AL34" s="12">
        <v>145.64687433</v>
      </c>
      <c r="AM34" s="12">
        <v>146.424148</v>
      </c>
      <c r="AN34" s="12">
        <v>159.00483399999999</v>
      </c>
      <c r="AO34" s="12">
        <v>145.826841</v>
      </c>
      <c r="AP34" s="12">
        <v>135.43507399999999</v>
      </c>
      <c r="AQ34" s="12">
        <v>136.05783600000001</v>
      </c>
      <c r="AR34" s="12">
        <v>157.55152799999999</v>
      </c>
      <c r="AS34" s="12">
        <v>160.28620699999999</v>
      </c>
      <c r="AT34" s="12">
        <v>160.28620699999999</v>
      </c>
      <c r="AU34" s="12">
        <v>161.86925299999999</v>
      </c>
      <c r="AV34" s="12">
        <v>154.06374099999999</v>
      </c>
      <c r="AW34" s="12">
        <v>150.36510000000001</v>
      </c>
      <c r="AX34" s="12">
        <v>150.73064099999999</v>
      </c>
      <c r="AY34" s="12">
        <v>164.166583</v>
      </c>
      <c r="AZ34" s="12">
        <v>152.21395699999999</v>
      </c>
      <c r="BA34" s="12">
        <v>151.58520100000001</v>
      </c>
      <c r="BB34" s="12">
        <v>150.8045975</v>
      </c>
      <c r="BC34" s="12">
        <v>151.33944399999999</v>
      </c>
      <c r="BD34" s="12">
        <v>150.57112100000001</v>
      </c>
      <c r="BE34" s="12">
        <v>151.55431799999999</v>
      </c>
      <c r="BF34" s="12">
        <v>160.65474900000001</v>
      </c>
      <c r="BG34" s="12">
        <v>162.126057</v>
      </c>
      <c r="BH34" s="12">
        <v>162.126057</v>
      </c>
      <c r="BI34" s="12">
        <v>162.126057</v>
      </c>
      <c r="BJ34" s="12">
        <v>147.03048699999999</v>
      </c>
      <c r="BK34" s="12">
        <v>148.023076</v>
      </c>
      <c r="BL34" s="12">
        <v>159.73271800000001</v>
      </c>
      <c r="BM34" s="12">
        <v>159.13722100000001</v>
      </c>
      <c r="BN34" s="12">
        <v>153.36713700000001</v>
      </c>
      <c r="BO34" s="12">
        <v>150.28968800000001</v>
      </c>
      <c r="BP34" s="12">
        <v>158.17328699999999</v>
      </c>
      <c r="BQ34" s="12">
        <v>142.06900300000001</v>
      </c>
      <c r="BR34" s="12">
        <v>142.09883748999999</v>
      </c>
      <c r="BS34" s="12">
        <v>152.91136800000001</v>
      </c>
      <c r="BT34" s="12">
        <v>150.94229232999999</v>
      </c>
      <c r="BU34" s="12">
        <v>159.07845513999999</v>
      </c>
      <c r="BV34" s="12">
        <v>163.978196</v>
      </c>
      <c r="BW34" s="12">
        <v>158.75406899999999</v>
      </c>
      <c r="BX34" s="12">
        <v>154.072486</v>
      </c>
      <c r="BY34" s="12">
        <v>154.072486</v>
      </c>
      <c r="BZ34" s="12">
        <v>157.625055</v>
      </c>
      <c r="CA34" s="12">
        <v>161.55463399999999</v>
      </c>
      <c r="CB34" s="12">
        <v>153.16992500000001</v>
      </c>
      <c r="CC34" s="12">
        <v>156.25419299999999</v>
      </c>
      <c r="CD34" s="12">
        <v>155.17367300000001</v>
      </c>
      <c r="CE34" s="12">
        <v>159.513476</v>
      </c>
      <c r="CF34" s="12">
        <v>152.94170800000001</v>
      </c>
      <c r="CG34" s="12">
        <v>163.978196</v>
      </c>
      <c r="CH34" s="12">
        <v>152.23533699999999</v>
      </c>
      <c r="CI34" s="12">
        <v>152.215498</v>
      </c>
      <c r="CJ34" s="12">
        <v>153.680024</v>
      </c>
      <c r="CK34" s="12">
        <v>165.824591</v>
      </c>
      <c r="CL34" s="12">
        <v>167.332041</v>
      </c>
      <c r="CM34" s="12">
        <v>164.77009799999999</v>
      </c>
      <c r="CN34" s="12">
        <v>162.98582200000001</v>
      </c>
      <c r="CO34" s="12">
        <v>164.97071</v>
      </c>
      <c r="CP34" s="12">
        <v>152.94216499999999</v>
      </c>
      <c r="CQ34" s="12">
        <v>152.40906799999999</v>
      </c>
      <c r="CR34" s="12">
        <v>156.17084469</v>
      </c>
      <c r="CS34" s="12">
        <v>158.624278</v>
      </c>
      <c r="CT34" s="12">
        <v>148.44232600000001</v>
      </c>
      <c r="CU34" s="12">
        <v>162.15062598</v>
      </c>
      <c r="CV34" s="12">
        <v>150.64931300000001</v>
      </c>
      <c r="CW34" s="12">
        <v>150.36758499999999</v>
      </c>
      <c r="CX34" s="12">
        <v>165.67821126000001</v>
      </c>
      <c r="CY34" s="12">
        <v>147.663579</v>
      </c>
      <c r="CZ34" s="12">
        <v>149.76205132999999</v>
      </c>
      <c r="DA34" s="12">
        <v>150.58244400000001</v>
      </c>
      <c r="DB34" s="12">
        <v>153.113257</v>
      </c>
      <c r="DC34" s="12">
        <v>161.315403</v>
      </c>
      <c r="DD34" s="12">
        <v>161.767889</v>
      </c>
      <c r="DE34" s="12">
        <v>158.75406899999999</v>
      </c>
      <c r="DF34" s="12">
        <v>158.19073700000001</v>
      </c>
      <c r="DG34" s="12">
        <v>153.05772899999999</v>
      </c>
      <c r="DH34" s="12">
        <v>154.072486</v>
      </c>
      <c r="DI34" s="12">
        <v>154.02648600000001</v>
      </c>
      <c r="DJ34" s="12">
        <v>159.581042</v>
      </c>
      <c r="DK34" s="12">
        <v>167.71600462999999</v>
      </c>
      <c r="DL34" s="12">
        <v>157.213618</v>
      </c>
      <c r="DM34" s="12">
        <v>156.969537</v>
      </c>
      <c r="DN34" s="12">
        <v>150.04895999999999</v>
      </c>
      <c r="DO34" s="12">
        <v>165.147392</v>
      </c>
      <c r="DP34" s="12">
        <v>163.734375</v>
      </c>
      <c r="DQ34" s="12">
        <v>157.80475999999999</v>
      </c>
      <c r="DR34" s="12">
        <v>136.931772</v>
      </c>
      <c r="DS34" s="12">
        <v>163.579386</v>
      </c>
      <c r="DT34" s="12">
        <v>150.41551899999999</v>
      </c>
      <c r="DU34" s="12">
        <v>150.99517299999999</v>
      </c>
      <c r="DV34" s="12">
        <v>153.75014899999999</v>
      </c>
      <c r="DW34" s="12">
        <v>159.77670699999999</v>
      </c>
      <c r="DX34" s="12">
        <v>160.48040900000001</v>
      </c>
      <c r="DY34" s="12">
        <v>145.91363000000001</v>
      </c>
      <c r="DZ34" s="12">
        <v>143.20259200000001</v>
      </c>
      <c r="EA34" s="12">
        <v>143.20259200000001</v>
      </c>
      <c r="EB34" s="12">
        <v>143.9006947</v>
      </c>
      <c r="EC34" s="12">
        <v>153.800533</v>
      </c>
      <c r="ED34" s="12">
        <v>154.15306899999999</v>
      </c>
      <c r="EE34" s="12">
        <v>148.37644800000001</v>
      </c>
      <c r="EF34" s="12">
        <v>149.34148999999999</v>
      </c>
      <c r="EG34" s="12">
        <v>146.076436</v>
      </c>
      <c r="EH34" s="12">
        <v>152.968175</v>
      </c>
      <c r="EI34" s="12">
        <v>178.01684852</v>
      </c>
      <c r="EJ34" s="12">
        <v>158.55544599999999</v>
      </c>
      <c r="EK34" s="12">
        <v>158.55544599999999</v>
      </c>
      <c r="EL34" s="12">
        <v>149.34019000000001</v>
      </c>
      <c r="EM34" s="12">
        <v>158.32951499999999</v>
      </c>
      <c r="EN34" s="12">
        <v>158.91515899999999</v>
      </c>
      <c r="EO34" s="12">
        <v>158.75406899999999</v>
      </c>
      <c r="EP34" s="12">
        <v>152.429305</v>
      </c>
      <c r="EQ34" s="12">
        <v>153.229309</v>
      </c>
      <c r="ER34" s="12">
        <v>165.109227</v>
      </c>
      <c r="ES34" s="12">
        <v>151.741187</v>
      </c>
      <c r="ET34" s="12">
        <v>152.12514899999999</v>
      </c>
      <c r="EU34" s="12">
        <v>155.54101867</v>
      </c>
      <c r="EV34" s="12">
        <v>147.706445</v>
      </c>
      <c r="EW34" s="12">
        <v>146.50143600000001</v>
      </c>
      <c r="EX34" s="12">
        <v>148.934832</v>
      </c>
      <c r="EY34" s="12">
        <v>155.54613699999999</v>
      </c>
      <c r="EZ34" s="12">
        <v>148.447777</v>
      </c>
      <c r="FA34" s="12">
        <v>146.212819</v>
      </c>
      <c r="FB34" s="12">
        <v>144.18242900000001</v>
      </c>
      <c r="FC34" s="12">
        <v>152.21110899999999</v>
      </c>
      <c r="FD34" s="12">
        <v>152.69896800000001</v>
      </c>
      <c r="FE34" s="12">
        <v>152.903235</v>
      </c>
      <c r="FF34" s="12">
        <v>176.38086258000001</v>
      </c>
      <c r="FG34" s="12">
        <v>149.13389000000001</v>
      </c>
      <c r="FH34" s="12">
        <v>165.35469399999999</v>
      </c>
      <c r="FI34" s="12">
        <v>153.74274600000001</v>
      </c>
      <c r="FJ34" s="12">
        <v>195.04083767</v>
      </c>
      <c r="FK34" s="12">
        <v>161.59296456999999</v>
      </c>
      <c r="FL34" s="12">
        <v>171.51352499999999</v>
      </c>
      <c r="FM34" s="12">
        <v>142.46253100000001</v>
      </c>
      <c r="FN34" s="12">
        <v>143.41104100000001</v>
      </c>
      <c r="FO34" s="12">
        <v>149.388024</v>
      </c>
      <c r="FP34" s="12">
        <v>153.71339399999999</v>
      </c>
      <c r="FQ34" s="12">
        <v>157.64412763000001</v>
      </c>
      <c r="FR34" s="12">
        <v>157.045749</v>
      </c>
      <c r="FS34" s="12">
        <v>157.625055</v>
      </c>
      <c r="FT34" s="12">
        <v>157.48229499999999</v>
      </c>
      <c r="FU34" s="12">
        <v>157.48229499999999</v>
      </c>
      <c r="FV34" s="12">
        <v>162.34453500000001</v>
      </c>
      <c r="FW34" s="12">
        <v>162.34453500000001</v>
      </c>
      <c r="FX34" s="12">
        <v>160.54688300000001</v>
      </c>
      <c r="FY34" s="12">
        <v>157.140906</v>
      </c>
      <c r="FZ34" s="12">
        <v>156.99520899999999</v>
      </c>
      <c r="GA34" s="12">
        <v>150.52063200000001</v>
      </c>
      <c r="GB34" s="12">
        <v>149.935596</v>
      </c>
      <c r="GC34" s="12">
        <v>157.16898380999999</v>
      </c>
      <c r="GD34" s="12">
        <v>155.179329</v>
      </c>
      <c r="GE34" s="12">
        <v>155.965982</v>
      </c>
      <c r="GF34" s="12">
        <v>163.978196</v>
      </c>
      <c r="GG34" s="12">
        <v>163.978196</v>
      </c>
      <c r="GH34" s="12">
        <v>158.96839800000001</v>
      </c>
      <c r="GI34" s="12">
        <v>146.07514767000001</v>
      </c>
      <c r="GJ34" s="12">
        <v>157.38919999999999</v>
      </c>
      <c r="GK34" s="12">
        <v>158.19073700000001</v>
      </c>
      <c r="GL34" s="12">
        <v>165.34293711000001</v>
      </c>
      <c r="GM34" s="12">
        <v>139.30345199999999</v>
      </c>
      <c r="GN34" s="12">
        <v>165.34293711000001</v>
      </c>
      <c r="GO34" s="12">
        <v>157.48229499999999</v>
      </c>
      <c r="GP34" s="12">
        <v>152.966871</v>
      </c>
      <c r="GQ34" s="12">
        <v>157.46717799999999</v>
      </c>
      <c r="GR34" s="12">
        <v>156.47675699999999</v>
      </c>
      <c r="GS34" s="12">
        <v>149.02238800000001</v>
      </c>
      <c r="GT34" s="12">
        <v>142.66902200000001</v>
      </c>
      <c r="GU34" s="12">
        <v>153.772278</v>
      </c>
      <c r="GV34" s="12">
        <v>148.33820800000001</v>
      </c>
      <c r="GW34" s="12">
        <v>162.72156799999999</v>
      </c>
      <c r="GX34" s="12">
        <v>159.35535100000001</v>
      </c>
      <c r="GY34" s="12">
        <v>158.74562700000001</v>
      </c>
      <c r="GZ34" s="12">
        <v>158.35546600000001</v>
      </c>
      <c r="HA34" s="12">
        <v>153.772278</v>
      </c>
      <c r="HB34" s="12">
        <v>153.273866</v>
      </c>
      <c r="HC34" s="12">
        <v>153.53678149999999</v>
      </c>
      <c r="HD34" s="12">
        <v>157.547089</v>
      </c>
      <c r="HE34" s="12">
        <v>164.850629</v>
      </c>
      <c r="HF34" s="12">
        <v>165.109227</v>
      </c>
      <c r="HG34" s="12">
        <v>165.109227</v>
      </c>
      <c r="HH34" s="12">
        <v>165.109227</v>
      </c>
      <c r="HI34" s="12">
        <v>150.21269699999999</v>
      </c>
      <c r="HJ34" s="12">
        <v>160.901445</v>
      </c>
      <c r="HK34" s="12">
        <v>160.33195799999999</v>
      </c>
      <c r="HL34" s="12">
        <v>159.17407</v>
      </c>
      <c r="HM34" s="12">
        <v>161.44760500000001</v>
      </c>
      <c r="HN34" s="12">
        <v>161.25161</v>
      </c>
      <c r="HO34" s="12">
        <v>136.70976103000001</v>
      </c>
      <c r="HP34" s="12">
        <v>165.53048699999999</v>
      </c>
      <c r="HQ34" s="12">
        <v>153.198454</v>
      </c>
      <c r="HR34" s="12">
        <v>153.62903399999999</v>
      </c>
      <c r="HS34" s="12">
        <v>149.84774200000001</v>
      </c>
      <c r="HT34" s="12">
        <v>149.52722199999999</v>
      </c>
      <c r="HU34" s="12">
        <v>144.50098102999999</v>
      </c>
      <c r="HV34" s="12">
        <v>139.809214</v>
      </c>
      <c r="HW34" s="12">
        <v>140.47039699999999</v>
      </c>
      <c r="HX34" s="12">
        <v>153.07300835000001</v>
      </c>
      <c r="HY34" s="12">
        <v>153.90991299999999</v>
      </c>
      <c r="HZ34" s="12">
        <v>168.718132</v>
      </c>
      <c r="IA34" s="12"/>
      <c r="IB34" s="12"/>
      <c r="IC34" s="12"/>
      <c r="ID34" s="12"/>
      <c r="IE34" s="12"/>
      <c r="IF34" s="12"/>
      <c r="IG34" s="12"/>
      <c r="IH34" s="12"/>
      <c r="II34" s="12"/>
      <c r="IJ34" s="12"/>
      <c r="IK34" s="12"/>
    </row>
    <row r="35" spans="1:245" x14ac:dyDescent="0.25">
      <c r="A35" s="11">
        <v>46049.708333333336</v>
      </c>
      <c r="B35" s="12">
        <v>163.85283910000001</v>
      </c>
      <c r="C35" s="12">
        <v>148.22320999999999</v>
      </c>
      <c r="D35" s="12">
        <v>149.451606</v>
      </c>
      <c r="E35" s="12">
        <v>149.16732300000001</v>
      </c>
      <c r="F35" s="12">
        <v>148.99055300000001</v>
      </c>
      <c r="G35" s="12">
        <v>152.35656499999999</v>
      </c>
      <c r="H35" s="12">
        <v>160.48426000000001</v>
      </c>
      <c r="I35" s="12">
        <v>159.62203299999999</v>
      </c>
      <c r="J35" s="12">
        <v>161.16581400000001</v>
      </c>
      <c r="K35" s="12">
        <v>151.30492100000001</v>
      </c>
      <c r="L35" s="12">
        <v>152.807164</v>
      </c>
      <c r="M35" s="12">
        <v>157.40952799999999</v>
      </c>
      <c r="N35" s="12">
        <v>154.876822</v>
      </c>
      <c r="O35" s="12">
        <v>164.871016</v>
      </c>
      <c r="P35" s="12">
        <v>153.04555465000001</v>
      </c>
      <c r="Q35" s="12">
        <v>161.36493899999999</v>
      </c>
      <c r="R35" s="12">
        <v>154.66972899999999</v>
      </c>
      <c r="S35" s="12">
        <v>162.679213</v>
      </c>
      <c r="T35" s="12">
        <v>138.9359685</v>
      </c>
      <c r="U35" s="12">
        <v>140.11187000000001</v>
      </c>
      <c r="V35" s="12">
        <v>159.99752100000001</v>
      </c>
      <c r="W35" s="12">
        <v>153.40547799999999</v>
      </c>
      <c r="X35" s="12">
        <v>147.275148</v>
      </c>
      <c r="Y35" s="12">
        <v>150.57619700000001</v>
      </c>
      <c r="Z35" s="12">
        <v>162.27198000000001</v>
      </c>
      <c r="AA35" s="12">
        <v>146.20204799999999</v>
      </c>
      <c r="AB35" s="12">
        <v>153.97527199999999</v>
      </c>
      <c r="AC35" s="12">
        <v>154.03746699999999</v>
      </c>
      <c r="AD35" s="12">
        <v>152.89884900000001</v>
      </c>
      <c r="AE35" s="12">
        <v>144.340711</v>
      </c>
      <c r="AF35" s="12">
        <v>158.41633525</v>
      </c>
      <c r="AG35" s="12">
        <v>158.55257463999999</v>
      </c>
      <c r="AH35" s="12">
        <v>159.81769</v>
      </c>
      <c r="AI35" s="12">
        <v>159.784415</v>
      </c>
      <c r="AJ35" s="12">
        <v>142.00377599999999</v>
      </c>
      <c r="AK35" s="12">
        <v>160.367176</v>
      </c>
      <c r="AL35" s="12">
        <v>145.73110800000001</v>
      </c>
      <c r="AM35" s="12">
        <v>146.51596499999999</v>
      </c>
      <c r="AN35" s="12">
        <v>159.76576299999999</v>
      </c>
      <c r="AO35" s="12">
        <v>145.815304</v>
      </c>
      <c r="AP35" s="12">
        <v>135.36300850000001</v>
      </c>
      <c r="AQ35" s="12">
        <v>135.98554100000001</v>
      </c>
      <c r="AR35" s="12">
        <v>158.26051899999999</v>
      </c>
      <c r="AS35" s="12">
        <v>161.13784699999999</v>
      </c>
      <c r="AT35" s="12">
        <v>161.13784699999999</v>
      </c>
      <c r="AU35" s="12">
        <v>162.70524</v>
      </c>
      <c r="AV35" s="12">
        <v>154.56440499999999</v>
      </c>
      <c r="AW35" s="12">
        <v>150.15656899999999</v>
      </c>
      <c r="AX35" s="12">
        <v>150.550613</v>
      </c>
      <c r="AY35" s="12">
        <v>164.13121599999999</v>
      </c>
      <c r="AZ35" s="12">
        <v>152.29148000000001</v>
      </c>
      <c r="BA35" s="12">
        <v>151.71902800000001</v>
      </c>
      <c r="BB35" s="12">
        <v>150.93250449999999</v>
      </c>
      <c r="BC35" s="12">
        <v>151.47343633</v>
      </c>
      <c r="BD35" s="12">
        <v>150.815755</v>
      </c>
      <c r="BE35" s="12">
        <v>151.68808200000001</v>
      </c>
      <c r="BF35" s="12">
        <v>161.531373</v>
      </c>
      <c r="BG35" s="12">
        <v>162.96425600000001</v>
      </c>
      <c r="BH35" s="12">
        <v>162.96425600000001</v>
      </c>
      <c r="BI35" s="12">
        <v>162.96425600000001</v>
      </c>
      <c r="BJ35" s="12">
        <v>147.100988</v>
      </c>
      <c r="BK35" s="12">
        <v>148.09883300000001</v>
      </c>
      <c r="BL35" s="12">
        <v>159.843481</v>
      </c>
      <c r="BM35" s="12">
        <v>159.211803</v>
      </c>
      <c r="BN35" s="12">
        <v>153.16603900000001</v>
      </c>
      <c r="BO35" s="12">
        <v>150.19836100000001</v>
      </c>
      <c r="BP35" s="12">
        <v>158.86894599999999</v>
      </c>
      <c r="BQ35" s="12">
        <v>142.10808</v>
      </c>
      <c r="BR35" s="12">
        <v>142.13792269999999</v>
      </c>
      <c r="BS35" s="12">
        <v>153.333969</v>
      </c>
      <c r="BT35" s="12">
        <v>150.909975</v>
      </c>
      <c r="BU35" s="12">
        <v>158.81270434999999</v>
      </c>
      <c r="BV35" s="12">
        <v>163.95160899999999</v>
      </c>
      <c r="BW35" s="12">
        <v>159.63089500000001</v>
      </c>
      <c r="BX35" s="12">
        <v>153.81509800000001</v>
      </c>
      <c r="BY35" s="12">
        <v>153.81509800000001</v>
      </c>
      <c r="BZ35" s="12">
        <v>157.16504399999999</v>
      </c>
      <c r="CA35" s="12">
        <v>162.11267699999999</v>
      </c>
      <c r="CB35" s="12">
        <v>153.023819</v>
      </c>
      <c r="CC35" s="12">
        <v>156.72673399999999</v>
      </c>
      <c r="CD35" s="12">
        <v>155.63486499999999</v>
      </c>
      <c r="CE35" s="12">
        <v>160.268396</v>
      </c>
      <c r="CF35" s="12">
        <v>152.96781200000001</v>
      </c>
      <c r="CG35" s="12">
        <v>163.95160899999999</v>
      </c>
      <c r="CH35" s="12">
        <v>152.309988</v>
      </c>
      <c r="CI35" s="12">
        <v>152.29281399999999</v>
      </c>
      <c r="CJ35" s="12">
        <v>153.99041</v>
      </c>
      <c r="CK35" s="12">
        <v>165.98850100000001</v>
      </c>
      <c r="CL35" s="12">
        <v>167.47762399999999</v>
      </c>
      <c r="CM35" s="12">
        <v>164.87664100000001</v>
      </c>
      <c r="CN35" s="12">
        <v>163.00557699999999</v>
      </c>
      <c r="CO35" s="12">
        <v>164.99207000000001</v>
      </c>
      <c r="CP35" s="12">
        <v>152.93372600000001</v>
      </c>
      <c r="CQ35" s="12">
        <v>152.376623</v>
      </c>
      <c r="CR35" s="12">
        <v>156.09348496999999</v>
      </c>
      <c r="CS35" s="12">
        <v>157.79701900000001</v>
      </c>
      <c r="CT35" s="12">
        <v>148.43718200000001</v>
      </c>
      <c r="CU35" s="12">
        <v>161.79589873</v>
      </c>
      <c r="CV35" s="12">
        <v>150.38985299999999</v>
      </c>
      <c r="CW35" s="12">
        <v>150.48697799999999</v>
      </c>
      <c r="CX35" s="12">
        <v>166.55028075000001</v>
      </c>
      <c r="CY35" s="12">
        <v>147.73294200000001</v>
      </c>
      <c r="CZ35" s="12">
        <v>149.71004367</v>
      </c>
      <c r="DA35" s="12">
        <v>150.53036399999999</v>
      </c>
      <c r="DB35" s="12">
        <v>152.81487100000001</v>
      </c>
      <c r="DC35" s="12">
        <v>162.253286</v>
      </c>
      <c r="DD35" s="12">
        <v>162.694929</v>
      </c>
      <c r="DE35" s="12">
        <v>159.63089500000001</v>
      </c>
      <c r="DF35" s="12">
        <v>159.03252699999999</v>
      </c>
      <c r="DG35" s="12">
        <v>152.838235</v>
      </c>
      <c r="DH35" s="12">
        <v>153.81509800000001</v>
      </c>
      <c r="DI35" s="12">
        <v>153.75859500000001</v>
      </c>
      <c r="DJ35" s="12">
        <v>160.45621499999999</v>
      </c>
      <c r="DK35" s="12">
        <v>168.29533028</v>
      </c>
      <c r="DL35" s="12">
        <v>158.250474</v>
      </c>
      <c r="DM35" s="12">
        <v>157.94891999999999</v>
      </c>
      <c r="DN35" s="12">
        <v>150.37477733</v>
      </c>
      <c r="DO35" s="12">
        <v>165.187725</v>
      </c>
      <c r="DP35" s="12">
        <v>163.72934699999999</v>
      </c>
      <c r="DQ35" s="12">
        <v>157.80009699999999</v>
      </c>
      <c r="DR35" s="12">
        <v>136.98047800000001</v>
      </c>
      <c r="DS35" s="12">
        <v>163.57427799999999</v>
      </c>
      <c r="DT35" s="12">
        <v>150.533593</v>
      </c>
      <c r="DU35" s="12">
        <v>151.12106199999999</v>
      </c>
      <c r="DV35" s="12">
        <v>153.82892799999999</v>
      </c>
      <c r="DW35" s="12">
        <v>160.56794199999999</v>
      </c>
      <c r="DX35" s="12">
        <v>161.235378</v>
      </c>
      <c r="DY35" s="12">
        <v>146.27859900000001</v>
      </c>
      <c r="DZ35" s="12">
        <v>143.19018800000001</v>
      </c>
      <c r="EA35" s="12">
        <v>143.19018800000001</v>
      </c>
      <c r="EB35" s="12">
        <v>143.84833236</v>
      </c>
      <c r="EC35" s="12">
        <v>153.945581</v>
      </c>
      <c r="ED35" s="12">
        <v>154.28891300000001</v>
      </c>
      <c r="EE35" s="12">
        <v>148.33545899999999</v>
      </c>
      <c r="EF35" s="12">
        <v>149.302876</v>
      </c>
      <c r="EG35" s="12">
        <v>146.424239</v>
      </c>
      <c r="EH35" s="12">
        <v>152.945775</v>
      </c>
      <c r="EI35" s="12">
        <v>178.95386409</v>
      </c>
      <c r="EJ35" s="12">
        <v>159.15883299999999</v>
      </c>
      <c r="EK35" s="12">
        <v>159.15883299999999</v>
      </c>
      <c r="EL35" s="12">
        <v>149.341364</v>
      </c>
      <c r="EM35" s="12">
        <v>159.21119999999999</v>
      </c>
      <c r="EN35" s="12">
        <v>159.78193899999999</v>
      </c>
      <c r="EO35" s="12">
        <v>159.63089500000001</v>
      </c>
      <c r="EP35" s="12">
        <v>151.43444</v>
      </c>
      <c r="EQ35" s="12">
        <v>153.170098</v>
      </c>
      <c r="ER35" s="12">
        <v>165.13472899999999</v>
      </c>
      <c r="ES35" s="12">
        <v>151.75946500000001</v>
      </c>
      <c r="ET35" s="12">
        <v>152.191552</v>
      </c>
      <c r="EU35" s="12">
        <v>156.11372016000001</v>
      </c>
      <c r="EV35" s="12">
        <v>147.69054800000001</v>
      </c>
      <c r="EW35" s="12">
        <v>146.48755399999999</v>
      </c>
      <c r="EX35" s="12">
        <v>148.935305</v>
      </c>
      <c r="EY35" s="12">
        <v>155.20585800000001</v>
      </c>
      <c r="EZ35" s="12">
        <v>149.42681999999999</v>
      </c>
      <c r="FA35" s="12">
        <v>146.09893400000001</v>
      </c>
      <c r="FB35" s="12">
        <v>144.10716300000001</v>
      </c>
      <c r="FC35" s="12">
        <v>152.06710899999999</v>
      </c>
      <c r="FD35" s="12">
        <v>152.63551100000001</v>
      </c>
      <c r="FE35" s="12">
        <v>152.87344400000001</v>
      </c>
      <c r="FF35" s="12">
        <v>176.30406203999999</v>
      </c>
      <c r="FG35" s="12">
        <v>148.858518</v>
      </c>
      <c r="FH35" s="12">
        <v>165.30497199999999</v>
      </c>
      <c r="FI35" s="12">
        <v>153.80596499999999</v>
      </c>
      <c r="FJ35" s="12">
        <v>195.03653943</v>
      </c>
      <c r="FK35" s="12">
        <v>161.62594256</v>
      </c>
      <c r="FL35" s="12">
        <v>171.250598</v>
      </c>
      <c r="FM35" s="12">
        <v>143.7479295</v>
      </c>
      <c r="FN35" s="12">
        <v>144.57340099999999</v>
      </c>
      <c r="FO35" s="12">
        <v>149.389692</v>
      </c>
      <c r="FP35" s="12">
        <v>154.02336</v>
      </c>
      <c r="FQ35" s="12">
        <v>157.18406096999999</v>
      </c>
      <c r="FR35" s="12">
        <v>156.59739099999999</v>
      </c>
      <c r="FS35" s="12">
        <v>157.16504399999999</v>
      </c>
      <c r="FT35" s="12">
        <v>158.20737</v>
      </c>
      <c r="FU35" s="12">
        <v>158.20737</v>
      </c>
      <c r="FV35" s="12">
        <v>161.743526</v>
      </c>
      <c r="FW35" s="12">
        <v>161.743526</v>
      </c>
      <c r="FX35" s="12">
        <v>160.04463899999999</v>
      </c>
      <c r="FY35" s="12">
        <v>158.09234900000001</v>
      </c>
      <c r="FZ35" s="12">
        <v>157.936543</v>
      </c>
      <c r="GA35" s="12">
        <v>150.05332200000001</v>
      </c>
      <c r="GB35" s="12">
        <v>149.49414200000001</v>
      </c>
      <c r="GC35" s="12">
        <v>157.14962543999999</v>
      </c>
      <c r="GD35" s="12">
        <v>155.64924099999999</v>
      </c>
      <c r="GE35" s="12">
        <v>155.944515</v>
      </c>
      <c r="GF35" s="12">
        <v>163.95160899999999</v>
      </c>
      <c r="GG35" s="12">
        <v>163.95160899999999</v>
      </c>
      <c r="GH35" s="12">
        <v>159.74964399999999</v>
      </c>
      <c r="GI35" s="12">
        <v>146.15078333</v>
      </c>
      <c r="GJ35" s="12">
        <v>158.941419</v>
      </c>
      <c r="GK35" s="12">
        <v>159.03252699999999</v>
      </c>
      <c r="GL35" s="12">
        <v>166.21324185</v>
      </c>
      <c r="GM35" s="12">
        <v>140.01838900000001</v>
      </c>
      <c r="GN35" s="12">
        <v>166.21324185</v>
      </c>
      <c r="GO35" s="12">
        <v>158.20737</v>
      </c>
      <c r="GP35" s="12">
        <v>152.806014</v>
      </c>
      <c r="GQ35" s="12">
        <v>158.20544100000001</v>
      </c>
      <c r="GR35" s="12">
        <v>156.64012299999999</v>
      </c>
      <c r="GS35" s="12">
        <v>149.12545900000001</v>
      </c>
      <c r="GT35" s="12">
        <v>142.60850300000001</v>
      </c>
      <c r="GU35" s="12">
        <v>153.063039</v>
      </c>
      <c r="GV35" s="12">
        <v>148.702552</v>
      </c>
      <c r="GW35" s="12">
        <v>162.71798200000001</v>
      </c>
      <c r="GX35" s="12">
        <v>160.29243600000001</v>
      </c>
      <c r="GY35" s="12">
        <v>159.50162599999999</v>
      </c>
      <c r="GZ35" s="12">
        <v>159.10872499999999</v>
      </c>
      <c r="HA35" s="12">
        <v>153.063039</v>
      </c>
      <c r="HB35" s="12">
        <v>152.56411600000001</v>
      </c>
      <c r="HC35" s="12">
        <v>152.827563</v>
      </c>
      <c r="HD35" s="12">
        <v>158.258613</v>
      </c>
      <c r="HE35" s="12">
        <v>164.87588</v>
      </c>
      <c r="HF35" s="12">
        <v>165.13472899999999</v>
      </c>
      <c r="HG35" s="12">
        <v>165.13472899999999</v>
      </c>
      <c r="HH35" s="12">
        <v>165.13472899999999</v>
      </c>
      <c r="HI35" s="12">
        <v>149.93579700000001</v>
      </c>
      <c r="HJ35" s="12">
        <v>161.75338300000001</v>
      </c>
      <c r="HK35" s="12">
        <v>161.19246200000001</v>
      </c>
      <c r="HL35" s="12">
        <v>158.721577</v>
      </c>
      <c r="HM35" s="12">
        <v>162.329508</v>
      </c>
      <c r="HN35" s="12">
        <v>161.27981800000001</v>
      </c>
      <c r="HO35" s="12">
        <v>137.41138662</v>
      </c>
      <c r="HP35" s="12">
        <v>165.497694</v>
      </c>
      <c r="HQ35" s="12">
        <v>153.76388650000001</v>
      </c>
      <c r="HR35" s="12">
        <v>154.19434699999999</v>
      </c>
      <c r="HS35" s="12">
        <v>149.79339899999999</v>
      </c>
      <c r="HT35" s="12">
        <v>149.613822</v>
      </c>
      <c r="HU35" s="12">
        <v>144.49300779000001</v>
      </c>
      <c r="HV35" s="12">
        <v>139.743246</v>
      </c>
      <c r="HW35" s="12">
        <v>140.40547599999999</v>
      </c>
      <c r="HX35" s="12">
        <v>153.00997505000001</v>
      </c>
      <c r="HY35" s="12">
        <v>154.11890700000001</v>
      </c>
      <c r="HZ35" s="12">
        <v>168.69774200000001</v>
      </c>
      <c r="IA35" s="12"/>
      <c r="IB35" s="12"/>
      <c r="IC35" s="12"/>
      <c r="ID35" s="12"/>
      <c r="IE35" s="12"/>
      <c r="IF35" s="12"/>
      <c r="IG35" s="12"/>
      <c r="IH35" s="12"/>
      <c r="II35" s="12"/>
      <c r="IJ35" s="12"/>
      <c r="IK35" s="12"/>
    </row>
    <row r="36" spans="1:245" x14ac:dyDescent="0.25">
      <c r="A36" s="11">
        <v>46049.729166666664</v>
      </c>
      <c r="B36" s="12">
        <v>119.17709646</v>
      </c>
      <c r="C36" s="12">
        <v>110.15637599999999</v>
      </c>
      <c r="D36" s="12">
        <v>110.853409</v>
      </c>
      <c r="E36" s="12">
        <v>110.659285</v>
      </c>
      <c r="F36" s="12">
        <v>110.534595</v>
      </c>
      <c r="G36" s="12">
        <v>111.83062</v>
      </c>
      <c r="H36" s="12">
        <v>117.505214</v>
      </c>
      <c r="I36" s="12">
        <v>116.899012</v>
      </c>
      <c r="J36" s="12">
        <v>117.970375</v>
      </c>
      <c r="K36" s="12">
        <v>111.106218</v>
      </c>
      <c r="L36" s="12">
        <v>112.785538</v>
      </c>
      <c r="M36" s="12">
        <v>114.693268</v>
      </c>
      <c r="N36" s="12">
        <v>112.832262</v>
      </c>
      <c r="O36" s="12">
        <v>119.976365</v>
      </c>
      <c r="P36" s="12">
        <v>111.41685095</v>
      </c>
      <c r="Q36" s="12">
        <v>118.115118</v>
      </c>
      <c r="R36" s="12">
        <v>112.95281199999999</v>
      </c>
      <c r="S36" s="12">
        <v>118.456452</v>
      </c>
      <c r="T36" s="12">
        <v>100.956733</v>
      </c>
      <c r="U36" s="12">
        <v>101.81093199999999</v>
      </c>
      <c r="V36" s="12">
        <v>116.608648</v>
      </c>
      <c r="W36" s="12">
        <v>112.35047900000001</v>
      </c>
      <c r="X36" s="12">
        <v>107.83680699999999</v>
      </c>
      <c r="Y36" s="12">
        <v>110.287042</v>
      </c>
      <c r="Z36" s="12">
        <v>117.765238</v>
      </c>
      <c r="AA36" s="12">
        <v>106.89791099999999</v>
      </c>
      <c r="AB36" s="12">
        <v>112.44611500000001</v>
      </c>
      <c r="AC36" s="12">
        <v>112.65289</v>
      </c>
      <c r="AD36" s="12">
        <v>112.008571</v>
      </c>
      <c r="AE36" s="12">
        <v>105.68287100000001</v>
      </c>
      <c r="AF36" s="12">
        <v>115.4635325</v>
      </c>
      <c r="AG36" s="12">
        <v>115.5668732</v>
      </c>
      <c r="AH36" s="12">
        <v>116.52064300000001</v>
      </c>
      <c r="AI36" s="12">
        <v>116.466385</v>
      </c>
      <c r="AJ36" s="12">
        <v>103.89401700000001</v>
      </c>
      <c r="AK36" s="12">
        <v>116.878924</v>
      </c>
      <c r="AL36" s="12">
        <v>106.54600367</v>
      </c>
      <c r="AM36" s="12">
        <v>107.120232</v>
      </c>
      <c r="AN36" s="12">
        <v>116.895695</v>
      </c>
      <c r="AO36" s="12">
        <v>106.689702</v>
      </c>
      <c r="AP36" s="12">
        <v>99.150448999999995</v>
      </c>
      <c r="AQ36" s="12">
        <v>99.605817000000002</v>
      </c>
      <c r="AR36" s="12">
        <v>117.551412</v>
      </c>
      <c r="AS36" s="12">
        <v>116.97501200000001</v>
      </c>
      <c r="AT36" s="12">
        <v>116.97501200000001</v>
      </c>
      <c r="AU36" s="12">
        <v>118.103689</v>
      </c>
      <c r="AV36" s="12">
        <v>113.091522</v>
      </c>
      <c r="AW36" s="12">
        <v>108.203076</v>
      </c>
      <c r="AX36" s="12">
        <v>108.637562</v>
      </c>
      <c r="AY36" s="12">
        <v>119.51119199999999</v>
      </c>
      <c r="AZ36" s="12">
        <v>111.495351</v>
      </c>
      <c r="BA36" s="12">
        <v>111.193798</v>
      </c>
      <c r="BB36" s="12">
        <v>110.6183695</v>
      </c>
      <c r="BC36" s="12">
        <v>111.01365933</v>
      </c>
      <c r="BD36" s="12">
        <v>110.747781</v>
      </c>
      <c r="BE36" s="12">
        <v>111.171119</v>
      </c>
      <c r="BF36" s="12">
        <v>116.911815</v>
      </c>
      <c r="BG36" s="12">
        <v>118.294381</v>
      </c>
      <c r="BH36" s="12">
        <v>118.294381</v>
      </c>
      <c r="BI36" s="12">
        <v>118.294381</v>
      </c>
      <c r="BJ36" s="12">
        <v>107.61194999999999</v>
      </c>
      <c r="BK36" s="12">
        <v>108.34197899999999</v>
      </c>
      <c r="BL36" s="12">
        <v>116.327973</v>
      </c>
      <c r="BM36" s="12">
        <v>115.982133</v>
      </c>
      <c r="BN36" s="12">
        <v>111.94894499999999</v>
      </c>
      <c r="BO36" s="12">
        <v>109.73665800000001</v>
      </c>
      <c r="BP36" s="12">
        <v>115.90024099999999</v>
      </c>
      <c r="BQ36" s="12">
        <v>103.965802</v>
      </c>
      <c r="BR36" s="12">
        <v>103.98763482</v>
      </c>
      <c r="BS36" s="12">
        <v>112.146068</v>
      </c>
      <c r="BT36" s="12">
        <v>110.03201850000001</v>
      </c>
      <c r="BU36" s="12">
        <v>115.94789575</v>
      </c>
      <c r="BV36" s="12">
        <v>119.386385</v>
      </c>
      <c r="BW36" s="12">
        <v>116.775167</v>
      </c>
      <c r="BX36" s="12">
        <v>112.299183</v>
      </c>
      <c r="BY36" s="12">
        <v>112.299183</v>
      </c>
      <c r="BZ36" s="12">
        <v>116.18879200000001</v>
      </c>
      <c r="CA36" s="12">
        <v>118.47233300000001</v>
      </c>
      <c r="CB36" s="12">
        <v>111.93817900000001</v>
      </c>
      <c r="CC36" s="12">
        <v>114.412764</v>
      </c>
      <c r="CD36" s="12">
        <v>113.616004</v>
      </c>
      <c r="CE36" s="12">
        <v>117.21883099999999</v>
      </c>
      <c r="CF36" s="12">
        <v>111.21168400000001</v>
      </c>
      <c r="CG36" s="12">
        <v>119.386385</v>
      </c>
      <c r="CH36" s="12">
        <v>111.510856</v>
      </c>
      <c r="CI36" s="12">
        <v>111.496469</v>
      </c>
      <c r="CJ36" s="12">
        <v>112.279978</v>
      </c>
      <c r="CK36" s="12">
        <v>120.972967</v>
      </c>
      <c r="CL36" s="12">
        <v>122.061924</v>
      </c>
      <c r="CM36" s="12">
        <v>120.062862</v>
      </c>
      <c r="CN36" s="12">
        <v>118.729089</v>
      </c>
      <c r="CO36" s="12">
        <v>120.133854</v>
      </c>
      <c r="CP36" s="12">
        <v>111.258725</v>
      </c>
      <c r="CQ36" s="12">
        <v>111.10523499999999</v>
      </c>
      <c r="CR36" s="12">
        <v>113.9092158</v>
      </c>
      <c r="CS36" s="12">
        <v>115.725131</v>
      </c>
      <c r="CT36" s="12">
        <v>108.48633700000001</v>
      </c>
      <c r="CU36" s="12">
        <v>117.8166442</v>
      </c>
      <c r="CV36" s="12">
        <v>110.71827</v>
      </c>
      <c r="CW36" s="12">
        <v>110.05058</v>
      </c>
      <c r="CX36" s="12">
        <v>120.8701185</v>
      </c>
      <c r="CY36" s="12">
        <v>108.02284400000001</v>
      </c>
      <c r="CZ36" s="12">
        <v>109.81978133</v>
      </c>
      <c r="DA36" s="12">
        <v>110.42001</v>
      </c>
      <c r="DB36" s="12">
        <v>111.429467</v>
      </c>
      <c r="DC36" s="12">
        <v>118.715715</v>
      </c>
      <c r="DD36" s="12">
        <v>119.03551400000001</v>
      </c>
      <c r="DE36" s="12">
        <v>116.775167</v>
      </c>
      <c r="DF36" s="12">
        <v>116.335463</v>
      </c>
      <c r="DG36" s="12">
        <v>111.610913</v>
      </c>
      <c r="DH36" s="12">
        <v>112.299183</v>
      </c>
      <c r="DI36" s="12">
        <v>112.68898</v>
      </c>
      <c r="DJ36" s="12">
        <v>117.406571</v>
      </c>
      <c r="DK36" s="12">
        <v>122.99063083999999</v>
      </c>
      <c r="DL36" s="12">
        <v>115.582921</v>
      </c>
      <c r="DM36" s="12">
        <v>115.264584</v>
      </c>
      <c r="DN36" s="12">
        <v>110.474174</v>
      </c>
      <c r="DO36" s="12">
        <v>120.290617</v>
      </c>
      <c r="DP36" s="12">
        <v>119.217164</v>
      </c>
      <c r="DQ36" s="12">
        <v>115.03242</v>
      </c>
      <c r="DR36" s="12">
        <v>100.214675</v>
      </c>
      <c r="DS36" s="12">
        <v>119.10903500000001</v>
      </c>
      <c r="DT36" s="12">
        <v>110.319857</v>
      </c>
      <c r="DU36" s="12">
        <v>110.752961</v>
      </c>
      <c r="DV36" s="12">
        <v>112.176852</v>
      </c>
      <c r="DW36" s="12">
        <v>117.450118</v>
      </c>
      <c r="DX36" s="12">
        <v>117.91661499999999</v>
      </c>
      <c r="DY36" s="12">
        <v>106.896247</v>
      </c>
      <c r="DZ36" s="12">
        <v>104.77225300000001</v>
      </c>
      <c r="EA36" s="12">
        <v>104.77225300000001</v>
      </c>
      <c r="EB36" s="12">
        <v>105.39078644999999</v>
      </c>
      <c r="EC36" s="12">
        <v>112.11059299999999</v>
      </c>
      <c r="ED36" s="12">
        <v>112.37013899999999</v>
      </c>
      <c r="EE36" s="12">
        <v>108.657448</v>
      </c>
      <c r="EF36" s="12">
        <v>109.36099900000001</v>
      </c>
      <c r="EG36" s="12">
        <v>107.52259599999999</v>
      </c>
      <c r="EH36" s="12">
        <v>111.32564499999999</v>
      </c>
      <c r="EI36" s="12">
        <v>129.87173999999999</v>
      </c>
      <c r="EJ36" s="12">
        <v>118.23405700000001</v>
      </c>
      <c r="EK36" s="12">
        <v>118.23405700000001</v>
      </c>
      <c r="EL36" s="12">
        <v>109.14260899999999</v>
      </c>
      <c r="EM36" s="12">
        <v>116.470285</v>
      </c>
      <c r="EN36" s="12">
        <v>116.895005</v>
      </c>
      <c r="EO36" s="12">
        <v>116.775167</v>
      </c>
      <c r="EP36" s="12">
        <v>110.96101400000001</v>
      </c>
      <c r="EQ36" s="12">
        <v>111.526909</v>
      </c>
      <c r="ER36" s="12">
        <v>120.246938</v>
      </c>
      <c r="ES36" s="12">
        <v>111.096788</v>
      </c>
      <c r="ET36" s="12">
        <v>111.420491</v>
      </c>
      <c r="EU36" s="12">
        <v>114.20445633</v>
      </c>
      <c r="EV36" s="12">
        <v>108.12687099999999</v>
      </c>
      <c r="EW36" s="12">
        <v>107.188581</v>
      </c>
      <c r="EX36" s="12">
        <v>109.05346299999999</v>
      </c>
      <c r="EY36" s="12">
        <v>113.017904</v>
      </c>
      <c r="EZ36" s="12">
        <v>108.326471</v>
      </c>
      <c r="FA36" s="12">
        <v>107.041347</v>
      </c>
      <c r="FB36" s="12">
        <v>105.546622</v>
      </c>
      <c r="FC36" s="12">
        <v>110.49722</v>
      </c>
      <c r="FD36" s="12">
        <v>111.06702300000001</v>
      </c>
      <c r="FE36" s="12">
        <v>111.305392</v>
      </c>
      <c r="FF36" s="12">
        <v>128.65649221999999</v>
      </c>
      <c r="FG36" s="12">
        <v>109.91033</v>
      </c>
      <c r="FH36" s="12">
        <v>120.311099</v>
      </c>
      <c r="FI36" s="12">
        <v>112.54454</v>
      </c>
      <c r="FJ36" s="12">
        <v>142.03173475</v>
      </c>
      <c r="FK36" s="12">
        <v>117.63817831999999</v>
      </c>
      <c r="FL36" s="12">
        <v>124.676266</v>
      </c>
      <c r="FM36" s="12">
        <v>106.69109349999999</v>
      </c>
      <c r="FN36" s="12">
        <v>107.163871</v>
      </c>
      <c r="FO36" s="12">
        <v>109.418683</v>
      </c>
      <c r="FP36" s="12">
        <v>112.326425</v>
      </c>
      <c r="FQ36" s="12">
        <v>116.20285084</v>
      </c>
      <c r="FR36" s="12">
        <v>115.795861</v>
      </c>
      <c r="FS36" s="12">
        <v>116.18879200000001</v>
      </c>
      <c r="FT36" s="12">
        <v>115.791781</v>
      </c>
      <c r="FU36" s="12">
        <v>115.791781</v>
      </c>
      <c r="FV36" s="12">
        <v>119.958642</v>
      </c>
      <c r="FW36" s="12">
        <v>119.958642</v>
      </c>
      <c r="FX36" s="12">
        <v>118.586062</v>
      </c>
      <c r="FY36" s="12">
        <v>115.35357</v>
      </c>
      <c r="FZ36" s="12">
        <v>115.25447800000001</v>
      </c>
      <c r="GA36" s="12">
        <v>109.01456899999999</v>
      </c>
      <c r="GB36" s="12">
        <v>108.688486</v>
      </c>
      <c r="GC36" s="12">
        <v>114.35516334</v>
      </c>
      <c r="GD36" s="12">
        <v>113.603391</v>
      </c>
      <c r="GE36" s="12">
        <v>113.681551</v>
      </c>
      <c r="GF36" s="12">
        <v>119.386385</v>
      </c>
      <c r="GG36" s="12">
        <v>119.386385</v>
      </c>
      <c r="GH36" s="12">
        <v>117.708817</v>
      </c>
      <c r="GI36" s="12">
        <v>106.86053966999999</v>
      </c>
      <c r="GJ36" s="12">
        <v>116.384334</v>
      </c>
      <c r="GK36" s="12">
        <v>116.335463</v>
      </c>
      <c r="GL36" s="12">
        <v>120.6255201</v>
      </c>
      <c r="GM36" s="12">
        <v>102.309445</v>
      </c>
      <c r="GN36" s="12">
        <v>120.6255201</v>
      </c>
      <c r="GO36" s="12">
        <v>115.791781</v>
      </c>
      <c r="GP36" s="12">
        <v>112.140564</v>
      </c>
      <c r="GQ36" s="12">
        <v>115.847735</v>
      </c>
      <c r="GR36" s="12">
        <v>114.105734</v>
      </c>
      <c r="GS36" s="12">
        <v>109.090282</v>
      </c>
      <c r="GT36" s="12">
        <v>104.423828</v>
      </c>
      <c r="GU36" s="12">
        <v>112.39491700000001</v>
      </c>
      <c r="GV36" s="12">
        <v>108.69121</v>
      </c>
      <c r="GW36" s="12">
        <v>118.496346</v>
      </c>
      <c r="GX36" s="12">
        <v>115.872635</v>
      </c>
      <c r="GY36" s="12">
        <v>116.489082</v>
      </c>
      <c r="GZ36" s="12">
        <v>116.266609</v>
      </c>
      <c r="HA36" s="12">
        <v>112.39491700000001</v>
      </c>
      <c r="HB36" s="12">
        <v>112.16605300000001</v>
      </c>
      <c r="HC36" s="12">
        <v>112.2985405</v>
      </c>
      <c r="HD36" s="12">
        <v>115.887381</v>
      </c>
      <c r="HE36" s="12">
        <v>120.058339</v>
      </c>
      <c r="HF36" s="12">
        <v>120.246938</v>
      </c>
      <c r="HG36" s="12">
        <v>120.246938</v>
      </c>
      <c r="HH36" s="12">
        <v>120.246938</v>
      </c>
      <c r="HI36" s="12">
        <v>110.832588</v>
      </c>
      <c r="HJ36" s="12">
        <v>117.88908499999999</v>
      </c>
      <c r="HK36" s="12">
        <v>117.513181</v>
      </c>
      <c r="HL36" s="12">
        <v>116.85916899999999</v>
      </c>
      <c r="HM36" s="12">
        <v>118.763822</v>
      </c>
      <c r="HN36" s="12">
        <v>117.52726199999999</v>
      </c>
      <c r="HO36" s="12">
        <v>100.40454544000001</v>
      </c>
      <c r="HP36" s="12">
        <v>120.47689800000001</v>
      </c>
      <c r="HQ36" s="12">
        <v>112.4878385</v>
      </c>
      <c r="HR36" s="12">
        <v>112.803606</v>
      </c>
      <c r="HS36" s="12">
        <v>109.74657999999999</v>
      </c>
      <c r="HT36" s="12">
        <v>109.450063</v>
      </c>
      <c r="HU36" s="12">
        <v>105.11813345</v>
      </c>
      <c r="HV36" s="12">
        <v>102.290235</v>
      </c>
      <c r="HW36" s="12">
        <v>102.786541</v>
      </c>
      <c r="HX36" s="12">
        <v>111.40446788</v>
      </c>
      <c r="HY36" s="12">
        <v>112.70144500000001</v>
      </c>
      <c r="HZ36" s="12">
        <v>122.857722</v>
      </c>
      <c r="IA36" s="12"/>
      <c r="IB36" s="12"/>
      <c r="IC36" s="12"/>
      <c r="ID36" s="12"/>
      <c r="IE36" s="12"/>
      <c r="IF36" s="12"/>
      <c r="IG36" s="12"/>
      <c r="IH36" s="12"/>
      <c r="II36" s="12"/>
      <c r="IJ36" s="12"/>
      <c r="IK36" s="12"/>
    </row>
    <row r="37" spans="1:245" x14ac:dyDescent="0.25">
      <c r="A37" s="11">
        <v>46049.75</v>
      </c>
      <c r="B37" s="12">
        <v>106.22968286</v>
      </c>
      <c r="C37" s="12">
        <v>98.175208999999995</v>
      </c>
      <c r="D37" s="12">
        <v>98.793128999999993</v>
      </c>
      <c r="E37" s="12">
        <v>98.630547000000007</v>
      </c>
      <c r="F37" s="12">
        <v>98.518320000000003</v>
      </c>
      <c r="G37" s="12">
        <v>99.491167000000004</v>
      </c>
      <c r="H37" s="12">
        <v>105.949862</v>
      </c>
      <c r="I37" s="12">
        <v>105.392433</v>
      </c>
      <c r="J37" s="12">
        <v>106.34979199999999</v>
      </c>
      <c r="K37" s="12">
        <v>99.030030999999994</v>
      </c>
      <c r="L37" s="12">
        <v>100.47463</v>
      </c>
      <c r="M37" s="12">
        <v>103.55882800000001</v>
      </c>
      <c r="N37" s="12">
        <v>101.931765</v>
      </c>
      <c r="O37" s="12">
        <v>106.973929</v>
      </c>
      <c r="P37" s="12">
        <v>99.331243220000005</v>
      </c>
      <c r="Q37" s="12">
        <v>106.36435299999999</v>
      </c>
      <c r="R37" s="12">
        <v>101.322935</v>
      </c>
      <c r="S37" s="12">
        <v>105.651861</v>
      </c>
      <c r="T37" s="12">
        <v>90.195883499999994</v>
      </c>
      <c r="U37" s="12">
        <v>90.969656999999998</v>
      </c>
      <c r="V37" s="12">
        <v>104.063104</v>
      </c>
      <c r="W37" s="12">
        <v>100.121245</v>
      </c>
      <c r="X37" s="12">
        <v>96.203615999999997</v>
      </c>
      <c r="Y37" s="12">
        <v>98.313495000000003</v>
      </c>
      <c r="Z37" s="12">
        <v>106.304626</v>
      </c>
      <c r="AA37" s="12">
        <v>95.502494999999996</v>
      </c>
      <c r="AB37" s="12">
        <v>99.375732999999997</v>
      </c>
      <c r="AC37" s="12">
        <v>100.54719900000001</v>
      </c>
      <c r="AD37" s="12">
        <v>99.829189</v>
      </c>
      <c r="AE37" s="12">
        <v>94.259079</v>
      </c>
      <c r="AF37" s="12">
        <v>102.9871045</v>
      </c>
      <c r="AG37" s="12">
        <v>103.07769814</v>
      </c>
      <c r="AH37" s="12">
        <v>103.925574</v>
      </c>
      <c r="AI37" s="12">
        <v>103.880437</v>
      </c>
      <c r="AJ37" s="12">
        <v>92.472414000000001</v>
      </c>
      <c r="AK37" s="12">
        <v>104.303865</v>
      </c>
      <c r="AL37" s="12">
        <v>95.215989669999999</v>
      </c>
      <c r="AM37" s="12">
        <v>95.725707</v>
      </c>
      <c r="AN37" s="12">
        <v>105.41609</v>
      </c>
      <c r="AO37" s="12">
        <v>95.072801999999996</v>
      </c>
      <c r="AP37" s="12">
        <v>88.480280500000006</v>
      </c>
      <c r="AQ37" s="12">
        <v>88.885778999999999</v>
      </c>
      <c r="AR37" s="12">
        <v>106.271607</v>
      </c>
      <c r="AS37" s="12">
        <v>105.64479300000001</v>
      </c>
      <c r="AT37" s="12">
        <v>105.64479300000001</v>
      </c>
      <c r="AU37" s="12">
        <v>106.645313</v>
      </c>
      <c r="AV37" s="12">
        <v>100.845787</v>
      </c>
      <c r="AW37" s="12">
        <v>97.498450000000005</v>
      </c>
      <c r="AX37" s="12">
        <v>97.794162999999998</v>
      </c>
      <c r="AY37" s="12">
        <v>106.5115</v>
      </c>
      <c r="AZ37" s="12">
        <v>99.459121999999994</v>
      </c>
      <c r="BA37" s="12">
        <v>99.101887000000005</v>
      </c>
      <c r="BB37" s="12">
        <v>98.589957999999996</v>
      </c>
      <c r="BC37" s="12">
        <v>98.990533999999997</v>
      </c>
      <c r="BD37" s="12">
        <v>98.533827000000002</v>
      </c>
      <c r="BE37" s="12">
        <v>99.085864000000001</v>
      </c>
      <c r="BF37" s="12">
        <v>105.672049</v>
      </c>
      <c r="BG37" s="12">
        <v>106.816186</v>
      </c>
      <c r="BH37" s="12">
        <v>106.778856</v>
      </c>
      <c r="BI37" s="12">
        <v>106.816186</v>
      </c>
      <c r="BJ37" s="12">
        <v>96.059168</v>
      </c>
      <c r="BK37" s="12">
        <v>96.715012999999999</v>
      </c>
      <c r="BL37" s="12">
        <v>103.987814</v>
      </c>
      <c r="BM37" s="12">
        <v>103.60973799999999</v>
      </c>
      <c r="BN37" s="12">
        <v>99.457768000000002</v>
      </c>
      <c r="BO37" s="12">
        <v>97.715895000000003</v>
      </c>
      <c r="BP37" s="12">
        <v>104.2788</v>
      </c>
      <c r="BQ37" s="12">
        <v>92.460296</v>
      </c>
      <c r="BR37" s="12">
        <v>92.479712660000004</v>
      </c>
      <c r="BS37" s="12">
        <v>100.51062899999999</v>
      </c>
      <c r="BT37" s="12">
        <v>98.370788500000003</v>
      </c>
      <c r="BU37" s="12">
        <v>102.81536705000001</v>
      </c>
      <c r="BV37" s="12">
        <v>106.40960200000001</v>
      </c>
      <c r="BW37" s="12">
        <v>105.225752</v>
      </c>
      <c r="BX37" s="12">
        <v>99.579915999999997</v>
      </c>
      <c r="BY37" s="12">
        <v>99.579915999999997</v>
      </c>
      <c r="BZ37" s="12">
        <v>103.388901</v>
      </c>
      <c r="CA37" s="12">
        <v>105.56867699999999</v>
      </c>
      <c r="CB37" s="12">
        <v>99.476231999999996</v>
      </c>
      <c r="CC37" s="12">
        <v>102.657385</v>
      </c>
      <c r="CD37" s="12">
        <v>101.92065599999999</v>
      </c>
      <c r="CE37" s="12">
        <v>104.54097899999999</v>
      </c>
      <c r="CF37" s="12">
        <v>99.611123000000006</v>
      </c>
      <c r="CG37" s="12">
        <v>106.40960200000001</v>
      </c>
      <c r="CH37" s="12">
        <v>99.473185000000001</v>
      </c>
      <c r="CI37" s="12">
        <v>99.460134999999994</v>
      </c>
      <c r="CJ37" s="12">
        <v>100.652061</v>
      </c>
      <c r="CK37" s="12">
        <v>107.793066</v>
      </c>
      <c r="CL37" s="12">
        <v>108.778155</v>
      </c>
      <c r="CM37" s="12">
        <v>107.09216499999999</v>
      </c>
      <c r="CN37" s="12">
        <v>105.87311200000001</v>
      </c>
      <c r="CO37" s="12">
        <v>107.043611</v>
      </c>
      <c r="CP37" s="12">
        <v>99.581264000000004</v>
      </c>
      <c r="CQ37" s="12">
        <v>99.328232999999997</v>
      </c>
      <c r="CR37" s="12">
        <v>101.74872838</v>
      </c>
      <c r="CS37" s="12">
        <v>103.03533400000001</v>
      </c>
      <c r="CT37" s="12">
        <v>96.761315999999994</v>
      </c>
      <c r="CU37" s="12">
        <v>104.86175609999999</v>
      </c>
      <c r="CV37" s="12">
        <v>98.858565999999996</v>
      </c>
      <c r="CW37" s="12">
        <v>98.382167999999993</v>
      </c>
      <c r="CX37" s="12">
        <v>109.10734746</v>
      </c>
      <c r="CY37" s="12">
        <v>96.536877000000004</v>
      </c>
      <c r="CZ37" s="12">
        <v>97.749968330000002</v>
      </c>
      <c r="DA37" s="12">
        <v>98.284848999999994</v>
      </c>
      <c r="DB37" s="12">
        <v>99.176996000000003</v>
      </c>
      <c r="DC37" s="12">
        <v>106.99484</v>
      </c>
      <c r="DD37" s="12">
        <v>107.29451299999999</v>
      </c>
      <c r="DE37" s="12">
        <v>105.225752</v>
      </c>
      <c r="DF37" s="12">
        <v>104.841311</v>
      </c>
      <c r="DG37" s="12">
        <v>99.148561999999998</v>
      </c>
      <c r="DH37" s="12">
        <v>99.579915999999997</v>
      </c>
      <c r="DI37" s="12">
        <v>100.428191</v>
      </c>
      <c r="DJ37" s="12">
        <v>105.814463</v>
      </c>
      <c r="DK37" s="12">
        <v>109.5948552</v>
      </c>
      <c r="DL37" s="12">
        <v>104.404453</v>
      </c>
      <c r="DM37" s="12">
        <v>104.050899</v>
      </c>
      <c r="DN37" s="12">
        <v>98.253122329999997</v>
      </c>
      <c r="DO37" s="12">
        <v>107.276881</v>
      </c>
      <c r="DP37" s="12">
        <v>106.316174</v>
      </c>
      <c r="DQ37" s="12">
        <v>102.72225400000001</v>
      </c>
      <c r="DR37" s="12">
        <v>89.214867999999996</v>
      </c>
      <c r="DS37" s="12">
        <v>106.231036</v>
      </c>
      <c r="DT37" s="12">
        <v>98.322534000000005</v>
      </c>
      <c r="DU37" s="12">
        <v>98.708763000000005</v>
      </c>
      <c r="DV37" s="12">
        <v>100.24736300000001</v>
      </c>
      <c r="DW37" s="12">
        <v>105.803898</v>
      </c>
      <c r="DX37" s="12">
        <v>106.198752</v>
      </c>
      <c r="DY37" s="12">
        <v>95.853306000000003</v>
      </c>
      <c r="DZ37" s="12">
        <v>93.365362000000005</v>
      </c>
      <c r="EA37" s="12">
        <v>93.365362000000005</v>
      </c>
      <c r="EB37" s="12">
        <v>94.114639179999998</v>
      </c>
      <c r="EC37" s="12">
        <v>100.459969</v>
      </c>
      <c r="ED37" s="12">
        <v>100.696686</v>
      </c>
      <c r="EE37" s="12">
        <v>96.845489000000001</v>
      </c>
      <c r="EF37" s="12">
        <v>97.479293999999996</v>
      </c>
      <c r="EG37" s="12">
        <v>97.396355</v>
      </c>
      <c r="EH37" s="12">
        <v>99.595962999999998</v>
      </c>
      <c r="EI37" s="12">
        <v>117.23295416000001</v>
      </c>
      <c r="EJ37" s="12">
        <v>106.861448</v>
      </c>
      <c r="EK37" s="12">
        <v>106.861448</v>
      </c>
      <c r="EL37" s="12">
        <v>97.360545000000002</v>
      </c>
      <c r="EM37" s="12">
        <v>104.953362</v>
      </c>
      <c r="EN37" s="12">
        <v>105.331582</v>
      </c>
      <c r="EO37" s="12">
        <v>105.225752</v>
      </c>
      <c r="EP37" s="12">
        <v>98.784966999999995</v>
      </c>
      <c r="EQ37" s="12">
        <v>99.817978999999994</v>
      </c>
      <c r="ER37" s="12">
        <v>107.233711</v>
      </c>
      <c r="ES37" s="12">
        <v>99.101664</v>
      </c>
      <c r="ET37" s="12">
        <v>99.391981999999999</v>
      </c>
      <c r="EU37" s="12">
        <v>101.84698096</v>
      </c>
      <c r="EV37" s="12">
        <v>96.413124999999994</v>
      </c>
      <c r="EW37" s="12">
        <v>95.519979000000006</v>
      </c>
      <c r="EX37" s="12">
        <v>97.250838999999999</v>
      </c>
      <c r="EY37" s="12">
        <v>100.590676</v>
      </c>
      <c r="EZ37" s="12">
        <v>97.957323000000002</v>
      </c>
      <c r="FA37" s="12">
        <v>95.551248000000001</v>
      </c>
      <c r="FB37" s="12">
        <v>94.176038000000005</v>
      </c>
      <c r="FC37" s="12">
        <v>98.834477000000007</v>
      </c>
      <c r="FD37" s="12">
        <v>99.337262999999993</v>
      </c>
      <c r="FE37" s="12">
        <v>99.547601999999998</v>
      </c>
      <c r="FF37" s="12">
        <v>115.01638523</v>
      </c>
      <c r="FG37" s="12">
        <v>98.043727000000004</v>
      </c>
      <c r="FH37" s="12">
        <v>107.272746</v>
      </c>
      <c r="FI37" s="12">
        <v>100.382228</v>
      </c>
      <c r="FJ37" s="12">
        <v>126.82389320999999</v>
      </c>
      <c r="FK37" s="12">
        <v>105.16601808</v>
      </c>
      <c r="FL37" s="12">
        <v>111.071637</v>
      </c>
      <c r="FM37" s="12">
        <v>94.073396000000002</v>
      </c>
      <c r="FN37" s="12">
        <v>94.594171000000003</v>
      </c>
      <c r="FO37" s="12">
        <v>97.559965000000005</v>
      </c>
      <c r="FP37" s="12">
        <v>100.69721199999999</v>
      </c>
      <c r="FQ37" s="12">
        <v>103.40141106</v>
      </c>
      <c r="FR37" s="12">
        <v>103.050297</v>
      </c>
      <c r="FS37" s="12">
        <v>103.388901</v>
      </c>
      <c r="FT37" s="12">
        <v>104.411767</v>
      </c>
      <c r="FU37" s="12">
        <v>104.411767</v>
      </c>
      <c r="FV37" s="12">
        <v>108.825412</v>
      </c>
      <c r="FW37" s="12">
        <v>108.825412</v>
      </c>
      <c r="FX37" s="12">
        <v>107.56451800000001</v>
      </c>
      <c r="FY37" s="12">
        <v>104.110795</v>
      </c>
      <c r="FZ37" s="12">
        <v>104.01603</v>
      </c>
      <c r="GA37" s="12">
        <v>97.628839999999997</v>
      </c>
      <c r="GB37" s="12">
        <v>97.171268999999995</v>
      </c>
      <c r="GC37" s="12">
        <v>102.26062112</v>
      </c>
      <c r="GD37" s="12">
        <v>101.899931</v>
      </c>
      <c r="GE37" s="12">
        <v>101.573227</v>
      </c>
      <c r="GF37" s="12">
        <v>106.40960200000001</v>
      </c>
      <c r="GG37" s="12">
        <v>106.40960200000001</v>
      </c>
      <c r="GH37" s="12">
        <v>106.277524</v>
      </c>
      <c r="GI37" s="12">
        <v>95.469082670000006</v>
      </c>
      <c r="GJ37" s="12">
        <v>104.92548600000001</v>
      </c>
      <c r="GK37" s="12">
        <v>104.841311</v>
      </c>
      <c r="GL37" s="12">
        <v>108.88655276</v>
      </c>
      <c r="GM37" s="12">
        <v>92.644346999999996</v>
      </c>
      <c r="GN37" s="12">
        <v>108.88655276</v>
      </c>
      <c r="GO37" s="12">
        <v>104.411767</v>
      </c>
      <c r="GP37" s="12">
        <v>99.783467000000002</v>
      </c>
      <c r="GQ37" s="12">
        <v>104.549379</v>
      </c>
      <c r="GR37" s="12">
        <v>102.284003</v>
      </c>
      <c r="GS37" s="12">
        <v>97.385148999999998</v>
      </c>
      <c r="GT37" s="12">
        <v>93.127638000000005</v>
      </c>
      <c r="GU37" s="12">
        <v>100.119254</v>
      </c>
      <c r="GV37" s="12">
        <v>97.473050000000001</v>
      </c>
      <c r="GW37" s="12">
        <v>105.808522</v>
      </c>
      <c r="GX37" s="12">
        <v>104.768378</v>
      </c>
      <c r="GY37" s="12">
        <v>105.01611699999999</v>
      </c>
      <c r="GZ37" s="12">
        <v>104.779623</v>
      </c>
      <c r="HA37" s="12">
        <v>100.119254</v>
      </c>
      <c r="HB37" s="12">
        <v>99.915848999999994</v>
      </c>
      <c r="HC37" s="12">
        <v>100.119254</v>
      </c>
      <c r="HD37" s="12">
        <v>104.56753</v>
      </c>
      <c r="HE37" s="12">
        <v>107.064634</v>
      </c>
      <c r="HF37" s="12">
        <v>107.233711</v>
      </c>
      <c r="HG37" s="12">
        <v>107.233711</v>
      </c>
      <c r="HH37" s="12">
        <v>107.233711</v>
      </c>
      <c r="HI37" s="12">
        <v>98.824280000000002</v>
      </c>
      <c r="HJ37" s="12">
        <v>106.33680200000001</v>
      </c>
      <c r="HK37" s="12">
        <v>106.0153</v>
      </c>
      <c r="HL37" s="12">
        <v>103.921747</v>
      </c>
      <c r="HM37" s="12">
        <v>107.032685</v>
      </c>
      <c r="HN37" s="12">
        <v>104.888096</v>
      </c>
      <c r="HO37" s="12">
        <v>90.919401899999997</v>
      </c>
      <c r="HP37" s="12">
        <v>107.420374</v>
      </c>
      <c r="HQ37" s="12">
        <v>100.31977500000001</v>
      </c>
      <c r="HR37" s="12">
        <v>100.60276</v>
      </c>
      <c r="HS37" s="12">
        <v>98.00461</v>
      </c>
      <c r="HT37" s="12">
        <v>97.710448</v>
      </c>
      <c r="HU37" s="12">
        <v>94.085174879999997</v>
      </c>
      <c r="HV37" s="12">
        <v>91.209515499999995</v>
      </c>
      <c r="HW37" s="12">
        <v>91.654745000000005</v>
      </c>
      <c r="HX37" s="12">
        <v>99.262209409999997</v>
      </c>
      <c r="HY37" s="12">
        <v>100.586236</v>
      </c>
      <c r="HZ37" s="12">
        <v>109.49840399999999</v>
      </c>
      <c r="IA37" s="12"/>
      <c r="IB37" s="12"/>
      <c r="IC37" s="12"/>
      <c r="ID37" s="12"/>
      <c r="IE37" s="12"/>
      <c r="IF37" s="12"/>
      <c r="IG37" s="12"/>
      <c r="IH37" s="12"/>
      <c r="II37" s="12"/>
      <c r="IJ37" s="12"/>
      <c r="IK37" s="12"/>
    </row>
    <row r="38" spans="1:245" x14ac:dyDescent="0.25">
      <c r="A38" s="11">
        <v>46049.770833333336</v>
      </c>
      <c r="B38" s="12">
        <v>105.93809661</v>
      </c>
      <c r="C38" s="12">
        <v>98.465970999999996</v>
      </c>
      <c r="D38" s="12">
        <v>99.105609000000001</v>
      </c>
      <c r="E38" s="12">
        <v>98.935253000000003</v>
      </c>
      <c r="F38" s="12">
        <v>98.806488999999999</v>
      </c>
      <c r="G38" s="12">
        <v>99.221725000000006</v>
      </c>
      <c r="H38" s="12">
        <v>106.479558</v>
      </c>
      <c r="I38" s="12">
        <v>105.937797</v>
      </c>
      <c r="J38" s="12">
        <v>106.890646</v>
      </c>
      <c r="K38" s="12">
        <v>98.786518999999998</v>
      </c>
      <c r="L38" s="12">
        <v>100.823925</v>
      </c>
      <c r="M38" s="12">
        <v>104.199906</v>
      </c>
      <c r="N38" s="12">
        <v>102.622012</v>
      </c>
      <c r="O38" s="12">
        <v>106.983823</v>
      </c>
      <c r="P38" s="12">
        <v>99.048158459999996</v>
      </c>
      <c r="Q38" s="12">
        <v>106.90102899999999</v>
      </c>
      <c r="R38" s="12">
        <v>101.131334</v>
      </c>
      <c r="S38" s="12">
        <v>105.54040500000001</v>
      </c>
      <c r="T38" s="12">
        <v>89.7800735</v>
      </c>
      <c r="U38" s="12">
        <v>90.542833999999999</v>
      </c>
      <c r="V38" s="12">
        <v>103.785312</v>
      </c>
      <c r="W38" s="12">
        <v>99.799985000000007</v>
      </c>
      <c r="X38" s="12">
        <v>95.977386999999993</v>
      </c>
      <c r="Y38" s="12">
        <v>98.071045999999996</v>
      </c>
      <c r="Z38" s="12">
        <v>106.759733</v>
      </c>
      <c r="AA38" s="12">
        <v>95.496234999999999</v>
      </c>
      <c r="AB38" s="12">
        <v>99.154258999999996</v>
      </c>
      <c r="AC38" s="12">
        <v>100.300927</v>
      </c>
      <c r="AD38" s="12">
        <v>99.539248999999998</v>
      </c>
      <c r="AE38" s="12">
        <v>94.083029999999994</v>
      </c>
      <c r="AF38" s="12">
        <v>102.683419</v>
      </c>
      <c r="AG38" s="12">
        <v>104.30507663</v>
      </c>
      <c r="AH38" s="12">
        <v>103.63185799999999</v>
      </c>
      <c r="AI38" s="12">
        <v>103.58371</v>
      </c>
      <c r="AJ38" s="12">
        <v>92.165467000000007</v>
      </c>
      <c r="AK38" s="12">
        <v>104.010132</v>
      </c>
      <c r="AL38" s="12">
        <v>95.211787999999999</v>
      </c>
      <c r="AM38" s="12">
        <v>95.719845000000007</v>
      </c>
      <c r="AN38" s="12">
        <v>106.01043900000001</v>
      </c>
      <c r="AO38" s="12">
        <v>94.831412999999998</v>
      </c>
      <c r="AP38" s="12">
        <v>88.320091000000005</v>
      </c>
      <c r="AQ38" s="12">
        <v>88.724999999999994</v>
      </c>
      <c r="AR38" s="12">
        <v>107.825643</v>
      </c>
      <c r="AS38" s="12">
        <v>106.299696</v>
      </c>
      <c r="AT38" s="12">
        <v>106.299696</v>
      </c>
      <c r="AU38" s="12">
        <v>107.233582</v>
      </c>
      <c r="AV38" s="12">
        <v>100.53765</v>
      </c>
      <c r="AW38" s="12">
        <v>97.461447000000007</v>
      </c>
      <c r="AX38" s="12">
        <v>97.727346999999995</v>
      </c>
      <c r="AY38" s="12">
        <v>106.16410399999999</v>
      </c>
      <c r="AZ38" s="12">
        <v>99.254152000000005</v>
      </c>
      <c r="BA38" s="12">
        <v>98.880756000000005</v>
      </c>
      <c r="BB38" s="12">
        <v>98.374728500000003</v>
      </c>
      <c r="BC38" s="12">
        <v>98.774331669999995</v>
      </c>
      <c r="BD38" s="12">
        <v>98.282259999999994</v>
      </c>
      <c r="BE38" s="12">
        <v>98.865227000000004</v>
      </c>
      <c r="BF38" s="12">
        <v>106.062652</v>
      </c>
      <c r="BG38" s="12">
        <v>107.43134000000001</v>
      </c>
      <c r="BH38" s="12">
        <v>107.43134000000001</v>
      </c>
      <c r="BI38" s="12">
        <v>107.43134000000001</v>
      </c>
      <c r="BJ38" s="12">
        <v>95.963570000000004</v>
      </c>
      <c r="BK38" s="12">
        <v>96.611458999999996</v>
      </c>
      <c r="BL38" s="12">
        <v>103.51221200000001</v>
      </c>
      <c r="BM38" s="12">
        <v>103.19579</v>
      </c>
      <c r="BN38" s="12">
        <v>99.215727999999999</v>
      </c>
      <c r="BO38" s="12">
        <v>97.603115000000003</v>
      </c>
      <c r="BP38" s="12">
        <v>104.743065</v>
      </c>
      <c r="BQ38" s="12">
        <v>92.109741999999997</v>
      </c>
      <c r="BR38" s="12">
        <v>92.123466350000001</v>
      </c>
      <c r="BS38" s="12">
        <v>100.644965</v>
      </c>
      <c r="BT38" s="12">
        <v>98.012256500000007</v>
      </c>
      <c r="BU38" s="12">
        <v>99.8363406</v>
      </c>
      <c r="BV38" s="12">
        <v>106.054036</v>
      </c>
      <c r="BW38" s="12">
        <v>105.743618</v>
      </c>
      <c r="BX38" s="12">
        <v>99.340531999999996</v>
      </c>
      <c r="BY38" s="12">
        <v>99.340531999999996</v>
      </c>
      <c r="BZ38" s="12">
        <v>104.094408</v>
      </c>
      <c r="CA38" s="12">
        <v>105.35320900000001</v>
      </c>
      <c r="CB38" s="12">
        <v>99.225413000000003</v>
      </c>
      <c r="CC38" s="12">
        <v>102.772972</v>
      </c>
      <c r="CD38" s="12">
        <v>101.941114</v>
      </c>
      <c r="CE38" s="12">
        <v>104.25219300000001</v>
      </c>
      <c r="CF38" s="12">
        <v>100.11076199999999</v>
      </c>
      <c r="CG38" s="12">
        <v>106.054036</v>
      </c>
      <c r="CH38" s="12">
        <v>99.268153999999996</v>
      </c>
      <c r="CI38" s="12">
        <v>99.255161000000001</v>
      </c>
      <c r="CJ38" s="12">
        <v>100.91531000000001</v>
      </c>
      <c r="CK38" s="12">
        <v>107.850274</v>
      </c>
      <c r="CL38" s="12">
        <v>108.81593100000001</v>
      </c>
      <c r="CM38" s="12">
        <v>106.931607</v>
      </c>
      <c r="CN38" s="12">
        <v>105.474401</v>
      </c>
      <c r="CO38" s="12">
        <v>106.686767</v>
      </c>
      <c r="CP38" s="12">
        <v>99.335172</v>
      </c>
      <c r="CQ38" s="12">
        <v>98.966362000000004</v>
      </c>
      <c r="CR38" s="12">
        <v>102.31259027999999</v>
      </c>
      <c r="CS38" s="12">
        <v>102.983745</v>
      </c>
      <c r="CT38" s="12">
        <v>96.726928999999998</v>
      </c>
      <c r="CU38" s="12">
        <v>102.72260142</v>
      </c>
      <c r="CV38" s="12">
        <v>99.109572</v>
      </c>
      <c r="CW38" s="12">
        <v>98.337738000000002</v>
      </c>
      <c r="CX38" s="12">
        <v>109.73491324</v>
      </c>
      <c r="CY38" s="12">
        <v>96.636086000000006</v>
      </c>
      <c r="CZ38" s="12">
        <v>97.465357330000003</v>
      </c>
      <c r="DA38" s="12">
        <v>97.998867000000004</v>
      </c>
      <c r="DB38" s="12">
        <v>98.970490999999996</v>
      </c>
      <c r="DC38" s="12">
        <v>107.53735500000001</v>
      </c>
      <c r="DD38" s="12">
        <v>107.821432</v>
      </c>
      <c r="DE38" s="12">
        <v>105.743618</v>
      </c>
      <c r="DF38" s="12">
        <v>105.34276800000001</v>
      </c>
      <c r="DG38" s="12">
        <v>98.918823000000003</v>
      </c>
      <c r="DH38" s="12">
        <v>99.340531999999996</v>
      </c>
      <c r="DI38" s="12">
        <v>100.1482075</v>
      </c>
      <c r="DJ38" s="12">
        <v>106.329044</v>
      </c>
      <c r="DK38" s="12">
        <v>110.62961377000001</v>
      </c>
      <c r="DL38" s="12">
        <v>105.257349</v>
      </c>
      <c r="DM38" s="12">
        <v>104.786787</v>
      </c>
      <c r="DN38" s="12">
        <v>97.998838000000006</v>
      </c>
      <c r="DO38" s="12">
        <v>107.112444</v>
      </c>
      <c r="DP38" s="12">
        <v>105.99813</v>
      </c>
      <c r="DQ38" s="12">
        <v>102.41954800000001</v>
      </c>
      <c r="DR38" s="12">
        <v>88.924032999999994</v>
      </c>
      <c r="DS38" s="12">
        <v>105.91219</v>
      </c>
      <c r="DT38" s="12">
        <v>98.103145999999995</v>
      </c>
      <c r="DU38" s="12">
        <v>98.488511000000003</v>
      </c>
      <c r="DV38" s="12">
        <v>100.00287</v>
      </c>
      <c r="DW38" s="12">
        <v>106.420095</v>
      </c>
      <c r="DX38" s="12">
        <v>106.88111000000001</v>
      </c>
      <c r="DY38" s="12">
        <v>95.991237999999996</v>
      </c>
      <c r="DZ38" s="12">
        <v>93.126076999999995</v>
      </c>
      <c r="EA38" s="12">
        <v>93.126076999999995</v>
      </c>
      <c r="EB38" s="12">
        <v>94.81663528</v>
      </c>
      <c r="EC38" s="12">
        <v>100.78240700000001</v>
      </c>
      <c r="ED38" s="12">
        <v>101.02154299999999</v>
      </c>
      <c r="EE38" s="12">
        <v>96.626176999999998</v>
      </c>
      <c r="EF38" s="12">
        <v>97.249972999999997</v>
      </c>
      <c r="EG38" s="12">
        <v>98.553396000000006</v>
      </c>
      <c r="EH38" s="12">
        <v>99.331991000000002</v>
      </c>
      <c r="EI38" s="12">
        <v>118.30590488</v>
      </c>
      <c r="EJ38" s="12">
        <v>108.414485</v>
      </c>
      <c r="EK38" s="12">
        <v>108.414485</v>
      </c>
      <c r="EL38" s="12">
        <v>97.422410999999997</v>
      </c>
      <c r="EM38" s="12">
        <v>105.462694</v>
      </c>
      <c r="EN38" s="12">
        <v>105.847903</v>
      </c>
      <c r="EO38" s="12">
        <v>105.743618</v>
      </c>
      <c r="EP38" s="12">
        <v>98.680520000000001</v>
      </c>
      <c r="EQ38" s="12">
        <v>99.952259999999995</v>
      </c>
      <c r="ER38" s="12">
        <v>107.06289599999999</v>
      </c>
      <c r="ES38" s="12">
        <v>98.895483999999996</v>
      </c>
      <c r="ET38" s="12">
        <v>99.186785</v>
      </c>
      <c r="EU38" s="12">
        <v>101.34735166</v>
      </c>
      <c r="EV38" s="12">
        <v>96.218097</v>
      </c>
      <c r="EW38" s="12">
        <v>95.272696999999994</v>
      </c>
      <c r="EX38" s="12">
        <v>97.068060000000003</v>
      </c>
      <c r="EY38" s="12">
        <v>99.762450000000001</v>
      </c>
      <c r="EZ38" s="12">
        <v>98.534379000000001</v>
      </c>
      <c r="FA38" s="12">
        <v>95.388619000000006</v>
      </c>
      <c r="FB38" s="12">
        <v>94.007484000000005</v>
      </c>
      <c r="FC38" s="12">
        <v>98.298288999999997</v>
      </c>
      <c r="FD38" s="12">
        <v>98.980158000000003</v>
      </c>
      <c r="FE38" s="12">
        <v>99.265180000000001</v>
      </c>
      <c r="FF38" s="12">
        <v>114.85022943</v>
      </c>
      <c r="FG38" s="12">
        <v>98.274777</v>
      </c>
      <c r="FH38" s="12">
        <v>106.998603</v>
      </c>
      <c r="FI38" s="12">
        <v>100.13387899999999</v>
      </c>
      <c r="FJ38" s="12">
        <v>131.85204926</v>
      </c>
      <c r="FK38" s="12">
        <v>105.23877063</v>
      </c>
      <c r="FL38" s="12">
        <v>110.51400099999999</v>
      </c>
      <c r="FM38" s="12">
        <v>93.816164999999998</v>
      </c>
      <c r="FN38" s="12">
        <v>94.337620999999999</v>
      </c>
      <c r="FO38" s="12">
        <v>97.374472999999995</v>
      </c>
      <c r="FP38" s="12">
        <v>100.956294</v>
      </c>
      <c r="FQ38" s="12">
        <v>104.10710752</v>
      </c>
      <c r="FR38" s="12">
        <v>103.727242</v>
      </c>
      <c r="FS38" s="12">
        <v>104.094408</v>
      </c>
      <c r="FT38" s="12">
        <v>104.913731</v>
      </c>
      <c r="FU38" s="12">
        <v>104.913731</v>
      </c>
      <c r="FV38" s="12">
        <v>110.479828</v>
      </c>
      <c r="FW38" s="12">
        <v>110.479828</v>
      </c>
      <c r="FX38" s="12">
        <v>109.16317600000001</v>
      </c>
      <c r="FY38" s="12">
        <v>104.837546</v>
      </c>
      <c r="FZ38" s="12">
        <v>104.712706</v>
      </c>
      <c r="GA38" s="12">
        <v>97.295021000000006</v>
      </c>
      <c r="GB38" s="12">
        <v>96.971570999999997</v>
      </c>
      <c r="GC38" s="12">
        <v>102.33854537000001</v>
      </c>
      <c r="GD38" s="12">
        <v>101.99414299999999</v>
      </c>
      <c r="GE38" s="12">
        <v>101.24827000000001</v>
      </c>
      <c r="GF38" s="12">
        <v>106.054036</v>
      </c>
      <c r="GG38" s="12">
        <v>106.054036</v>
      </c>
      <c r="GH38" s="12">
        <v>107.35740699999999</v>
      </c>
      <c r="GI38" s="12">
        <v>95.46301733</v>
      </c>
      <c r="GJ38" s="12">
        <v>105.462694</v>
      </c>
      <c r="GK38" s="12">
        <v>105.34276800000001</v>
      </c>
      <c r="GL38" s="12">
        <v>109.57818995</v>
      </c>
      <c r="GM38" s="12">
        <v>93.553425000000004</v>
      </c>
      <c r="GN38" s="12">
        <v>109.57818995</v>
      </c>
      <c r="GO38" s="12">
        <v>104.913731</v>
      </c>
      <c r="GP38" s="12">
        <v>99.506873999999996</v>
      </c>
      <c r="GQ38" s="12">
        <v>105.088634</v>
      </c>
      <c r="GR38" s="12">
        <v>102.56985</v>
      </c>
      <c r="GS38" s="12">
        <v>97.294364999999999</v>
      </c>
      <c r="GT38" s="12">
        <v>93.010071999999994</v>
      </c>
      <c r="GU38" s="12">
        <v>99.821478999999997</v>
      </c>
      <c r="GV38" s="12">
        <v>97.614582999999996</v>
      </c>
      <c r="GW38" s="12">
        <v>105.46071600000001</v>
      </c>
      <c r="GX38" s="12">
        <v>105.070457</v>
      </c>
      <c r="GY38" s="12">
        <v>105.49259600000001</v>
      </c>
      <c r="GZ38" s="12">
        <v>105.25268800000001</v>
      </c>
      <c r="HA38" s="12">
        <v>99.821478999999997</v>
      </c>
      <c r="HB38" s="12">
        <v>99.618054000000001</v>
      </c>
      <c r="HC38" s="12">
        <v>99.821478999999997</v>
      </c>
      <c r="HD38" s="12">
        <v>105.08878300000001</v>
      </c>
      <c r="HE38" s="12">
        <v>106.901309</v>
      </c>
      <c r="HF38" s="12">
        <v>107.06289599999999</v>
      </c>
      <c r="HG38" s="12">
        <v>107.06289599999999</v>
      </c>
      <c r="HH38" s="12">
        <v>107.06289599999999</v>
      </c>
      <c r="HI38" s="12">
        <v>99.069092999999995</v>
      </c>
      <c r="HJ38" s="12">
        <v>106.898487</v>
      </c>
      <c r="HK38" s="12">
        <v>106.58461699999999</v>
      </c>
      <c r="HL38" s="12">
        <v>104.441408</v>
      </c>
      <c r="HM38" s="12">
        <v>107.543201</v>
      </c>
      <c r="HN38" s="12">
        <v>104.52193200000001</v>
      </c>
      <c r="HO38" s="12">
        <v>91.764215750000005</v>
      </c>
      <c r="HP38" s="12">
        <v>107.18199</v>
      </c>
      <c r="HQ38" s="12">
        <v>100.0205965</v>
      </c>
      <c r="HR38" s="12">
        <v>100.302505</v>
      </c>
      <c r="HS38" s="12">
        <v>97.81523</v>
      </c>
      <c r="HT38" s="12">
        <v>97.594571000000002</v>
      </c>
      <c r="HU38" s="12">
        <v>94.808070869999995</v>
      </c>
      <c r="HV38" s="12">
        <v>91.207459999999998</v>
      </c>
      <c r="HW38" s="12">
        <v>91.621684000000002</v>
      </c>
      <c r="HX38" s="12">
        <v>99.188501020000004</v>
      </c>
      <c r="HY38" s="12">
        <v>100.332387</v>
      </c>
      <c r="HZ38" s="12">
        <v>109.48810899999999</v>
      </c>
      <c r="IA38" s="12"/>
      <c r="IB38" s="12"/>
      <c r="IC38" s="12"/>
      <c r="ID38" s="12"/>
      <c r="IE38" s="12"/>
      <c r="IF38" s="12"/>
      <c r="IG38" s="12"/>
      <c r="IH38" s="12"/>
      <c r="II38" s="12"/>
      <c r="IJ38" s="12"/>
      <c r="IK38" s="12"/>
    </row>
    <row r="39" spans="1:245" x14ac:dyDescent="0.25">
      <c r="A39" s="11">
        <v>46049.791666666664</v>
      </c>
      <c r="B39" s="12">
        <v>159.84947262</v>
      </c>
      <c r="C39" s="12">
        <v>145.22110000000001</v>
      </c>
      <c r="D39" s="12">
        <v>146.42953700000001</v>
      </c>
      <c r="E39" s="12">
        <v>146.16714400000001</v>
      </c>
      <c r="F39" s="12">
        <v>145.967557</v>
      </c>
      <c r="G39" s="12">
        <v>147.93214699999999</v>
      </c>
      <c r="H39" s="12">
        <v>159.000665</v>
      </c>
      <c r="I39" s="12">
        <v>158.15929800000001</v>
      </c>
      <c r="J39" s="12">
        <v>159.65953200000001</v>
      </c>
      <c r="K39" s="12">
        <v>147.22833299999999</v>
      </c>
      <c r="L39" s="12">
        <v>149.87043600000001</v>
      </c>
      <c r="M39" s="12">
        <v>155.67352199999999</v>
      </c>
      <c r="N39" s="12">
        <v>153.332469</v>
      </c>
      <c r="O39" s="12">
        <v>161.925206</v>
      </c>
      <c r="P39" s="12">
        <v>149.57500755999999</v>
      </c>
      <c r="Q39" s="12">
        <v>159.72144</v>
      </c>
      <c r="R39" s="12">
        <v>151.61941300000001</v>
      </c>
      <c r="S39" s="12">
        <v>159.49689499999999</v>
      </c>
      <c r="T39" s="12">
        <v>133.91021050000001</v>
      </c>
      <c r="U39" s="12">
        <v>135.06361100000001</v>
      </c>
      <c r="V39" s="12">
        <v>156.47224199999999</v>
      </c>
      <c r="W39" s="12">
        <v>149.37864400000001</v>
      </c>
      <c r="X39" s="12">
        <v>143.59850700000001</v>
      </c>
      <c r="Y39" s="12">
        <v>146.71982299999999</v>
      </c>
      <c r="Z39" s="12">
        <v>159.333066</v>
      </c>
      <c r="AA39" s="12">
        <v>142.81919400000001</v>
      </c>
      <c r="AB39" s="12">
        <v>148.04298199999999</v>
      </c>
      <c r="AC39" s="12">
        <v>150.180432</v>
      </c>
      <c r="AD39" s="12">
        <v>148.95518799999999</v>
      </c>
      <c r="AE39" s="12">
        <v>140.69388000000001</v>
      </c>
      <c r="AF39" s="12">
        <v>155.02680699999999</v>
      </c>
      <c r="AG39" s="12">
        <v>157.46618312999999</v>
      </c>
      <c r="AH39" s="12">
        <v>156.501409</v>
      </c>
      <c r="AI39" s="12">
        <v>156.37335100000001</v>
      </c>
      <c r="AJ39" s="12">
        <v>137.88664600000001</v>
      </c>
      <c r="AK39" s="12">
        <v>156.79305600000001</v>
      </c>
      <c r="AL39" s="12">
        <v>142.37167167000001</v>
      </c>
      <c r="AM39" s="12">
        <v>143.140693</v>
      </c>
      <c r="AN39" s="12">
        <v>158.51186899999999</v>
      </c>
      <c r="AO39" s="12">
        <v>141.84327999999999</v>
      </c>
      <c r="AP39" s="12">
        <v>132.01192599999999</v>
      </c>
      <c r="AQ39" s="12">
        <v>132.61771200000001</v>
      </c>
      <c r="AR39" s="12">
        <v>161.489868</v>
      </c>
      <c r="AS39" s="12">
        <v>158.71386200000001</v>
      </c>
      <c r="AT39" s="12">
        <v>158.71386200000001</v>
      </c>
      <c r="AU39" s="12">
        <v>159.94401999999999</v>
      </c>
      <c r="AV39" s="12">
        <v>150.61883599999999</v>
      </c>
      <c r="AW39" s="12">
        <v>144.42491899999999</v>
      </c>
      <c r="AX39" s="12">
        <v>144.981088</v>
      </c>
      <c r="AY39" s="12">
        <v>160.33499699999999</v>
      </c>
      <c r="AZ39" s="12">
        <v>148.36347799999999</v>
      </c>
      <c r="BA39" s="12">
        <v>147.59753799999999</v>
      </c>
      <c r="BB39" s="12">
        <v>146.83664300000001</v>
      </c>
      <c r="BC39" s="12">
        <v>147.45123666999999</v>
      </c>
      <c r="BD39" s="12">
        <v>146.318578</v>
      </c>
      <c r="BE39" s="12">
        <v>147.575354</v>
      </c>
      <c r="BF39" s="12">
        <v>158.03371899999999</v>
      </c>
      <c r="BG39" s="12">
        <v>160.244698</v>
      </c>
      <c r="BH39" s="12">
        <v>160.244698</v>
      </c>
      <c r="BI39" s="12">
        <v>160.244698</v>
      </c>
      <c r="BJ39" s="12">
        <v>143.542214</v>
      </c>
      <c r="BK39" s="12">
        <v>144.51221000000001</v>
      </c>
      <c r="BL39" s="12">
        <v>155.64571100000001</v>
      </c>
      <c r="BM39" s="12">
        <v>155.13825900000001</v>
      </c>
      <c r="BN39" s="12">
        <v>148.31414000000001</v>
      </c>
      <c r="BO39" s="12">
        <v>146.00332900000001</v>
      </c>
      <c r="BP39" s="12">
        <v>156.78680600000001</v>
      </c>
      <c r="BQ39" s="12">
        <v>137.806558</v>
      </c>
      <c r="BR39" s="12">
        <v>137.82709118</v>
      </c>
      <c r="BS39" s="12">
        <v>150.62531000000001</v>
      </c>
      <c r="BT39" s="12">
        <v>147.40200267</v>
      </c>
      <c r="BU39" s="12">
        <v>149.28729057999999</v>
      </c>
      <c r="BV39" s="12">
        <v>160.163916</v>
      </c>
      <c r="BW39" s="12">
        <v>158.09469000000001</v>
      </c>
      <c r="BX39" s="12">
        <v>148.50616199999999</v>
      </c>
      <c r="BY39" s="12">
        <v>148.54589799999999</v>
      </c>
      <c r="BZ39" s="12">
        <v>154.13006100000001</v>
      </c>
      <c r="CA39" s="12">
        <v>160.070604</v>
      </c>
      <c r="CB39" s="12">
        <v>148.21684999999999</v>
      </c>
      <c r="CC39" s="12">
        <v>154.125393</v>
      </c>
      <c r="CD39" s="12">
        <v>152.84018499999999</v>
      </c>
      <c r="CE39" s="12">
        <v>157.81113999999999</v>
      </c>
      <c r="CF39" s="12">
        <v>150.02354800000001</v>
      </c>
      <c r="CG39" s="12">
        <v>160.163916</v>
      </c>
      <c r="CH39" s="12">
        <v>148.38376099999999</v>
      </c>
      <c r="CI39" s="12">
        <v>148.36493999999999</v>
      </c>
      <c r="CJ39" s="12">
        <v>151.05336199999999</v>
      </c>
      <c r="CK39" s="12">
        <v>163.920513</v>
      </c>
      <c r="CL39" s="12">
        <v>165.37922</v>
      </c>
      <c r="CM39" s="12">
        <v>161.54673500000001</v>
      </c>
      <c r="CN39" s="12">
        <v>159.26270199999999</v>
      </c>
      <c r="CO39" s="12">
        <v>161.317488</v>
      </c>
      <c r="CP39" s="12">
        <v>148.337267</v>
      </c>
      <c r="CQ39" s="12">
        <v>148.828732</v>
      </c>
      <c r="CR39" s="12">
        <v>153.84544403000001</v>
      </c>
      <c r="CS39" s="12">
        <v>154.76261</v>
      </c>
      <c r="CT39" s="12">
        <v>144.69742400000001</v>
      </c>
      <c r="CU39" s="12">
        <v>153.74589273000001</v>
      </c>
      <c r="CV39" s="12">
        <v>147.87999400000001</v>
      </c>
      <c r="CW39" s="12">
        <v>146.87759299999999</v>
      </c>
      <c r="CX39" s="12">
        <v>163.77335987999999</v>
      </c>
      <c r="CY39" s="12">
        <v>144.504301</v>
      </c>
      <c r="CZ39" s="12">
        <v>145.85317599999999</v>
      </c>
      <c r="DA39" s="12">
        <v>146.65116900000001</v>
      </c>
      <c r="DB39" s="12">
        <v>148.387224</v>
      </c>
      <c r="DC39" s="12">
        <v>160.75875400000001</v>
      </c>
      <c r="DD39" s="12">
        <v>161.17097899999999</v>
      </c>
      <c r="DE39" s="12">
        <v>158.09469000000001</v>
      </c>
      <c r="DF39" s="12">
        <v>157.50283899999999</v>
      </c>
      <c r="DG39" s="12">
        <v>147.96513899999999</v>
      </c>
      <c r="DH39" s="12">
        <v>148.54589799999999</v>
      </c>
      <c r="DI39" s="12">
        <v>149.73227499999999</v>
      </c>
      <c r="DJ39" s="12">
        <v>158.92889299999999</v>
      </c>
      <c r="DK39" s="12">
        <v>168.08742006</v>
      </c>
      <c r="DL39" s="12">
        <v>157.34560400000001</v>
      </c>
      <c r="DM39" s="12">
        <v>156.65367000000001</v>
      </c>
      <c r="DN39" s="12">
        <v>145.75352133000001</v>
      </c>
      <c r="DO39" s="12">
        <v>161.791934</v>
      </c>
      <c r="DP39" s="12">
        <v>159.85431299999999</v>
      </c>
      <c r="DQ39" s="12">
        <v>154.213945</v>
      </c>
      <c r="DR39" s="12">
        <v>133.07577599999999</v>
      </c>
      <c r="DS39" s="12">
        <v>159.703506</v>
      </c>
      <c r="DT39" s="12">
        <v>146.42784399999999</v>
      </c>
      <c r="DU39" s="12">
        <v>147.00752</v>
      </c>
      <c r="DV39" s="12">
        <v>149.566395</v>
      </c>
      <c r="DW39" s="12">
        <v>159.17118099999999</v>
      </c>
      <c r="DX39" s="12">
        <v>159.91914800000001</v>
      </c>
      <c r="DY39" s="12">
        <v>143.88292300000001</v>
      </c>
      <c r="DZ39" s="12">
        <v>139.292835</v>
      </c>
      <c r="EA39" s="12">
        <v>139.292835</v>
      </c>
      <c r="EB39" s="12">
        <v>141.66999484999999</v>
      </c>
      <c r="EC39" s="12">
        <v>150.96502699999999</v>
      </c>
      <c r="ED39" s="12">
        <v>151.32654400000001</v>
      </c>
      <c r="EE39" s="12">
        <v>144.54459600000001</v>
      </c>
      <c r="EF39" s="12">
        <v>145.48372499999999</v>
      </c>
      <c r="EG39" s="12">
        <v>146.75303400000001</v>
      </c>
      <c r="EH39" s="12">
        <v>148.400248</v>
      </c>
      <c r="EI39" s="12">
        <v>176.56509642</v>
      </c>
      <c r="EJ39" s="12">
        <v>162.43803</v>
      </c>
      <c r="EK39" s="12">
        <v>162.43803</v>
      </c>
      <c r="EL39" s="12">
        <v>145.84779399999999</v>
      </c>
      <c r="EM39" s="12">
        <v>157.68269100000001</v>
      </c>
      <c r="EN39" s="12">
        <v>158.237471</v>
      </c>
      <c r="EO39" s="12">
        <v>158.09469000000001</v>
      </c>
      <c r="EP39" s="12">
        <v>147.81717900000001</v>
      </c>
      <c r="EQ39" s="12">
        <v>149.95798300000001</v>
      </c>
      <c r="ER39" s="12">
        <v>161.710329</v>
      </c>
      <c r="ES39" s="12">
        <v>147.82712699999999</v>
      </c>
      <c r="ET39" s="12">
        <v>148.26273800000001</v>
      </c>
      <c r="EU39" s="12">
        <v>151.8441886</v>
      </c>
      <c r="EV39" s="12">
        <v>143.885693</v>
      </c>
      <c r="EW39" s="12">
        <v>142.503961</v>
      </c>
      <c r="EX39" s="12">
        <v>145.147458</v>
      </c>
      <c r="EY39" s="12">
        <v>149.315406</v>
      </c>
      <c r="EZ39" s="12">
        <v>147.27903900000001</v>
      </c>
      <c r="FA39" s="12">
        <v>142.55075299999999</v>
      </c>
      <c r="FB39" s="12">
        <v>140.520824</v>
      </c>
      <c r="FC39" s="12">
        <v>146.78734299999999</v>
      </c>
      <c r="FD39" s="12">
        <v>147.89208400000001</v>
      </c>
      <c r="FE39" s="12">
        <v>148.353747</v>
      </c>
      <c r="FF39" s="12">
        <v>172.97143858000001</v>
      </c>
      <c r="FG39" s="12">
        <v>146.05901800000001</v>
      </c>
      <c r="FH39" s="12">
        <v>161.505135</v>
      </c>
      <c r="FI39" s="12">
        <v>149.79929200000001</v>
      </c>
      <c r="FJ39" s="12">
        <v>198.69313165</v>
      </c>
      <c r="FK39" s="12">
        <v>158.36879587000001</v>
      </c>
      <c r="FL39" s="12">
        <v>167.066303</v>
      </c>
      <c r="FM39" s="12">
        <v>138.3447865</v>
      </c>
      <c r="FN39" s="12">
        <v>139.27765600000001</v>
      </c>
      <c r="FO39" s="12">
        <v>145.56265500000001</v>
      </c>
      <c r="FP39" s="12">
        <v>151.10823400000001</v>
      </c>
      <c r="FQ39" s="12">
        <v>154.14886487000001</v>
      </c>
      <c r="FR39" s="12">
        <v>153.563557</v>
      </c>
      <c r="FS39" s="12">
        <v>154.13006100000001</v>
      </c>
      <c r="FT39" s="12">
        <v>156.87864400000001</v>
      </c>
      <c r="FU39" s="12">
        <v>156.87864400000001</v>
      </c>
      <c r="FV39" s="12">
        <v>163.965881</v>
      </c>
      <c r="FW39" s="12">
        <v>163.965881</v>
      </c>
      <c r="FX39" s="12">
        <v>162.06251599999999</v>
      </c>
      <c r="FY39" s="12">
        <v>156.74576500000001</v>
      </c>
      <c r="FZ39" s="12">
        <v>156.54317900000001</v>
      </c>
      <c r="GA39" s="12">
        <v>146.63029700000001</v>
      </c>
      <c r="GB39" s="12">
        <v>146.116421</v>
      </c>
      <c r="GC39" s="12">
        <v>152.95540933000001</v>
      </c>
      <c r="GD39" s="12">
        <v>152.905306</v>
      </c>
      <c r="GE39" s="12">
        <v>152.30176700000001</v>
      </c>
      <c r="GF39" s="12">
        <v>160.163916</v>
      </c>
      <c r="GG39" s="12">
        <v>160.163916</v>
      </c>
      <c r="GH39" s="12">
        <v>160.73572899999999</v>
      </c>
      <c r="GI39" s="12">
        <v>142.76911767000001</v>
      </c>
      <c r="GJ39" s="12">
        <v>157.68269100000001</v>
      </c>
      <c r="GK39" s="12">
        <v>157.50283899999999</v>
      </c>
      <c r="GL39" s="12">
        <v>163.53945894</v>
      </c>
      <c r="GM39" s="12">
        <v>139.55438000000001</v>
      </c>
      <c r="GN39" s="12">
        <v>163.53945894</v>
      </c>
      <c r="GO39" s="12">
        <v>156.87864400000001</v>
      </c>
      <c r="GP39" s="12">
        <v>148.48334600000001</v>
      </c>
      <c r="GQ39" s="12">
        <v>157.141052</v>
      </c>
      <c r="GR39" s="12">
        <v>153.75651199999999</v>
      </c>
      <c r="GS39" s="12">
        <v>145.53065000000001</v>
      </c>
      <c r="GT39" s="12">
        <v>139.08274399999999</v>
      </c>
      <c r="GU39" s="12">
        <v>149.22827899999999</v>
      </c>
      <c r="GV39" s="12">
        <v>146.27754999999999</v>
      </c>
      <c r="GW39" s="12">
        <v>158.92297500000001</v>
      </c>
      <c r="GX39" s="12">
        <v>156.45770400000001</v>
      </c>
      <c r="GY39" s="12">
        <v>157.68238199999999</v>
      </c>
      <c r="GZ39" s="12">
        <v>157.353296</v>
      </c>
      <c r="HA39" s="12">
        <v>149.22827899999999</v>
      </c>
      <c r="HB39" s="12">
        <v>148.924218</v>
      </c>
      <c r="HC39" s="12">
        <v>149.22827899999999</v>
      </c>
      <c r="HD39" s="12">
        <v>157.141052</v>
      </c>
      <c r="HE39" s="12">
        <v>161.481053</v>
      </c>
      <c r="HF39" s="12">
        <v>161.710329</v>
      </c>
      <c r="HG39" s="12">
        <v>161.710329</v>
      </c>
      <c r="HH39" s="12">
        <v>161.710329</v>
      </c>
      <c r="HI39" s="12">
        <v>146.97369699999999</v>
      </c>
      <c r="HJ39" s="12">
        <v>159.67578499999999</v>
      </c>
      <c r="HK39" s="12">
        <v>159.21454499999999</v>
      </c>
      <c r="HL39" s="12">
        <v>155.788678</v>
      </c>
      <c r="HM39" s="12">
        <v>160.67301499999999</v>
      </c>
      <c r="HN39" s="12">
        <v>157.37993800000001</v>
      </c>
      <c r="HO39" s="12">
        <v>136.88540248000001</v>
      </c>
      <c r="HP39" s="12">
        <v>161.83466100000001</v>
      </c>
      <c r="HQ39" s="12">
        <v>149.84465</v>
      </c>
      <c r="HR39" s="12">
        <v>150.265469</v>
      </c>
      <c r="HS39" s="12">
        <v>146.15012899999999</v>
      </c>
      <c r="HT39" s="12">
        <v>145.985195</v>
      </c>
      <c r="HU39" s="12">
        <v>141.57694438999999</v>
      </c>
      <c r="HV39" s="12">
        <v>136.47295750000001</v>
      </c>
      <c r="HW39" s="12">
        <v>137.06479100000001</v>
      </c>
      <c r="HX39" s="12">
        <v>149.83970646</v>
      </c>
      <c r="HY39" s="12">
        <v>150.23879400000001</v>
      </c>
      <c r="HZ39" s="12">
        <v>165.571032</v>
      </c>
      <c r="IA39" s="12"/>
      <c r="IB39" s="12"/>
      <c r="IC39" s="12"/>
      <c r="ID39" s="12"/>
      <c r="IE39" s="12"/>
      <c r="IF39" s="12"/>
      <c r="IG39" s="12"/>
      <c r="IH39" s="12"/>
      <c r="II39" s="12"/>
      <c r="IJ39" s="12"/>
      <c r="IK39" s="12"/>
    </row>
    <row r="40" spans="1:245" x14ac:dyDescent="0.25">
      <c r="A40" s="11">
        <v>46049.8125</v>
      </c>
      <c r="B40" s="12">
        <v>121.86529765</v>
      </c>
      <c r="C40" s="12">
        <v>112.647525</v>
      </c>
      <c r="D40" s="12">
        <v>113.379852</v>
      </c>
      <c r="E40" s="12">
        <v>113.184134</v>
      </c>
      <c r="F40" s="12">
        <v>113.031887</v>
      </c>
      <c r="G40" s="12">
        <v>112.450135</v>
      </c>
      <c r="H40" s="12">
        <v>121.06538</v>
      </c>
      <c r="I40" s="12">
        <v>120.445882</v>
      </c>
      <c r="J40" s="12">
        <v>121.56046000000001</v>
      </c>
      <c r="K40" s="12">
        <v>111.949906</v>
      </c>
      <c r="L40" s="12">
        <v>115.662218</v>
      </c>
      <c r="M40" s="12">
        <v>118.7405</v>
      </c>
      <c r="N40" s="12">
        <v>116.94642399999999</v>
      </c>
      <c r="O40" s="12">
        <v>123.34793500000001</v>
      </c>
      <c r="P40" s="12">
        <v>114.0517207</v>
      </c>
      <c r="Q40" s="12">
        <v>121.622348</v>
      </c>
      <c r="R40" s="12">
        <v>115.696578</v>
      </c>
      <c r="S40" s="12">
        <v>121.502234</v>
      </c>
      <c r="T40" s="12">
        <v>101.6380125</v>
      </c>
      <c r="U40" s="12">
        <v>102.503252</v>
      </c>
      <c r="V40" s="12">
        <v>119.195937</v>
      </c>
      <c r="W40" s="12">
        <v>113.503396</v>
      </c>
      <c r="X40" s="12">
        <v>109.125978</v>
      </c>
      <c r="Y40" s="12">
        <v>111.5177</v>
      </c>
      <c r="Z40" s="12">
        <v>121.457408</v>
      </c>
      <c r="AA40" s="12">
        <v>108.73703</v>
      </c>
      <c r="AB40" s="12">
        <v>112.621043</v>
      </c>
      <c r="AC40" s="12">
        <v>114.096583</v>
      </c>
      <c r="AD40" s="12">
        <v>113.178522</v>
      </c>
      <c r="AE40" s="12">
        <v>107.113564</v>
      </c>
      <c r="AF40" s="12">
        <v>118.1829475</v>
      </c>
      <c r="AG40" s="12">
        <v>120.03007937</v>
      </c>
      <c r="AH40" s="12">
        <v>119.28901399999999</v>
      </c>
      <c r="AI40" s="12">
        <v>119.19222600000001</v>
      </c>
      <c r="AJ40" s="12">
        <v>104.849206</v>
      </c>
      <c r="AK40" s="12">
        <v>119.451267</v>
      </c>
      <c r="AL40" s="12">
        <v>108.395759</v>
      </c>
      <c r="AM40" s="12">
        <v>108.97348100000001</v>
      </c>
      <c r="AN40" s="12">
        <v>120.73993</v>
      </c>
      <c r="AO40" s="12">
        <v>107.822767</v>
      </c>
      <c r="AP40" s="12">
        <v>100.6363545</v>
      </c>
      <c r="AQ40" s="12">
        <v>101.094448</v>
      </c>
      <c r="AR40" s="12">
        <v>122.992822</v>
      </c>
      <c r="AS40" s="12">
        <v>120.71082800000001</v>
      </c>
      <c r="AT40" s="12">
        <v>120.71082800000001</v>
      </c>
      <c r="AU40" s="12">
        <v>121.799331</v>
      </c>
      <c r="AV40" s="12">
        <v>114.46009100000001</v>
      </c>
      <c r="AW40" s="12">
        <v>107.78149999999999</v>
      </c>
      <c r="AX40" s="12">
        <v>108.411531</v>
      </c>
      <c r="AY40" s="12">
        <v>122.30470699999999</v>
      </c>
      <c r="AZ40" s="12">
        <v>112.68030400000001</v>
      </c>
      <c r="BA40" s="12">
        <v>112.12279599999999</v>
      </c>
      <c r="BB40" s="12">
        <v>111.531143</v>
      </c>
      <c r="BC40" s="12">
        <v>111.82136633</v>
      </c>
      <c r="BD40" s="12">
        <v>111.231736</v>
      </c>
      <c r="BE40" s="12">
        <v>112.08976</v>
      </c>
      <c r="BF40" s="12">
        <v>120.391042</v>
      </c>
      <c r="BG40" s="12">
        <v>122.021215</v>
      </c>
      <c r="BH40" s="12">
        <v>122.021215</v>
      </c>
      <c r="BI40" s="12">
        <v>122.021215</v>
      </c>
      <c r="BJ40" s="12">
        <v>109.17890199999999</v>
      </c>
      <c r="BK40" s="12">
        <v>109.91191600000001</v>
      </c>
      <c r="BL40" s="12">
        <v>118.462734</v>
      </c>
      <c r="BM40" s="12">
        <v>118.07414199999999</v>
      </c>
      <c r="BN40" s="12">
        <v>112.86853600000001</v>
      </c>
      <c r="BO40" s="12">
        <v>111.138902</v>
      </c>
      <c r="BP40" s="12">
        <v>119.582443</v>
      </c>
      <c r="BQ40" s="12">
        <v>104.76405699999999</v>
      </c>
      <c r="BR40" s="12">
        <v>104.77966684</v>
      </c>
      <c r="BS40" s="12">
        <v>114.861514</v>
      </c>
      <c r="BT40" s="12">
        <v>112.15296983</v>
      </c>
      <c r="BU40" s="12">
        <v>113.54638962999999</v>
      </c>
      <c r="BV40" s="12">
        <v>122.18657899999999</v>
      </c>
      <c r="BW40" s="12">
        <v>120.41131799999999</v>
      </c>
      <c r="BX40" s="12">
        <v>112.923497</v>
      </c>
      <c r="BY40" s="12">
        <v>112.982494</v>
      </c>
      <c r="BZ40" s="12">
        <v>119.17803600000001</v>
      </c>
      <c r="CA40" s="12">
        <v>122.072216</v>
      </c>
      <c r="CB40" s="12">
        <v>112.768725</v>
      </c>
      <c r="CC40" s="12">
        <v>117.57928099999999</v>
      </c>
      <c r="CD40" s="12">
        <v>116.61087000000001</v>
      </c>
      <c r="CE40" s="12">
        <v>120.211147</v>
      </c>
      <c r="CF40" s="12">
        <v>114.38908600000001</v>
      </c>
      <c r="CG40" s="12">
        <v>122.18657899999999</v>
      </c>
      <c r="CH40" s="12">
        <v>112.69557</v>
      </c>
      <c r="CI40" s="12">
        <v>112.681404</v>
      </c>
      <c r="CJ40" s="12">
        <v>115.07284300000001</v>
      </c>
      <c r="CK40" s="12">
        <v>125.285619</v>
      </c>
      <c r="CL40" s="12">
        <v>126.37862</v>
      </c>
      <c r="CM40" s="12">
        <v>123.194007</v>
      </c>
      <c r="CN40" s="12">
        <v>121.564336</v>
      </c>
      <c r="CO40" s="12">
        <v>123.164948</v>
      </c>
      <c r="CP40" s="12">
        <v>112.20001600000001</v>
      </c>
      <c r="CQ40" s="12">
        <v>113.230729</v>
      </c>
      <c r="CR40" s="12">
        <v>117.11142261000001</v>
      </c>
      <c r="CS40" s="12">
        <v>117.70216000000001</v>
      </c>
      <c r="CT40" s="12">
        <v>110.156599</v>
      </c>
      <c r="CU40" s="12">
        <v>117.09818479</v>
      </c>
      <c r="CV40" s="12">
        <v>113.388583</v>
      </c>
      <c r="CW40" s="12">
        <v>111.654291</v>
      </c>
      <c r="CX40" s="12">
        <v>124.84218305</v>
      </c>
      <c r="CY40" s="12">
        <v>109.986738</v>
      </c>
      <c r="CZ40" s="12">
        <v>110.835245</v>
      </c>
      <c r="DA40" s="12">
        <v>111.438053</v>
      </c>
      <c r="DB40" s="12">
        <v>113.05834400000001</v>
      </c>
      <c r="DC40" s="12">
        <v>122.408427</v>
      </c>
      <c r="DD40" s="12">
        <v>122.712129</v>
      </c>
      <c r="DE40" s="12">
        <v>120.41131799999999</v>
      </c>
      <c r="DF40" s="12">
        <v>119.96615300000001</v>
      </c>
      <c r="DG40" s="12">
        <v>112.614452</v>
      </c>
      <c r="DH40" s="12">
        <v>112.982494</v>
      </c>
      <c r="DI40" s="12">
        <v>113.75513650000001</v>
      </c>
      <c r="DJ40" s="12">
        <v>121.03050500000001</v>
      </c>
      <c r="DK40" s="12">
        <v>128.18595879</v>
      </c>
      <c r="DL40" s="12">
        <v>119.922888</v>
      </c>
      <c r="DM40" s="12">
        <v>119.418897</v>
      </c>
      <c r="DN40" s="12">
        <v>110.85998667</v>
      </c>
      <c r="DO40" s="12">
        <v>123.41789900000001</v>
      </c>
      <c r="DP40" s="12">
        <v>121.82524600000001</v>
      </c>
      <c r="DQ40" s="12">
        <v>117.444568</v>
      </c>
      <c r="DR40" s="12">
        <v>101.2032</v>
      </c>
      <c r="DS40" s="12">
        <v>121.70522200000001</v>
      </c>
      <c r="DT40" s="12">
        <v>111.236154</v>
      </c>
      <c r="DU40" s="12">
        <v>111.675557</v>
      </c>
      <c r="DV40" s="12">
        <v>113.378846</v>
      </c>
      <c r="DW40" s="12">
        <v>121.221619</v>
      </c>
      <c r="DX40" s="12">
        <v>121.787988</v>
      </c>
      <c r="DY40" s="12">
        <v>109.859241</v>
      </c>
      <c r="DZ40" s="12">
        <v>105.708682</v>
      </c>
      <c r="EA40" s="12">
        <v>105.708682</v>
      </c>
      <c r="EB40" s="12">
        <v>108.10674298000001</v>
      </c>
      <c r="EC40" s="12">
        <v>115.077229</v>
      </c>
      <c r="ED40" s="12">
        <v>115.36095299999999</v>
      </c>
      <c r="EE40" s="12">
        <v>109.84757</v>
      </c>
      <c r="EF40" s="12">
        <v>110.568658</v>
      </c>
      <c r="EG40" s="12">
        <v>112.088459</v>
      </c>
      <c r="EH40" s="12">
        <v>112.383775</v>
      </c>
      <c r="EI40" s="12">
        <v>134.59314813</v>
      </c>
      <c r="EJ40" s="12">
        <v>123.702704</v>
      </c>
      <c r="EK40" s="12">
        <v>123.702704</v>
      </c>
      <c r="EL40" s="12">
        <v>111.035005</v>
      </c>
      <c r="EM40" s="12">
        <v>120.09916200000001</v>
      </c>
      <c r="EN40" s="12">
        <v>120.517505</v>
      </c>
      <c r="EO40" s="12">
        <v>120.41131799999999</v>
      </c>
      <c r="EP40" s="12">
        <v>112.437592</v>
      </c>
      <c r="EQ40" s="12">
        <v>114.371039</v>
      </c>
      <c r="ER40" s="12">
        <v>123.353234</v>
      </c>
      <c r="ES40" s="12">
        <v>112.27256300000001</v>
      </c>
      <c r="ET40" s="12">
        <v>112.60372</v>
      </c>
      <c r="EU40" s="12">
        <v>115.39330898999999</v>
      </c>
      <c r="EV40" s="12">
        <v>109.473297</v>
      </c>
      <c r="EW40" s="12">
        <v>108.382289</v>
      </c>
      <c r="EX40" s="12">
        <v>110.404331</v>
      </c>
      <c r="EY40" s="12">
        <v>113.72377299999999</v>
      </c>
      <c r="EZ40" s="12">
        <v>112.364954</v>
      </c>
      <c r="FA40" s="12">
        <v>108.62022</v>
      </c>
      <c r="FB40" s="12">
        <v>107.070652</v>
      </c>
      <c r="FC40" s="12">
        <v>111.2997</v>
      </c>
      <c r="FD40" s="12">
        <v>112.11650899999999</v>
      </c>
      <c r="FE40" s="12">
        <v>112.45787199999999</v>
      </c>
      <c r="FF40" s="12">
        <v>129.81120906000001</v>
      </c>
      <c r="FG40" s="12">
        <v>112.478841</v>
      </c>
      <c r="FH40" s="12">
        <v>123.12218900000001</v>
      </c>
      <c r="FI40" s="12">
        <v>113.79884</v>
      </c>
      <c r="FJ40" s="12">
        <v>151.39741753999999</v>
      </c>
      <c r="FK40" s="12">
        <v>120.56296575</v>
      </c>
      <c r="FL40" s="12">
        <v>127.630864</v>
      </c>
      <c r="FM40" s="12">
        <v>105.24423350000001</v>
      </c>
      <c r="FN40" s="12">
        <v>105.94467</v>
      </c>
      <c r="FO40" s="12">
        <v>110.719911</v>
      </c>
      <c r="FP40" s="12">
        <v>115.107603</v>
      </c>
      <c r="FQ40" s="12">
        <v>119.19257571999999</v>
      </c>
      <c r="FR40" s="12">
        <v>118.751462</v>
      </c>
      <c r="FS40" s="12">
        <v>119.17803600000001</v>
      </c>
      <c r="FT40" s="12">
        <v>119.48826800000001</v>
      </c>
      <c r="FU40" s="12">
        <v>119.48826800000001</v>
      </c>
      <c r="FV40" s="12">
        <v>125.36900900000001</v>
      </c>
      <c r="FW40" s="12">
        <v>125.36900900000001</v>
      </c>
      <c r="FX40" s="12">
        <v>123.902581</v>
      </c>
      <c r="FY40" s="12">
        <v>119.482336</v>
      </c>
      <c r="FZ40" s="12">
        <v>119.326522</v>
      </c>
      <c r="GA40" s="12">
        <v>112.064132</v>
      </c>
      <c r="GB40" s="12">
        <v>111.681344</v>
      </c>
      <c r="GC40" s="12">
        <v>115.94280669</v>
      </c>
      <c r="GD40" s="12">
        <v>116.656809</v>
      </c>
      <c r="GE40" s="12">
        <v>115.960536</v>
      </c>
      <c r="GF40" s="12">
        <v>122.18657899999999</v>
      </c>
      <c r="GG40" s="12">
        <v>122.18657899999999</v>
      </c>
      <c r="GH40" s="12">
        <v>122.42822099999999</v>
      </c>
      <c r="GI40" s="12">
        <v>108.69937467</v>
      </c>
      <c r="GJ40" s="12">
        <v>120.09916200000001</v>
      </c>
      <c r="GK40" s="12">
        <v>119.96615300000001</v>
      </c>
      <c r="GL40" s="12">
        <v>124.66388357</v>
      </c>
      <c r="GM40" s="12">
        <v>106.581463</v>
      </c>
      <c r="GN40" s="12">
        <v>124.66388357</v>
      </c>
      <c r="GO40" s="12">
        <v>119.48826800000001</v>
      </c>
      <c r="GP40" s="12">
        <v>112.861411</v>
      </c>
      <c r="GQ40" s="12">
        <v>119.683319</v>
      </c>
      <c r="GR40" s="12">
        <v>117.215675</v>
      </c>
      <c r="GS40" s="12">
        <v>110.67722000000001</v>
      </c>
      <c r="GT40" s="12">
        <v>105.940532</v>
      </c>
      <c r="GU40" s="12">
        <v>113.383785</v>
      </c>
      <c r="GV40" s="12">
        <v>111.65216700000001</v>
      </c>
      <c r="GW40" s="12">
        <v>121.093909</v>
      </c>
      <c r="GX40" s="12">
        <v>119.206846</v>
      </c>
      <c r="GY40" s="12">
        <v>120.11065499999999</v>
      </c>
      <c r="GZ40" s="12">
        <v>119.860553</v>
      </c>
      <c r="HA40" s="12">
        <v>113.383785</v>
      </c>
      <c r="HB40" s="12">
        <v>113.114468</v>
      </c>
      <c r="HC40" s="12">
        <v>113.383785</v>
      </c>
      <c r="HD40" s="12">
        <v>119.683319</v>
      </c>
      <c r="HE40" s="12">
        <v>123.177089</v>
      </c>
      <c r="HF40" s="12">
        <v>123.353234</v>
      </c>
      <c r="HG40" s="12">
        <v>123.353234</v>
      </c>
      <c r="HH40" s="12">
        <v>123.353234</v>
      </c>
      <c r="HI40" s="12">
        <v>113.413211</v>
      </c>
      <c r="HJ40" s="12">
        <v>121.748204</v>
      </c>
      <c r="HK40" s="12">
        <v>121.39798999999999</v>
      </c>
      <c r="HL40" s="12">
        <v>120.270252</v>
      </c>
      <c r="HM40" s="12">
        <v>122.324529</v>
      </c>
      <c r="HN40" s="12">
        <v>119.874224</v>
      </c>
      <c r="HO40" s="12">
        <v>104.54309252</v>
      </c>
      <c r="HP40" s="12">
        <v>123.40093400000001</v>
      </c>
      <c r="HQ40" s="12">
        <v>113.8708895</v>
      </c>
      <c r="HR40" s="12">
        <v>114.189341</v>
      </c>
      <c r="HS40" s="12">
        <v>111.525516</v>
      </c>
      <c r="HT40" s="12">
        <v>111.025198</v>
      </c>
      <c r="HU40" s="12">
        <v>107.08661247000001</v>
      </c>
      <c r="HV40" s="12">
        <v>103.98289200000001</v>
      </c>
      <c r="HW40" s="12">
        <v>104.426827</v>
      </c>
      <c r="HX40" s="12">
        <v>114.30633106000001</v>
      </c>
      <c r="HY40" s="12">
        <v>114.134801</v>
      </c>
      <c r="HZ40" s="12">
        <v>126.288843</v>
      </c>
      <c r="IA40" s="12"/>
      <c r="IB40" s="12"/>
      <c r="IC40" s="12"/>
      <c r="ID40" s="12"/>
      <c r="IE40" s="12"/>
      <c r="IF40" s="12"/>
      <c r="IG40" s="12"/>
      <c r="IH40" s="12"/>
      <c r="II40" s="12"/>
      <c r="IJ40" s="12"/>
      <c r="IK40" s="12"/>
    </row>
    <row r="41" spans="1:245" x14ac:dyDescent="0.25">
      <c r="A41" s="11">
        <v>46049.833333333336</v>
      </c>
      <c r="B41" s="12">
        <v>121.54010309</v>
      </c>
      <c r="C41" s="12">
        <v>112.426236</v>
      </c>
      <c r="D41" s="12">
        <v>113.155326</v>
      </c>
      <c r="E41" s="12">
        <v>112.954483</v>
      </c>
      <c r="F41" s="12">
        <v>112.812037</v>
      </c>
      <c r="G41" s="12">
        <v>112.12288700000001</v>
      </c>
      <c r="H41" s="12">
        <v>121.026906</v>
      </c>
      <c r="I41" s="12">
        <v>120.411852</v>
      </c>
      <c r="J41" s="12">
        <v>121.514927</v>
      </c>
      <c r="K41" s="12">
        <v>111.622541</v>
      </c>
      <c r="L41" s="12">
        <v>115.48947699999999</v>
      </c>
      <c r="M41" s="12">
        <v>118.59714099999999</v>
      </c>
      <c r="N41" s="12">
        <v>116.80779099999999</v>
      </c>
      <c r="O41" s="12">
        <v>122.943949</v>
      </c>
      <c r="P41" s="12">
        <v>113.72224180000001</v>
      </c>
      <c r="Q41" s="12">
        <v>121.510328</v>
      </c>
      <c r="R41" s="12">
        <v>115.337158</v>
      </c>
      <c r="S41" s="12">
        <v>121.141626</v>
      </c>
      <c r="T41" s="12">
        <v>101.3743315</v>
      </c>
      <c r="U41" s="12">
        <v>102.23935299999999</v>
      </c>
      <c r="V41" s="12">
        <v>118.876553</v>
      </c>
      <c r="W41" s="12">
        <v>113.18515499999999</v>
      </c>
      <c r="X41" s="12">
        <v>108.884331</v>
      </c>
      <c r="Y41" s="12">
        <v>111.247517</v>
      </c>
      <c r="Z41" s="12">
        <v>121.418217</v>
      </c>
      <c r="AA41" s="12">
        <v>108.542238</v>
      </c>
      <c r="AB41" s="12">
        <v>112.302441</v>
      </c>
      <c r="AC41" s="12">
        <v>113.77160600000001</v>
      </c>
      <c r="AD41" s="12">
        <v>112.864008</v>
      </c>
      <c r="AE41" s="12">
        <v>106.952324</v>
      </c>
      <c r="AF41" s="12">
        <v>117.85484074999999</v>
      </c>
      <c r="AG41" s="12">
        <v>119.69541744999999</v>
      </c>
      <c r="AH41" s="12">
        <v>118.94382899999999</v>
      </c>
      <c r="AI41" s="12">
        <v>118.85957000000001</v>
      </c>
      <c r="AJ41" s="12">
        <v>104.748878</v>
      </c>
      <c r="AK41" s="12">
        <v>119.134986</v>
      </c>
      <c r="AL41" s="12">
        <v>108.208517</v>
      </c>
      <c r="AM41" s="12">
        <v>108.782701</v>
      </c>
      <c r="AN41" s="12">
        <v>120.646175</v>
      </c>
      <c r="AO41" s="12">
        <v>107.646828</v>
      </c>
      <c r="AP41" s="12">
        <v>100.51651149999999</v>
      </c>
      <c r="AQ41" s="12">
        <v>100.972497</v>
      </c>
      <c r="AR41" s="12">
        <v>122.914553</v>
      </c>
      <c r="AS41" s="12">
        <v>120.58739199999999</v>
      </c>
      <c r="AT41" s="12">
        <v>120.58739199999999</v>
      </c>
      <c r="AU41" s="12">
        <v>121.66068799999999</v>
      </c>
      <c r="AV41" s="12">
        <v>114.124163</v>
      </c>
      <c r="AW41" s="12">
        <v>107.524353</v>
      </c>
      <c r="AX41" s="12">
        <v>108.152165</v>
      </c>
      <c r="AY41" s="12">
        <v>121.992473</v>
      </c>
      <c r="AZ41" s="12">
        <v>112.36760700000001</v>
      </c>
      <c r="BA41" s="12">
        <v>111.801447</v>
      </c>
      <c r="BB41" s="12">
        <v>111.2044135</v>
      </c>
      <c r="BC41" s="12">
        <v>111.47534567</v>
      </c>
      <c r="BD41" s="12">
        <v>110.89904900000001</v>
      </c>
      <c r="BE41" s="12">
        <v>111.766283</v>
      </c>
      <c r="BF41" s="12">
        <v>120.287599</v>
      </c>
      <c r="BG41" s="12">
        <v>121.87801</v>
      </c>
      <c r="BH41" s="12">
        <v>121.87801</v>
      </c>
      <c r="BI41" s="12">
        <v>121.87801</v>
      </c>
      <c r="BJ41" s="12">
        <v>108.95702199999999</v>
      </c>
      <c r="BK41" s="12">
        <v>109.684822</v>
      </c>
      <c r="BL41" s="12">
        <v>118.155891</v>
      </c>
      <c r="BM41" s="12">
        <v>117.762316</v>
      </c>
      <c r="BN41" s="12">
        <v>112.554751</v>
      </c>
      <c r="BO41" s="12">
        <v>110.891426</v>
      </c>
      <c r="BP41" s="12">
        <v>119.31876</v>
      </c>
      <c r="BQ41" s="12">
        <v>104.68163</v>
      </c>
      <c r="BR41" s="12">
        <v>104.69722756</v>
      </c>
      <c r="BS41" s="12">
        <v>114.667603</v>
      </c>
      <c r="BT41" s="12">
        <v>111.84062767</v>
      </c>
      <c r="BU41" s="12">
        <v>113.23197819000001</v>
      </c>
      <c r="BV41" s="12">
        <v>121.876734</v>
      </c>
      <c r="BW41" s="12">
        <v>120.315051</v>
      </c>
      <c r="BX41" s="12">
        <v>112.605391</v>
      </c>
      <c r="BY41" s="12">
        <v>112.66964400000001</v>
      </c>
      <c r="BZ41" s="12">
        <v>118.88505600000001</v>
      </c>
      <c r="CA41" s="12">
        <v>121.561958</v>
      </c>
      <c r="CB41" s="12">
        <v>112.449084</v>
      </c>
      <c r="CC41" s="12">
        <v>117.189948</v>
      </c>
      <c r="CD41" s="12">
        <v>116.244017</v>
      </c>
      <c r="CE41" s="12">
        <v>119.727065</v>
      </c>
      <c r="CF41" s="12">
        <v>114.330724</v>
      </c>
      <c r="CG41" s="12">
        <v>121.876734</v>
      </c>
      <c r="CH41" s="12">
        <v>112.383089</v>
      </c>
      <c r="CI41" s="12">
        <v>112.368723</v>
      </c>
      <c r="CJ41" s="12">
        <v>114.974726</v>
      </c>
      <c r="CK41" s="12">
        <v>124.908857</v>
      </c>
      <c r="CL41" s="12">
        <v>126.02037300000001</v>
      </c>
      <c r="CM41" s="12">
        <v>122.838846</v>
      </c>
      <c r="CN41" s="12">
        <v>121.26709200000001</v>
      </c>
      <c r="CO41" s="12">
        <v>122.873266</v>
      </c>
      <c r="CP41" s="12">
        <v>111.927288</v>
      </c>
      <c r="CQ41" s="12">
        <v>112.91428399999999</v>
      </c>
      <c r="CR41" s="12">
        <v>116.76992562</v>
      </c>
      <c r="CS41" s="12">
        <v>117.347683</v>
      </c>
      <c r="CT41" s="12">
        <v>109.94247</v>
      </c>
      <c r="CU41" s="12">
        <v>117.37715383</v>
      </c>
      <c r="CV41" s="12">
        <v>113.232939</v>
      </c>
      <c r="CW41" s="12">
        <v>111.359234</v>
      </c>
      <c r="CX41" s="12">
        <v>124.80189987</v>
      </c>
      <c r="CY41" s="12">
        <v>109.748656</v>
      </c>
      <c r="CZ41" s="12">
        <v>110.52998533</v>
      </c>
      <c r="DA41" s="12">
        <v>111.130413</v>
      </c>
      <c r="DB41" s="12">
        <v>112.761534</v>
      </c>
      <c r="DC41" s="12">
        <v>122.310968</v>
      </c>
      <c r="DD41" s="12">
        <v>122.608152</v>
      </c>
      <c r="DE41" s="12">
        <v>120.315051</v>
      </c>
      <c r="DF41" s="12">
        <v>119.872308</v>
      </c>
      <c r="DG41" s="12">
        <v>112.317098</v>
      </c>
      <c r="DH41" s="12">
        <v>112.66964400000001</v>
      </c>
      <c r="DI41" s="12">
        <v>113.41544500000001</v>
      </c>
      <c r="DJ41" s="12">
        <v>120.945592</v>
      </c>
      <c r="DK41" s="12">
        <v>127.65014554</v>
      </c>
      <c r="DL41" s="12">
        <v>119.763975</v>
      </c>
      <c r="DM41" s="12">
        <v>119.26602099999999</v>
      </c>
      <c r="DN41" s="12">
        <v>110.52852233</v>
      </c>
      <c r="DO41" s="12">
        <v>123.05959900000001</v>
      </c>
      <c r="DP41" s="12">
        <v>121.502394</v>
      </c>
      <c r="DQ41" s="12">
        <v>117.12946700000001</v>
      </c>
      <c r="DR41" s="12">
        <v>101.117257</v>
      </c>
      <c r="DS41" s="12">
        <v>121.379394</v>
      </c>
      <c r="DT41" s="12">
        <v>110.914697</v>
      </c>
      <c r="DU41" s="12">
        <v>111.354156</v>
      </c>
      <c r="DV41" s="12">
        <v>113.06942100000001</v>
      </c>
      <c r="DW41" s="12">
        <v>121.113277</v>
      </c>
      <c r="DX41" s="12">
        <v>121.668336</v>
      </c>
      <c r="DY41" s="12">
        <v>109.533474</v>
      </c>
      <c r="DZ41" s="12">
        <v>105.395248</v>
      </c>
      <c r="EA41" s="12">
        <v>105.395248</v>
      </c>
      <c r="EB41" s="12">
        <v>107.94515296</v>
      </c>
      <c r="EC41" s="12">
        <v>114.996076</v>
      </c>
      <c r="ED41" s="12">
        <v>115.28295199999999</v>
      </c>
      <c r="EE41" s="12">
        <v>109.590788</v>
      </c>
      <c r="EF41" s="12">
        <v>110.306083</v>
      </c>
      <c r="EG41" s="12">
        <v>111.894049</v>
      </c>
      <c r="EH41" s="12">
        <v>112.122139</v>
      </c>
      <c r="EI41" s="12">
        <v>134.54971859</v>
      </c>
      <c r="EJ41" s="12">
        <v>123.64987600000001</v>
      </c>
      <c r="EK41" s="12">
        <v>123.64987600000001</v>
      </c>
      <c r="EL41" s="12">
        <v>110.805903</v>
      </c>
      <c r="EM41" s="12">
        <v>120.003998</v>
      </c>
      <c r="EN41" s="12">
        <v>120.419791</v>
      </c>
      <c r="EO41" s="12">
        <v>120.315051</v>
      </c>
      <c r="EP41" s="12">
        <v>112.086752</v>
      </c>
      <c r="EQ41" s="12">
        <v>114.21153</v>
      </c>
      <c r="ER41" s="12">
        <v>122.99544400000001</v>
      </c>
      <c r="ES41" s="12">
        <v>111.961665</v>
      </c>
      <c r="ET41" s="12">
        <v>112.29136200000001</v>
      </c>
      <c r="EU41" s="12">
        <v>115.051773</v>
      </c>
      <c r="EV41" s="12">
        <v>109.2959</v>
      </c>
      <c r="EW41" s="12">
        <v>108.23595299999999</v>
      </c>
      <c r="EX41" s="12">
        <v>110.205315</v>
      </c>
      <c r="EY41" s="12">
        <v>113.994703</v>
      </c>
      <c r="EZ41" s="12">
        <v>112.250754</v>
      </c>
      <c r="FA41" s="12">
        <v>108.47346400000001</v>
      </c>
      <c r="FB41" s="12">
        <v>106.92127000000001</v>
      </c>
      <c r="FC41" s="12">
        <v>111.03266600000001</v>
      </c>
      <c r="FD41" s="12">
        <v>111.8595</v>
      </c>
      <c r="FE41" s="12">
        <v>112.205034</v>
      </c>
      <c r="FF41" s="12">
        <v>129.53614726000001</v>
      </c>
      <c r="FG41" s="12">
        <v>112.31788899999999</v>
      </c>
      <c r="FH41" s="12">
        <v>122.775577</v>
      </c>
      <c r="FI41" s="12">
        <v>113.47168499999999</v>
      </c>
      <c r="FJ41" s="12">
        <v>150.99677557000001</v>
      </c>
      <c r="FK41" s="12">
        <v>120.26762846</v>
      </c>
      <c r="FL41" s="12">
        <v>127.32347900000001</v>
      </c>
      <c r="FM41" s="12">
        <v>104.934924</v>
      </c>
      <c r="FN41" s="12">
        <v>105.632626</v>
      </c>
      <c r="FO41" s="12">
        <v>110.537199</v>
      </c>
      <c r="FP41" s="12">
        <v>115.004266</v>
      </c>
      <c r="FQ41" s="12">
        <v>118.89955998000001</v>
      </c>
      <c r="FR41" s="12">
        <v>118.46347299999999</v>
      </c>
      <c r="FS41" s="12">
        <v>118.88505600000001</v>
      </c>
      <c r="FT41" s="12">
        <v>119.402798</v>
      </c>
      <c r="FU41" s="12">
        <v>119.402798</v>
      </c>
      <c r="FV41" s="12">
        <v>124.983237</v>
      </c>
      <c r="FW41" s="12">
        <v>124.983237</v>
      </c>
      <c r="FX41" s="12">
        <v>123.538178</v>
      </c>
      <c r="FY41" s="12">
        <v>119.338509</v>
      </c>
      <c r="FZ41" s="12">
        <v>119.186565</v>
      </c>
      <c r="GA41" s="12">
        <v>111.67584100000001</v>
      </c>
      <c r="GB41" s="12">
        <v>111.39229400000001</v>
      </c>
      <c r="GC41" s="12">
        <v>115.69710848</v>
      </c>
      <c r="GD41" s="12">
        <v>116.296576</v>
      </c>
      <c r="GE41" s="12">
        <v>115.649518</v>
      </c>
      <c r="GF41" s="12">
        <v>121.876734</v>
      </c>
      <c r="GG41" s="12">
        <v>121.876734</v>
      </c>
      <c r="GH41" s="12">
        <v>122.32964</v>
      </c>
      <c r="GI41" s="12">
        <v>108.50486933000001</v>
      </c>
      <c r="GJ41" s="12">
        <v>120.003998</v>
      </c>
      <c r="GK41" s="12">
        <v>119.872308</v>
      </c>
      <c r="GL41" s="12">
        <v>124.62365792999999</v>
      </c>
      <c r="GM41" s="12">
        <v>106.46288800000001</v>
      </c>
      <c r="GN41" s="12">
        <v>124.62365792999999</v>
      </c>
      <c r="GO41" s="12">
        <v>119.402798</v>
      </c>
      <c r="GP41" s="12">
        <v>112.535949</v>
      </c>
      <c r="GQ41" s="12">
        <v>119.603976</v>
      </c>
      <c r="GR41" s="12">
        <v>117.110045</v>
      </c>
      <c r="GS41" s="12">
        <v>110.44551300000001</v>
      </c>
      <c r="GT41" s="12">
        <v>105.787842</v>
      </c>
      <c r="GU41" s="12">
        <v>113.046813</v>
      </c>
      <c r="GV41" s="12">
        <v>111.35304600000001</v>
      </c>
      <c r="GW41" s="12">
        <v>120.773459</v>
      </c>
      <c r="GX41" s="12">
        <v>119.13014099999999</v>
      </c>
      <c r="GY41" s="12">
        <v>120.017715</v>
      </c>
      <c r="GZ41" s="12">
        <v>119.766424</v>
      </c>
      <c r="HA41" s="12">
        <v>113.046813</v>
      </c>
      <c r="HB41" s="12">
        <v>112.779169</v>
      </c>
      <c r="HC41" s="12">
        <v>113.046813</v>
      </c>
      <c r="HD41" s="12">
        <v>119.603976</v>
      </c>
      <c r="HE41" s="12">
        <v>122.81912800000001</v>
      </c>
      <c r="HF41" s="12">
        <v>122.99544400000001</v>
      </c>
      <c r="HG41" s="12">
        <v>122.99544400000001</v>
      </c>
      <c r="HH41" s="12">
        <v>122.99544400000001</v>
      </c>
      <c r="HI41" s="12">
        <v>113.225757</v>
      </c>
      <c r="HJ41" s="12">
        <v>121.625669</v>
      </c>
      <c r="HK41" s="12">
        <v>121.26907199999999</v>
      </c>
      <c r="HL41" s="12">
        <v>120.156375</v>
      </c>
      <c r="HM41" s="12">
        <v>122.272064</v>
      </c>
      <c r="HN41" s="12">
        <v>119.56133</v>
      </c>
      <c r="HO41" s="12">
        <v>104.42678527</v>
      </c>
      <c r="HP41" s="12">
        <v>123.047707</v>
      </c>
      <c r="HQ41" s="12">
        <v>113.5276315</v>
      </c>
      <c r="HR41" s="12">
        <v>113.85109199999999</v>
      </c>
      <c r="HS41" s="12">
        <v>111.358788</v>
      </c>
      <c r="HT41" s="12">
        <v>110.790234</v>
      </c>
      <c r="HU41" s="12">
        <v>106.82631378000001</v>
      </c>
      <c r="HV41" s="12">
        <v>103.8280865</v>
      </c>
      <c r="HW41" s="12">
        <v>104.273371</v>
      </c>
      <c r="HX41" s="12">
        <v>114.01638609</v>
      </c>
      <c r="HY41" s="12">
        <v>113.809276</v>
      </c>
      <c r="HZ41" s="12">
        <v>125.90098500000001</v>
      </c>
      <c r="IA41" s="12"/>
      <c r="IB41" s="12"/>
      <c r="IC41" s="12"/>
      <c r="ID41" s="12"/>
      <c r="IE41" s="12"/>
      <c r="IF41" s="12"/>
      <c r="IG41" s="12"/>
      <c r="IH41" s="12"/>
      <c r="II41" s="12"/>
      <c r="IJ41" s="12"/>
      <c r="IK41" s="12"/>
    </row>
    <row r="42" spans="1:245" x14ac:dyDescent="0.25">
      <c r="A42" s="11">
        <v>46049.854166666664</v>
      </c>
      <c r="B42" s="12">
        <v>120.13831125999999</v>
      </c>
      <c r="C42" s="12">
        <v>110.878562</v>
      </c>
      <c r="D42" s="12">
        <v>111.597927</v>
      </c>
      <c r="E42" s="12">
        <v>111.399074</v>
      </c>
      <c r="F42" s="12">
        <v>111.261487</v>
      </c>
      <c r="G42" s="12">
        <v>110.725562</v>
      </c>
      <c r="H42" s="12">
        <v>119.744804</v>
      </c>
      <c r="I42" s="12">
        <v>119.112163</v>
      </c>
      <c r="J42" s="12">
        <v>120.243737</v>
      </c>
      <c r="K42" s="12">
        <v>110.256666</v>
      </c>
      <c r="L42" s="12">
        <v>113.866741</v>
      </c>
      <c r="M42" s="12">
        <v>117.008976</v>
      </c>
      <c r="N42" s="12">
        <v>115.181163</v>
      </c>
      <c r="O42" s="12">
        <v>121.35564100000001</v>
      </c>
      <c r="P42" s="12">
        <v>112.33041498</v>
      </c>
      <c r="Q42" s="12">
        <v>120.24442500000001</v>
      </c>
      <c r="R42" s="12">
        <v>113.883448</v>
      </c>
      <c r="S42" s="12">
        <v>119.60750899999999</v>
      </c>
      <c r="T42" s="12">
        <v>104.5126825</v>
      </c>
      <c r="U42" s="12">
        <v>105.034347</v>
      </c>
      <c r="V42" s="12">
        <v>117.426829</v>
      </c>
      <c r="W42" s="12">
        <v>111.776021</v>
      </c>
      <c r="X42" s="12">
        <v>107.473129</v>
      </c>
      <c r="Y42" s="12">
        <v>109.847258</v>
      </c>
      <c r="Z42" s="12">
        <v>120.12017400000001</v>
      </c>
      <c r="AA42" s="12">
        <v>107.167213</v>
      </c>
      <c r="AB42" s="12">
        <v>110.962227</v>
      </c>
      <c r="AC42" s="12">
        <v>112.366232</v>
      </c>
      <c r="AD42" s="12">
        <v>111.45723700000001</v>
      </c>
      <c r="AE42" s="12">
        <v>105.606162</v>
      </c>
      <c r="AF42" s="12">
        <v>116.45777200000001</v>
      </c>
      <c r="AG42" s="12">
        <v>118.28225677</v>
      </c>
      <c r="AH42" s="12">
        <v>117.558667</v>
      </c>
      <c r="AI42" s="12">
        <v>117.457913</v>
      </c>
      <c r="AJ42" s="12">
        <v>103.47086</v>
      </c>
      <c r="AK42" s="12">
        <v>117.67552999999999</v>
      </c>
      <c r="AL42" s="12">
        <v>106.83058933</v>
      </c>
      <c r="AM42" s="12">
        <v>107.405585</v>
      </c>
      <c r="AN42" s="12">
        <v>119.32304000000001</v>
      </c>
      <c r="AO42" s="12">
        <v>106.501206</v>
      </c>
      <c r="AP42" s="12">
        <v>99.170040999999998</v>
      </c>
      <c r="AQ42" s="12">
        <v>99.626468000000003</v>
      </c>
      <c r="AR42" s="12">
        <v>121.59196300000001</v>
      </c>
      <c r="AS42" s="12">
        <v>119.271618</v>
      </c>
      <c r="AT42" s="12">
        <v>119.271618</v>
      </c>
      <c r="AU42" s="12">
        <v>120.35629</v>
      </c>
      <c r="AV42" s="12">
        <v>112.703086</v>
      </c>
      <c r="AW42" s="12">
        <v>106.162503</v>
      </c>
      <c r="AX42" s="12">
        <v>106.799379</v>
      </c>
      <c r="AY42" s="12">
        <v>120.593659</v>
      </c>
      <c r="AZ42" s="12">
        <v>110.97245700000001</v>
      </c>
      <c r="BA42" s="12">
        <v>110.408918</v>
      </c>
      <c r="BB42" s="12">
        <v>109.8117955</v>
      </c>
      <c r="BC42" s="12">
        <v>110.08111599999999</v>
      </c>
      <c r="BD42" s="12">
        <v>109.511494</v>
      </c>
      <c r="BE42" s="12">
        <v>110.373611</v>
      </c>
      <c r="BF42" s="12">
        <v>119.043093</v>
      </c>
      <c r="BG42" s="12">
        <v>120.56759099999999</v>
      </c>
      <c r="BH42" s="12">
        <v>120.56759099999999</v>
      </c>
      <c r="BI42" s="12">
        <v>120.56759099999999</v>
      </c>
      <c r="BJ42" s="12">
        <v>107.580251</v>
      </c>
      <c r="BK42" s="12">
        <v>108.30565199999999</v>
      </c>
      <c r="BL42" s="12">
        <v>116.82214</v>
      </c>
      <c r="BM42" s="12">
        <v>116.402</v>
      </c>
      <c r="BN42" s="12">
        <v>111.24436</v>
      </c>
      <c r="BO42" s="12">
        <v>109.562448</v>
      </c>
      <c r="BP42" s="12">
        <v>117.787229</v>
      </c>
      <c r="BQ42" s="12">
        <v>103.406987</v>
      </c>
      <c r="BR42" s="12">
        <v>103.42239463999999</v>
      </c>
      <c r="BS42" s="12">
        <v>113.337653</v>
      </c>
      <c r="BT42" s="12">
        <v>110.4238565</v>
      </c>
      <c r="BU42" s="12">
        <v>111.94201194999999</v>
      </c>
      <c r="BV42" s="12">
        <v>120.48821599999999</v>
      </c>
      <c r="BW42" s="12">
        <v>118.995216</v>
      </c>
      <c r="BX42" s="12">
        <v>111.32131</v>
      </c>
      <c r="BY42" s="12">
        <v>111.386084</v>
      </c>
      <c r="BZ42" s="12">
        <v>117.21729499999999</v>
      </c>
      <c r="CA42" s="12">
        <v>120.297977</v>
      </c>
      <c r="CB42" s="12">
        <v>111.13811200000001</v>
      </c>
      <c r="CC42" s="12">
        <v>115.671628</v>
      </c>
      <c r="CD42" s="12">
        <v>114.759951</v>
      </c>
      <c r="CE42" s="12">
        <v>118.570105</v>
      </c>
      <c r="CF42" s="12">
        <v>112.962982</v>
      </c>
      <c r="CG42" s="12">
        <v>120.48821599999999</v>
      </c>
      <c r="CH42" s="12">
        <v>110.988692</v>
      </c>
      <c r="CI42" s="12">
        <v>110.97362699999999</v>
      </c>
      <c r="CJ42" s="12">
        <v>113.638705</v>
      </c>
      <c r="CK42" s="12">
        <v>123.312567</v>
      </c>
      <c r="CL42" s="12">
        <v>124.4023</v>
      </c>
      <c r="CM42" s="12">
        <v>121.31321199999999</v>
      </c>
      <c r="CN42" s="12">
        <v>119.932912</v>
      </c>
      <c r="CO42" s="12">
        <v>121.46230799999999</v>
      </c>
      <c r="CP42" s="12">
        <v>110.62844</v>
      </c>
      <c r="CQ42" s="12">
        <v>111.49776799999999</v>
      </c>
      <c r="CR42" s="12">
        <v>115.2821507</v>
      </c>
      <c r="CS42" s="12">
        <v>115.955095</v>
      </c>
      <c r="CT42" s="12">
        <v>108.587216</v>
      </c>
      <c r="CU42" s="12">
        <v>116.43403194</v>
      </c>
      <c r="CV42" s="12">
        <v>111.744702</v>
      </c>
      <c r="CW42" s="12">
        <v>109.94963</v>
      </c>
      <c r="CX42" s="12">
        <v>123.46768301</v>
      </c>
      <c r="CY42" s="12">
        <v>108.337383</v>
      </c>
      <c r="CZ42" s="12">
        <v>109.12232533</v>
      </c>
      <c r="DA42" s="12">
        <v>109.722982</v>
      </c>
      <c r="DB42" s="12">
        <v>111.538833</v>
      </c>
      <c r="DC42" s="12">
        <v>121.033062</v>
      </c>
      <c r="DD42" s="12">
        <v>121.333046</v>
      </c>
      <c r="DE42" s="12">
        <v>118.995216</v>
      </c>
      <c r="DF42" s="12">
        <v>118.54212200000001</v>
      </c>
      <c r="DG42" s="12">
        <v>111.02741899999999</v>
      </c>
      <c r="DH42" s="12">
        <v>111.386084</v>
      </c>
      <c r="DI42" s="12">
        <v>111.9987035</v>
      </c>
      <c r="DJ42" s="12">
        <v>119.657991</v>
      </c>
      <c r="DK42" s="12">
        <v>126.32286058</v>
      </c>
      <c r="DL42" s="12">
        <v>118.098575</v>
      </c>
      <c r="DM42" s="12">
        <v>117.68711</v>
      </c>
      <c r="DN42" s="12">
        <v>109.14301666999999</v>
      </c>
      <c r="DO42" s="12">
        <v>121.53766299999999</v>
      </c>
      <c r="DP42" s="12">
        <v>120.075653</v>
      </c>
      <c r="DQ42" s="12">
        <v>115.69211799999999</v>
      </c>
      <c r="DR42" s="12">
        <v>99.839250000000007</v>
      </c>
      <c r="DS42" s="12">
        <v>119.950002</v>
      </c>
      <c r="DT42" s="12">
        <v>109.525327</v>
      </c>
      <c r="DU42" s="12">
        <v>109.963219</v>
      </c>
      <c r="DV42" s="12">
        <v>111.72278900000001</v>
      </c>
      <c r="DW42" s="12">
        <v>119.770364</v>
      </c>
      <c r="DX42" s="12">
        <v>120.310425</v>
      </c>
      <c r="DY42" s="12">
        <v>108.109071</v>
      </c>
      <c r="DZ42" s="12">
        <v>104.944535</v>
      </c>
      <c r="EA42" s="12">
        <v>104.944535</v>
      </c>
      <c r="EB42" s="12">
        <v>106.56657026000001</v>
      </c>
      <c r="EC42" s="12">
        <v>113.658101</v>
      </c>
      <c r="ED42" s="12">
        <v>113.952825</v>
      </c>
      <c r="EE42" s="12">
        <v>108.18082200000001</v>
      </c>
      <c r="EF42" s="12">
        <v>108.900317</v>
      </c>
      <c r="EG42" s="12">
        <v>109.24819100000001</v>
      </c>
      <c r="EH42" s="12">
        <v>110.857378</v>
      </c>
      <c r="EI42" s="12">
        <v>133.11129094</v>
      </c>
      <c r="EJ42" s="12">
        <v>122.312573</v>
      </c>
      <c r="EK42" s="12">
        <v>122.312573</v>
      </c>
      <c r="EL42" s="12">
        <v>109.410068</v>
      </c>
      <c r="EM42" s="12">
        <v>118.677634</v>
      </c>
      <c r="EN42" s="12">
        <v>119.104697</v>
      </c>
      <c r="EO42" s="12">
        <v>118.995216</v>
      </c>
      <c r="EP42" s="12">
        <v>110.694851</v>
      </c>
      <c r="EQ42" s="12">
        <v>112.96845399999999</v>
      </c>
      <c r="ER42" s="12">
        <v>121.475932</v>
      </c>
      <c r="ES42" s="12">
        <v>110.56662900000001</v>
      </c>
      <c r="ET42" s="12">
        <v>110.896233</v>
      </c>
      <c r="EU42" s="12">
        <v>113.60910383</v>
      </c>
      <c r="EV42" s="12">
        <v>107.953503</v>
      </c>
      <c r="EW42" s="12">
        <v>106.95272</v>
      </c>
      <c r="EX42" s="12">
        <v>108.83001899999999</v>
      </c>
      <c r="EY42" s="12">
        <v>113.07875900000001</v>
      </c>
      <c r="EZ42" s="12">
        <v>110.67012800000001</v>
      </c>
      <c r="FA42" s="12">
        <v>107.182517</v>
      </c>
      <c r="FB42" s="12">
        <v>105.580952</v>
      </c>
      <c r="FC42" s="12">
        <v>110.397932</v>
      </c>
      <c r="FD42" s="12">
        <v>110.800943</v>
      </c>
      <c r="FE42" s="12">
        <v>110.969652</v>
      </c>
      <c r="FF42" s="12">
        <v>127.94098553000001</v>
      </c>
      <c r="FG42" s="12">
        <v>110.76215500000001</v>
      </c>
      <c r="FH42" s="12">
        <v>121.299578</v>
      </c>
      <c r="FI42" s="12">
        <v>112.062001</v>
      </c>
      <c r="FJ42" s="12">
        <v>149.30129425000001</v>
      </c>
      <c r="FK42" s="12">
        <v>118.93082507</v>
      </c>
      <c r="FL42" s="12">
        <v>125.88893299999999</v>
      </c>
      <c r="FM42" s="12">
        <v>103.51574650000001</v>
      </c>
      <c r="FN42" s="12">
        <v>104.217191</v>
      </c>
      <c r="FO42" s="12">
        <v>109.15074799999999</v>
      </c>
      <c r="FP42" s="12">
        <v>113.665302</v>
      </c>
      <c r="FQ42" s="12">
        <v>117.23159551000001</v>
      </c>
      <c r="FR42" s="12">
        <v>116.80372199999999</v>
      </c>
      <c r="FS42" s="12">
        <v>117.21729499999999</v>
      </c>
      <c r="FT42" s="12">
        <v>118.05959</v>
      </c>
      <c r="FU42" s="12">
        <v>118.05959</v>
      </c>
      <c r="FV42" s="12">
        <v>120.884567</v>
      </c>
      <c r="FW42" s="12">
        <v>120.884567</v>
      </c>
      <c r="FX42" s="12">
        <v>119.592854</v>
      </c>
      <c r="FY42" s="12">
        <v>117.80425700000001</v>
      </c>
      <c r="FZ42" s="12">
        <v>117.658794</v>
      </c>
      <c r="GA42" s="12">
        <v>110.74232600000001</v>
      </c>
      <c r="GB42" s="12">
        <v>110.405401</v>
      </c>
      <c r="GC42" s="12">
        <v>114.41028394</v>
      </c>
      <c r="GD42" s="12">
        <v>114.812258</v>
      </c>
      <c r="GE42" s="12">
        <v>114.228824</v>
      </c>
      <c r="GF42" s="12">
        <v>120.48821599999999</v>
      </c>
      <c r="GG42" s="12">
        <v>120.48821599999999</v>
      </c>
      <c r="GH42" s="12">
        <v>121.018794</v>
      </c>
      <c r="GI42" s="12">
        <v>107.12949399999999</v>
      </c>
      <c r="GJ42" s="12">
        <v>118.677634</v>
      </c>
      <c r="GK42" s="12">
        <v>118.54212200000001</v>
      </c>
      <c r="GL42" s="12">
        <v>123.29134659</v>
      </c>
      <c r="GM42" s="12">
        <v>104.408216</v>
      </c>
      <c r="GN42" s="12">
        <v>123.29134659</v>
      </c>
      <c r="GO42" s="12">
        <v>118.05959</v>
      </c>
      <c r="GP42" s="12">
        <v>111.124987</v>
      </c>
      <c r="GQ42" s="12">
        <v>118.25746700000001</v>
      </c>
      <c r="GR42" s="12">
        <v>115.778498</v>
      </c>
      <c r="GS42" s="12">
        <v>109.058155</v>
      </c>
      <c r="GT42" s="12">
        <v>104.442763</v>
      </c>
      <c r="GU42" s="12">
        <v>111.63584899999999</v>
      </c>
      <c r="GV42" s="12">
        <v>109.97205200000001</v>
      </c>
      <c r="GW42" s="12">
        <v>119.417343</v>
      </c>
      <c r="GX42" s="12">
        <v>117.91017100000001</v>
      </c>
      <c r="GY42" s="12">
        <v>118.693715</v>
      </c>
      <c r="GZ42" s="12">
        <v>118.427835</v>
      </c>
      <c r="HA42" s="12">
        <v>111.63584899999999</v>
      </c>
      <c r="HB42" s="12">
        <v>111.368419</v>
      </c>
      <c r="HC42" s="12">
        <v>111.63584899999999</v>
      </c>
      <c r="HD42" s="12">
        <v>118.25746700000001</v>
      </c>
      <c r="HE42" s="12">
        <v>121.295209</v>
      </c>
      <c r="HF42" s="12">
        <v>121.475932</v>
      </c>
      <c r="HG42" s="12">
        <v>121.475932</v>
      </c>
      <c r="HH42" s="12">
        <v>121.475932</v>
      </c>
      <c r="HI42" s="12">
        <v>111.64944800000001</v>
      </c>
      <c r="HJ42" s="12">
        <v>120.123114</v>
      </c>
      <c r="HK42" s="12">
        <v>119.757277</v>
      </c>
      <c r="HL42" s="12">
        <v>118.428971</v>
      </c>
      <c r="HM42" s="12">
        <v>121.05319</v>
      </c>
      <c r="HN42" s="12">
        <v>118.170647</v>
      </c>
      <c r="HO42" s="12">
        <v>102.41140887</v>
      </c>
      <c r="HP42" s="12">
        <v>121.549385</v>
      </c>
      <c r="HQ42" s="12">
        <v>112.08518599999999</v>
      </c>
      <c r="HR42" s="12">
        <v>112.42133</v>
      </c>
      <c r="HS42" s="12">
        <v>109.93670899999999</v>
      </c>
      <c r="HT42" s="12">
        <v>109.40801</v>
      </c>
      <c r="HU42" s="12">
        <v>105.58665947999999</v>
      </c>
      <c r="HV42" s="12">
        <v>102.4689975</v>
      </c>
      <c r="HW42" s="12">
        <v>102.920233</v>
      </c>
      <c r="HX42" s="12">
        <v>112.70565156000001</v>
      </c>
      <c r="HY42" s="12">
        <v>112.402807</v>
      </c>
      <c r="HZ42" s="12">
        <v>124.34109599999999</v>
      </c>
      <c r="IA42" s="12"/>
      <c r="IB42" s="12"/>
      <c r="IC42" s="12"/>
      <c r="ID42" s="12"/>
      <c r="IE42" s="12"/>
      <c r="IF42" s="12"/>
      <c r="IG42" s="12"/>
      <c r="IH42" s="12"/>
      <c r="II42" s="12"/>
      <c r="IJ42" s="12"/>
      <c r="IK42" s="12"/>
    </row>
    <row r="43" spans="1:245" x14ac:dyDescent="0.25">
      <c r="A43" s="11">
        <v>46049.875</v>
      </c>
      <c r="B43" s="12">
        <v>120.55290192</v>
      </c>
      <c r="C43" s="12">
        <v>111.109962</v>
      </c>
      <c r="D43" s="12">
        <v>111.822767</v>
      </c>
      <c r="E43" s="12">
        <v>111.631376</v>
      </c>
      <c r="F43" s="12">
        <v>111.492751</v>
      </c>
      <c r="G43" s="12">
        <v>110.899452</v>
      </c>
      <c r="H43" s="12">
        <v>120.191165</v>
      </c>
      <c r="I43" s="12">
        <v>119.696438</v>
      </c>
      <c r="J43" s="12">
        <v>120.618433</v>
      </c>
      <c r="K43" s="12">
        <v>110.41884400000001</v>
      </c>
      <c r="L43" s="12">
        <v>114.06266599999999</v>
      </c>
      <c r="M43" s="12">
        <v>117.133381</v>
      </c>
      <c r="N43" s="12">
        <v>115.281418</v>
      </c>
      <c r="O43" s="12">
        <v>121.758861</v>
      </c>
      <c r="P43" s="12">
        <v>112.69117266000001</v>
      </c>
      <c r="Q43" s="12">
        <v>120.596833</v>
      </c>
      <c r="R43" s="12">
        <v>113.966616</v>
      </c>
      <c r="S43" s="12">
        <v>120.039424</v>
      </c>
      <c r="T43" s="12">
        <v>103.71160949999999</v>
      </c>
      <c r="U43" s="12">
        <v>104.31644900000001</v>
      </c>
      <c r="V43" s="12">
        <v>117.89035199999999</v>
      </c>
      <c r="W43" s="12">
        <v>111.990318</v>
      </c>
      <c r="X43" s="12">
        <v>107.70862200000001</v>
      </c>
      <c r="Y43" s="12">
        <v>110.066592</v>
      </c>
      <c r="Z43" s="12">
        <v>120.37674</v>
      </c>
      <c r="AA43" s="12">
        <v>107.373952</v>
      </c>
      <c r="AB43" s="12">
        <v>111.136473</v>
      </c>
      <c r="AC43" s="12">
        <v>112.587853</v>
      </c>
      <c r="AD43" s="12">
        <v>111.671961</v>
      </c>
      <c r="AE43" s="12">
        <v>105.88757200000001</v>
      </c>
      <c r="AF43" s="12">
        <v>116.88162800000001</v>
      </c>
      <c r="AG43" s="12">
        <v>118.71145223000001</v>
      </c>
      <c r="AH43" s="12">
        <v>117.97186600000001</v>
      </c>
      <c r="AI43" s="12">
        <v>117.883641</v>
      </c>
      <c r="AJ43" s="12">
        <v>103.728999</v>
      </c>
      <c r="AK43" s="12">
        <v>118.16691899999999</v>
      </c>
      <c r="AL43" s="12">
        <v>107.04625532999999</v>
      </c>
      <c r="AM43" s="12">
        <v>107.623088</v>
      </c>
      <c r="AN43" s="12">
        <v>119.565305</v>
      </c>
      <c r="AO43" s="12">
        <v>106.705619</v>
      </c>
      <c r="AP43" s="12">
        <v>99.470749999999995</v>
      </c>
      <c r="AQ43" s="12">
        <v>99.926868999999996</v>
      </c>
      <c r="AR43" s="12">
        <v>121.82785800000001</v>
      </c>
      <c r="AS43" s="12">
        <v>120.001988</v>
      </c>
      <c r="AT43" s="12">
        <v>120.001988</v>
      </c>
      <c r="AU43" s="12">
        <v>120.68754800000001</v>
      </c>
      <c r="AV43" s="12">
        <v>112.91028300000001</v>
      </c>
      <c r="AW43" s="12">
        <v>106.46292099999999</v>
      </c>
      <c r="AX43" s="12">
        <v>107.094891</v>
      </c>
      <c r="AY43" s="12">
        <v>121.010587</v>
      </c>
      <c r="AZ43" s="12">
        <v>111.189048</v>
      </c>
      <c r="BA43" s="12">
        <v>110.607736</v>
      </c>
      <c r="BB43" s="12">
        <v>110.010525</v>
      </c>
      <c r="BC43" s="12">
        <v>110.277524</v>
      </c>
      <c r="BD43" s="12">
        <v>109.67816500000001</v>
      </c>
      <c r="BE43" s="12">
        <v>110.572225</v>
      </c>
      <c r="BF43" s="12">
        <v>119.337002</v>
      </c>
      <c r="BG43" s="12">
        <v>120.906009</v>
      </c>
      <c r="BH43" s="12">
        <v>120.906009</v>
      </c>
      <c r="BI43" s="12">
        <v>120.906009</v>
      </c>
      <c r="BJ43" s="12">
        <v>107.79653500000001</v>
      </c>
      <c r="BK43" s="12">
        <v>108.52619</v>
      </c>
      <c r="BL43" s="12">
        <v>117.41847199999999</v>
      </c>
      <c r="BM43" s="12">
        <v>116.90115900000001</v>
      </c>
      <c r="BN43" s="12">
        <v>111.456686</v>
      </c>
      <c r="BO43" s="12">
        <v>109.769364</v>
      </c>
      <c r="BP43" s="12">
        <v>117.892201</v>
      </c>
      <c r="BQ43" s="12">
        <v>103.67718499999999</v>
      </c>
      <c r="BR43" s="12">
        <v>103.69263290000001</v>
      </c>
      <c r="BS43" s="12">
        <v>113.52143</v>
      </c>
      <c r="BT43" s="12">
        <v>110.84637433</v>
      </c>
      <c r="BU43" s="12">
        <v>112.14566935000001</v>
      </c>
      <c r="BV43" s="12">
        <v>120.906115</v>
      </c>
      <c r="BW43" s="12">
        <v>119.248165</v>
      </c>
      <c r="BX43" s="12">
        <v>111.524219</v>
      </c>
      <c r="BY43" s="12">
        <v>111.58873</v>
      </c>
      <c r="BZ43" s="12">
        <v>117.332354</v>
      </c>
      <c r="CA43" s="12">
        <v>120.57375999999999</v>
      </c>
      <c r="CB43" s="12">
        <v>111.348848</v>
      </c>
      <c r="CC43" s="12">
        <v>115.73048300000001</v>
      </c>
      <c r="CD43" s="12">
        <v>114.83309300000001</v>
      </c>
      <c r="CE43" s="12">
        <v>118.867739</v>
      </c>
      <c r="CF43" s="12">
        <v>113.383245</v>
      </c>
      <c r="CG43" s="12">
        <v>120.906115</v>
      </c>
      <c r="CH43" s="12">
        <v>111.20523799999999</v>
      </c>
      <c r="CI43" s="12">
        <v>111.19021499999999</v>
      </c>
      <c r="CJ43" s="12">
        <v>113.93639400000001</v>
      </c>
      <c r="CK43" s="12">
        <v>123.541633</v>
      </c>
      <c r="CL43" s="12">
        <v>124.647948</v>
      </c>
      <c r="CM43" s="12">
        <v>121.71863999999999</v>
      </c>
      <c r="CN43" s="12">
        <v>120.35595000000001</v>
      </c>
      <c r="CO43" s="12">
        <v>121.81721400000001</v>
      </c>
      <c r="CP43" s="12">
        <v>110.894795</v>
      </c>
      <c r="CQ43" s="12">
        <v>111.920986</v>
      </c>
      <c r="CR43" s="12">
        <v>115.67755178</v>
      </c>
      <c r="CS43" s="12">
        <v>116.13011</v>
      </c>
      <c r="CT43" s="12">
        <v>108.78746099999999</v>
      </c>
      <c r="CU43" s="12">
        <v>116.6005196</v>
      </c>
      <c r="CV43" s="12">
        <v>111.95884</v>
      </c>
      <c r="CW43" s="12">
        <v>110.15903299999999</v>
      </c>
      <c r="CX43" s="12">
        <v>123.73139899</v>
      </c>
      <c r="CY43" s="12">
        <v>108.522795</v>
      </c>
      <c r="CZ43" s="12">
        <v>109.33552666999999</v>
      </c>
      <c r="DA43" s="12">
        <v>109.936575</v>
      </c>
      <c r="DB43" s="12">
        <v>111.761083</v>
      </c>
      <c r="DC43" s="12">
        <v>121.280689</v>
      </c>
      <c r="DD43" s="12">
        <v>121.58194899999999</v>
      </c>
      <c r="DE43" s="12">
        <v>119.248165</v>
      </c>
      <c r="DF43" s="12">
        <v>118.79184100000001</v>
      </c>
      <c r="DG43" s="12">
        <v>111.244277</v>
      </c>
      <c r="DH43" s="12">
        <v>111.58873</v>
      </c>
      <c r="DI43" s="12">
        <v>112.2004475</v>
      </c>
      <c r="DJ43" s="12">
        <v>119.926546</v>
      </c>
      <c r="DK43" s="12">
        <v>126.61245562000001</v>
      </c>
      <c r="DL43" s="12">
        <v>118.255208</v>
      </c>
      <c r="DM43" s="12">
        <v>117.82137299999999</v>
      </c>
      <c r="DN43" s="12">
        <v>109.301151</v>
      </c>
      <c r="DO43" s="12">
        <v>121.941498</v>
      </c>
      <c r="DP43" s="12">
        <v>120.488568</v>
      </c>
      <c r="DQ43" s="12">
        <v>116.17297000000001</v>
      </c>
      <c r="DR43" s="12">
        <v>100.10824599999999</v>
      </c>
      <c r="DS43" s="12">
        <v>120.36430799999999</v>
      </c>
      <c r="DT43" s="12">
        <v>109.723597</v>
      </c>
      <c r="DU43" s="12">
        <v>110.16176</v>
      </c>
      <c r="DV43" s="12">
        <v>111.95502999999999</v>
      </c>
      <c r="DW43" s="12">
        <v>119.986867</v>
      </c>
      <c r="DX43" s="12">
        <v>120.485212</v>
      </c>
      <c r="DY43" s="12">
        <v>108.284555</v>
      </c>
      <c r="DZ43" s="12">
        <v>105.06838</v>
      </c>
      <c r="EA43" s="12">
        <v>105.06838</v>
      </c>
      <c r="EB43" s="12">
        <v>106.88660174</v>
      </c>
      <c r="EC43" s="12">
        <v>114.013198</v>
      </c>
      <c r="ED43" s="12">
        <v>114.318043</v>
      </c>
      <c r="EE43" s="12">
        <v>108.400583</v>
      </c>
      <c r="EF43" s="12">
        <v>109.119893</v>
      </c>
      <c r="EG43" s="12">
        <v>108.841649</v>
      </c>
      <c r="EH43" s="12">
        <v>111.13134100000001</v>
      </c>
      <c r="EI43" s="12">
        <v>133.39560481000001</v>
      </c>
      <c r="EJ43" s="12">
        <v>122.570865</v>
      </c>
      <c r="EK43" s="12">
        <v>122.570865</v>
      </c>
      <c r="EL43" s="12">
        <v>109.585055</v>
      </c>
      <c r="EM43" s="12">
        <v>118.92947700000001</v>
      </c>
      <c r="EN43" s="12">
        <v>119.370116</v>
      </c>
      <c r="EO43" s="12">
        <v>119.248165</v>
      </c>
      <c r="EP43" s="12">
        <v>110.86465099999999</v>
      </c>
      <c r="EQ43" s="12">
        <v>113.28450100000001</v>
      </c>
      <c r="ER43" s="12">
        <v>121.879572</v>
      </c>
      <c r="ES43" s="12">
        <v>110.783198</v>
      </c>
      <c r="ET43" s="12">
        <v>111.11282</v>
      </c>
      <c r="EU43" s="12">
        <v>113.82089783000001</v>
      </c>
      <c r="EV43" s="12">
        <v>108.186832</v>
      </c>
      <c r="EW43" s="12">
        <v>107.171407</v>
      </c>
      <c r="EX43" s="12">
        <v>109.05417300000001</v>
      </c>
      <c r="EY43" s="12">
        <v>113.240449</v>
      </c>
      <c r="EZ43" s="12">
        <v>110.792316</v>
      </c>
      <c r="FA43" s="12">
        <v>107.496993</v>
      </c>
      <c r="FB43" s="12">
        <v>105.877444</v>
      </c>
      <c r="FC43" s="12">
        <v>110.518118</v>
      </c>
      <c r="FD43" s="12">
        <v>111.033356</v>
      </c>
      <c r="FE43" s="12">
        <v>111.248948</v>
      </c>
      <c r="FF43" s="12">
        <v>128.33604276</v>
      </c>
      <c r="FG43" s="12">
        <v>111.004283</v>
      </c>
      <c r="FH43" s="12">
        <v>121.697796</v>
      </c>
      <c r="FI43" s="12">
        <v>112.28281200000001</v>
      </c>
      <c r="FJ43" s="12">
        <v>149.46648827000001</v>
      </c>
      <c r="FK43" s="12">
        <v>119.51354815000001</v>
      </c>
      <c r="FL43" s="12">
        <v>126.142323</v>
      </c>
      <c r="FM43" s="12">
        <v>103.6628795</v>
      </c>
      <c r="FN43" s="12">
        <v>104.36663299999999</v>
      </c>
      <c r="FO43" s="12">
        <v>109.372316</v>
      </c>
      <c r="FP43" s="12">
        <v>113.961935</v>
      </c>
      <c r="FQ43" s="12">
        <v>117.34666855</v>
      </c>
      <c r="FR43" s="12">
        <v>116.92675300000001</v>
      </c>
      <c r="FS43" s="12">
        <v>117.332354</v>
      </c>
      <c r="FT43" s="12">
        <v>118.31143</v>
      </c>
      <c r="FU43" s="12">
        <v>118.31143</v>
      </c>
      <c r="FV43" s="12">
        <v>119.735569</v>
      </c>
      <c r="FW43" s="12">
        <v>119.735569</v>
      </c>
      <c r="FX43" s="12">
        <v>118.522626</v>
      </c>
      <c r="FY43" s="12">
        <v>117.959264</v>
      </c>
      <c r="FZ43" s="12">
        <v>117.815427</v>
      </c>
      <c r="GA43" s="12">
        <v>110.963353</v>
      </c>
      <c r="GB43" s="12">
        <v>110.654833</v>
      </c>
      <c r="GC43" s="12">
        <v>114.70351193</v>
      </c>
      <c r="GD43" s="12">
        <v>114.886644</v>
      </c>
      <c r="GE43" s="12">
        <v>114.707386</v>
      </c>
      <c r="GF43" s="12">
        <v>120.906115</v>
      </c>
      <c r="GG43" s="12">
        <v>120.906115</v>
      </c>
      <c r="GH43" s="12">
        <v>121.236812</v>
      </c>
      <c r="GI43" s="12">
        <v>107.336371</v>
      </c>
      <c r="GJ43" s="12">
        <v>118.92947700000001</v>
      </c>
      <c r="GK43" s="12">
        <v>118.79184100000001</v>
      </c>
      <c r="GL43" s="12">
        <v>123.55468594</v>
      </c>
      <c r="GM43" s="12">
        <v>104.250244</v>
      </c>
      <c r="GN43" s="12">
        <v>123.55468594</v>
      </c>
      <c r="GO43" s="12">
        <v>118.31143</v>
      </c>
      <c r="GP43" s="12">
        <v>111.302815</v>
      </c>
      <c r="GQ43" s="12">
        <v>118.509747</v>
      </c>
      <c r="GR43" s="12">
        <v>116.172854</v>
      </c>
      <c r="GS43" s="12">
        <v>109.281899</v>
      </c>
      <c r="GT43" s="12">
        <v>104.71023700000001</v>
      </c>
      <c r="GU43" s="12">
        <v>111.827983</v>
      </c>
      <c r="GV43" s="12">
        <v>110.15041100000001</v>
      </c>
      <c r="GW43" s="12">
        <v>119.54947199999999</v>
      </c>
      <c r="GX43" s="12">
        <v>118.189407</v>
      </c>
      <c r="GY43" s="12">
        <v>118.94086299999999</v>
      </c>
      <c r="GZ43" s="12">
        <v>118.670029</v>
      </c>
      <c r="HA43" s="12">
        <v>111.827983</v>
      </c>
      <c r="HB43" s="12">
        <v>111.55925000000001</v>
      </c>
      <c r="HC43" s="12">
        <v>111.827983</v>
      </c>
      <c r="HD43" s="12">
        <v>118.509747</v>
      </c>
      <c r="HE43" s="12">
        <v>121.7</v>
      </c>
      <c r="HF43" s="12">
        <v>121.879572</v>
      </c>
      <c r="HG43" s="12">
        <v>121.879572</v>
      </c>
      <c r="HH43" s="12">
        <v>121.879572</v>
      </c>
      <c r="HI43" s="12">
        <v>111.893916</v>
      </c>
      <c r="HJ43" s="12">
        <v>120.283953</v>
      </c>
      <c r="HK43" s="12">
        <v>119.913783</v>
      </c>
      <c r="HL43" s="12">
        <v>118.515176</v>
      </c>
      <c r="HM43" s="12">
        <v>121.331064</v>
      </c>
      <c r="HN43" s="12">
        <v>118.59587000000001</v>
      </c>
      <c r="HO43" s="12">
        <v>102.25645808</v>
      </c>
      <c r="HP43" s="12">
        <v>121.94613699999999</v>
      </c>
      <c r="HQ43" s="12">
        <v>112.2939655</v>
      </c>
      <c r="HR43" s="12">
        <v>112.630815</v>
      </c>
      <c r="HS43" s="12">
        <v>110.26684299999999</v>
      </c>
      <c r="HT43" s="12">
        <v>109.633685</v>
      </c>
      <c r="HU43" s="12">
        <v>105.84087561</v>
      </c>
      <c r="HV43" s="12">
        <v>102.71548300000001</v>
      </c>
      <c r="HW43" s="12">
        <v>103.170596</v>
      </c>
      <c r="HX43" s="12">
        <v>113.0925804</v>
      </c>
      <c r="HY43" s="12">
        <v>112.622776</v>
      </c>
      <c r="HZ43" s="12">
        <v>124.73936</v>
      </c>
      <c r="IA43" s="12"/>
      <c r="IB43" s="12"/>
      <c r="IC43" s="12"/>
      <c r="ID43" s="12"/>
      <c r="IE43" s="12"/>
      <c r="IF43" s="12"/>
      <c r="IG43" s="12"/>
      <c r="IH43" s="12"/>
      <c r="II43" s="12"/>
      <c r="IJ43" s="12"/>
      <c r="IK43" s="12"/>
    </row>
    <row r="44" spans="1:245" x14ac:dyDescent="0.25">
      <c r="A44" s="11">
        <v>46049.895833333336</v>
      </c>
      <c r="B44" s="12">
        <v>158.55491158999999</v>
      </c>
      <c r="C44" s="12">
        <v>143.07298499999999</v>
      </c>
      <c r="D44" s="12">
        <v>144.22941700000001</v>
      </c>
      <c r="E44" s="12">
        <v>143.990442</v>
      </c>
      <c r="F44" s="12">
        <v>143.81496899999999</v>
      </c>
      <c r="G44" s="12">
        <v>146.68541099999999</v>
      </c>
      <c r="H44" s="12">
        <v>159.082123</v>
      </c>
      <c r="I44" s="12">
        <v>158.38333399999999</v>
      </c>
      <c r="J44" s="12">
        <v>159.62028599999999</v>
      </c>
      <c r="K44" s="12">
        <v>146.20773800000001</v>
      </c>
      <c r="L44" s="12">
        <v>147.50687400000001</v>
      </c>
      <c r="M44" s="12">
        <v>154.855345</v>
      </c>
      <c r="N44" s="12">
        <v>152.368199</v>
      </c>
      <c r="O44" s="12">
        <v>159.856346</v>
      </c>
      <c r="P44" s="12">
        <v>148.24186614000001</v>
      </c>
      <c r="Q44" s="12">
        <v>159.50811200000001</v>
      </c>
      <c r="R44" s="12">
        <v>150.392876</v>
      </c>
      <c r="S44" s="12">
        <v>157.706051</v>
      </c>
      <c r="T44" s="12">
        <v>132.08307600000001</v>
      </c>
      <c r="U44" s="12">
        <v>133.23304400000001</v>
      </c>
      <c r="V44" s="12">
        <v>155.04544799999999</v>
      </c>
      <c r="W44" s="12">
        <v>148.005661</v>
      </c>
      <c r="X44" s="12">
        <v>142.36118999999999</v>
      </c>
      <c r="Y44" s="12">
        <v>145.464279</v>
      </c>
      <c r="Z44" s="12">
        <v>159.586681</v>
      </c>
      <c r="AA44" s="12">
        <v>141.92109199999999</v>
      </c>
      <c r="AB44" s="12">
        <v>147.15591900000001</v>
      </c>
      <c r="AC44" s="12">
        <v>148.74305699999999</v>
      </c>
      <c r="AD44" s="12">
        <v>147.60467399999999</v>
      </c>
      <c r="AE44" s="12">
        <v>139.94107</v>
      </c>
      <c r="AF44" s="12">
        <v>153.55952525000001</v>
      </c>
      <c r="AG44" s="12">
        <v>155.98052433999999</v>
      </c>
      <c r="AH44" s="12">
        <v>154.94499300000001</v>
      </c>
      <c r="AI44" s="12">
        <v>154.90053599999999</v>
      </c>
      <c r="AJ44" s="12">
        <v>137.15945500000001</v>
      </c>
      <c r="AK44" s="12">
        <v>155.414941</v>
      </c>
      <c r="AL44" s="12">
        <v>141.51804867000001</v>
      </c>
      <c r="AM44" s="12">
        <v>142.27865399999999</v>
      </c>
      <c r="AN44" s="12">
        <v>158.21942799999999</v>
      </c>
      <c r="AO44" s="12">
        <v>140.985748</v>
      </c>
      <c r="AP44" s="12">
        <v>131.30970099999999</v>
      </c>
      <c r="AQ44" s="12">
        <v>131.90376499999999</v>
      </c>
      <c r="AR44" s="12">
        <v>161.141109</v>
      </c>
      <c r="AS44" s="12">
        <v>158.061352</v>
      </c>
      <c r="AT44" s="12">
        <v>158.061352</v>
      </c>
      <c r="AU44" s="12">
        <v>159.64857799999999</v>
      </c>
      <c r="AV44" s="12">
        <v>149.15717000000001</v>
      </c>
      <c r="AW44" s="12">
        <v>140.22199449999999</v>
      </c>
      <c r="AX44" s="12">
        <v>141.062986</v>
      </c>
      <c r="AY44" s="12">
        <v>159.142752</v>
      </c>
      <c r="AZ44" s="12">
        <v>147.011427</v>
      </c>
      <c r="BA44" s="12">
        <v>146.31579199999999</v>
      </c>
      <c r="BB44" s="12">
        <v>145.52737500000001</v>
      </c>
      <c r="BC44" s="12">
        <v>145.88102033000001</v>
      </c>
      <c r="BD44" s="12">
        <v>145.220021</v>
      </c>
      <c r="BE44" s="12">
        <v>146.26901000000001</v>
      </c>
      <c r="BF44" s="12">
        <v>158.30691300000001</v>
      </c>
      <c r="BG44" s="12">
        <v>159.888409</v>
      </c>
      <c r="BH44" s="12">
        <v>159.888409</v>
      </c>
      <c r="BI44" s="12">
        <v>159.888409</v>
      </c>
      <c r="BJ44" s="12">
        <v>142.494394</v>
      </c>
      <c r="BK44" s="12">
        <v>143.457528</v>
      </c>
      <c r="BL44" s="12">
        <v>154.732946</v>
      </c>
      <c r="BM44" s="12">
        <v>154.08338000000001</v>
      </c>
      <c r="BN44" s="12">
        <v>147.618223</v>
      </c>
      <c r="BO44" s="12">
        <v>145.23366100000001</v>
      </c>
      <c r="BP44" s="12">
        <v>155.67923099999999</v>
      </c>
      <c r="BQ44" s="12">
        <v>137.10604699999999</v>
      </c>
      <c r="BR44" s="12">
        <v>137.12647580000001</v>
      </c>
      <c r="BS44" s="12">
        <v>149.919813</v>
      </c>
      <c r="BT44" s="12">
        <v>146.05952300000001</v>
      </c>
      <c r="BU44" s="12">
        <v>148.46367332</v>
      </c>
      <c r="BV44" s="12">
        <v>159.011383</v>
      </c>
      <c r="BW44" s="12">
        <v>157.724515</v>
      </c>
      <c r="BX44" s="12">
        <v>147.61417299999999</v>
      </c>
      <c r="BY44" s="12">
        <v>147.726371</v>
      </c>
      <c r="BZ44" s="12">
        <v>151.151883</v>
      </c>
      <c r="CA44" s="12">
        <v>157.500832</v>
      </c>
      <c r="CB44" s="12">
        <v>147.48457099999999</v>
      </c>
      <c r="CC44" s="12">
        <v>152.68026900000001</v>
      </c>
      <c r="CD44" s="12">
        <v>151.56701899999999</v>
      </c>
      <c r="CE44" s="12">
        <v>155.354454</v>
      </c>
      <c r="CF44" s="12">
        <v>149.99435199999999</v>
      </c>
      <c r="CG44" s="12">
        <v>159.011383</v>
      </c>
      <c r="CH44" s="12">
        <v>147.03421800000001</v>
      </c>
      <c r="CI44" s="12">
        <v>147.01307</v>
      </c>
      <c r="CJ44" s="12">
        <v>150.72186300000001</v>
      </c>
      <c r="CK44" s="12">
        <v>161.97446099999999</v>
      </c>
      <c r="CL44" s="12">
        <v>163.43866800000001</v>
      </c>
      <c r="CM44" s="12">
        <v>160.11896300000001</v>
      </c>
      <c r="CN44" s="12">
        <v>158.31973400000001</v>
      </c>
      <c r="CO44" s="12">
        <v>160.22652099999999</v>
      </c>
      <c r="CP44" s="12">
        <v>146.11924300000001</v>
      </c>
      <c r="CQ44" s="12">
        <v>147.438729</v>
      </c>
      <c r="CR44" s="12">
        <v>152.29662307000001</v>
      </c>
      <c r="CS44" s="12">
        <v>153.13565600000001</v>
      </c>
      <c r="CT44" s="12">
        <v>143.83341300000001</v>
      </c>
      <c r="CU44" s="12">
        <v>154.83347348000001</v>
      </c>
      <c r="CV44" s="12">
        <v>146.02386899999999</v>
      </c>
      <c r="CW44" s="12">
        <v>145.860682</v>
      </c>
      <c r="CX44" s="12">
        <v>164.03404262999999</v>
      </c>
      <c r="CY44" s="12">
        <v>143.429348</v>
      </c>
      <c r="CZ44" s="12">
        <v>145.380674</v>
      </c>
      <c r="DA44" s="12">
        <v>145.95301799999999</v>
      </c>
      <c r="DB44" s="12">
        <v>148.08984000000001</v>
      </c>
      <c r="DC44" s="12">
        <v>160.45237700000001</v>
      </c>
      <c r="DD44" s="12">
        <v>160.87712099999999</v>
      </c>
      <c r="DE44" s="12">
        <v>157.724515</v>
      </c>
      <c r="DF44" s="12">
        <v>157.126025</v>
      </c>
      <c r="DG44" s="12">
        <v>147.33583100000001</v>
      </c>
      <c r="DH44" s="12">
        <v>147.726371</v>
      </c>
      <c r="DI44" s="12">
        <v>148.21135649999999</v>
      </c>
      <c r="DJ44" s="12">
        <v>158.63678899999999</v>
      </c>
      <c r="DK44" s="12">
        <v>165.38894617</v>
      </c>
      <c r="DL44" s="12">
        <v>156.087863</v>
      </c>
      <c r="DM44" s="12">
        <v>155.64905899999999</v>
      </c>
      <c r="DN44" s="12">
        <v>144.79459467000001</v>
      </c>
      <c r="DO44" s="12">
        <v>160.41786500000001</v>
      </c>
      <c r="DP44" s="12">
        <v>158.57792599999999</v>
      </c>
      <c r="DQ44" s="12">
        <v>152.819683</v>
      </c>
      <c r="DR44" s="12">
        <v>132.36280400000001</v>
      </c>
      <c r="DS44" s="12">
        <v>158.43023700000001</v>
      </c>
      <c r="DT44" s="12">
        <v>145.144026</v>
      </c>
      <c r="DU44" s="12">
        <v>145.72473500000001</v>
      </c>
      <c r="DV44" s="12">
        <v>147.704984</v>
      </c>
      <c r="DW44" s="12">
        <v>158.642764</v>
      </c>
      <c r="DX44" s="12">
        <v>159.25013200000001</v>
      </c>
      <c r="DY44" s="12">
        <v>142.83764199999999</v>
      </c>
      <c r="DZ44" s="12">
        <v>138.45797999999999</v>
      </c>
      <c r="EA44" s="12">
        <v>138.45797999999999</v>
      </c>
      <c r="EB44" s="12">
        <v>140.33508497</v>
      </c>
      <c r="EC44" s="12">
        <v>150.84162599999999</v>
      </c>
      <c r="ED44" s="12">
        <v>151.229041</v>
      </c>
      <c r="EE44" s="12">
        <v>143.247646</v>
      </c>
      <c r="EF44" s="12">
        <v>144.20471000000001</v>
      </c>
      <c r="EG44" s="12">
        <v>142.95629</v>
      </c>
      <c r="EH44" s="12">
        <v>146.35414700000001</v>
      </c>
      <c r="EI44" s="12">
        <v>176.84614013999999</v>
      </c>
      <c r="EJ44" s="12">
        <v>162.120904</v>
      </c>
      <c r="EK44" s="12">
        <v>162.120904</v>
      </c>
      <c r="EL44" s="12">
        <v>144.773506</v>
      </c>
      <c r="EM44" s="12">
        <v>157.30485899999999</v>
      </c>
      <c r="EN44" s="12">
        <v>157.890705</v>
      </c>
      <c r="EO44" s="12">
        <v>157.724515</v>
      </c>
      <c r="EP44" s="12">
        <v>146.36220399999999</v>
      </c>
      <c r="EQ44" s="12">
        <v>149.99497500000001</v>
      </c>
      <c r="ER44" s="12">
        <v>160.336219</v>
      </c>
      <c r="ES44" s="12">
        <v>146.471879</v>
      </c>
      <c r="ET44" s="12">
        <v>146.910088</v>
      </c>
      <c r="EU44" s="12">
        <v>150.35216083</v>
      </c>
      <c r="EV44" s="12">
        <v>142.94357199999999</v>
      </c>
      <c r="EW44" s="12">
        <v>141.65790799999999</v>
      </c>
      <c r="EX44" s="12">
        <v>144.11123599999999</v>
      </c>
      <c r="EY44" s="12">
        <v>150.371646</v>
      </c>
      <c r="EZ44" s="12">
        <v>146.616792</v>
      </c>
      <c r="FA44" s="12">
        <v>141.75448800000001</v>
      </c>
      <c r="FB44" s="12">
        <v>139.65552199999999</v>
      </c>
      <c r="FC44" s="12">
        <v>144.920883</v>
      </c>
      <c r="FD44" s="12">
        <v>145.99274</v>
      </c>
      <c r="FE44" s="12">
        <v>146.440697</v>
      </c>
      <c r="FF44" s="12">
        <v>168.97565338000001</v>
      </c>
      <c r="FG44" s="12">
        <v>144.01927000000001</v>
      </c>
      <c r="FH44" s="12">
        <v>160.122928</v>
      </c>
      <c r="FI44" s="12">
        <v>148.38672600000001</v>
      </c>
      <c r="FJ44" s="12">
        <v>196.87436338000001</v>
      </c>
      <c r="FK44" s="12">
        <v>157.42253786000001</v>
      </c>
      <c r="FL44" s="12">
        <v>165.991287</v>
      </c>
      <c r="FM44" s="12">
        <v>137.26984200000001</v>
      </c>
      <c r="FN44" s="12">
        <v>138.199984</v>
      </c>
      <c r="FO44" s="12">
        <v>144.53072499999999</v>
      </c>
      <c r="FP44" s="12">
        <v>150.75028599999999</v>
      </c>
      <c r="FQ44" s="12">
        <v>151.17032352999999</v>
      </c>
      <c r="FR44" s="12">
        <v>150.641952</v>
      </c>
      <c r="FS44" s="12">
        <v>151.151883</v>
      </c>
      <c r="FT44" s="12">
        <v>156.48399599999999</v>
      </c>
      <c r="FU44" s="12">
        <v>156.48399599999999</v>
      </c>
      <c r="FV44" s="12">
        <v>155.738382</v>
      </c>
      <c r="FW44" s="12">
        <v>155.738382</v>
      </c>
      <c r="FX44" s="12">
        <v>154.31007700000001</v>
      </c>
      <c r="FY44" s="12">
        <v>155.871059</v>
      </c>
      <c r="FZ44" s="12">
        <v>155.698904</v>
      </c>
      <c r="GA44" s="12">
        <v>147.43159700000001</v>
      </c>
      <c r="GB44" s="12">
        <v>146.95142200000001</v>
      </c>
      <c r="GC44" s="12">
        <v>150.99865109999999</v>
      </c>
      <c r="GD44" s="12">
        <v>151.689978</v>
      </c>
      <c r="GE44" s="12">
        <v>150.91804500000001</v>
      </c>
      <c r="GF44" s="12">
        <v>159.011383</v>
      </c>
      <c r="GG44" s="12">
        <v>159.011383</v>
      </c>
      <c r="GH44" s="12">
        <v>160.36170799999999</v>
      </c>
      <c r="GI44" s="12">
        <v>141.871408</v>
      </c>
      <c r="GJ44" s="12">
        <v>157.30485899999999</v>
      </c>
      <c r="GK44" s="12">
        <v>157.126025</v>
      </c>
      <c r="GL44" s="12">
        <v>163.79976937999999</v>
      </c>
      <c r="GM44" s="12">
        <v>137.43959000000001</v>
      </c>
      <c r="GN44" s="12">
        <v>163.79976937999999</v>
      </c>
      <c r="GO44" s="12">
        <v>156.48399599999999</v>
      </c>
      <c r="GP44" s="12">
        <v>147.12289799999999</v>
      </c>
      <c r="GQ44" s="12">
        <v>156.74329599999999</v>
      </c>
      <c r="GR44" s="12">
        <v>153.654504</v>
      </c>
      <c r="GS44" s="12">
        <v>144.46881400000001</v>
      </c>
      <c r="GT44" s="12">
        <v>138.41425000000001</v>
      </c>
      <c r="GU44" s="12">
        <v>147.626846</v>
      </c>
      <c r="GV44" s="12">
        <v>145.306772</v>
      </c>
      <c r="GW44" s="12">
        <v>157.46824899999999</v>
      </c>
      <c r="GX44" s="12">
        <v>157.01470499999999</v>
      </c>
      <c r="GY44" s="12">
        <v>157.40970999999999</v>
      </c>
      <c r="GZ44" s="12">
        <v>157.00630100000001</v>
      </c>
      <c r="HA44" s="12">
        <v>147.626846</v>
      </c>
      <c r="HB44" s="12">
        <v>147.073105</v>
      </c>
      <c r="HC44" s="12">
        <v>147.626846</v>
      </c>
      <c r="HD44" s="12">
        <v>156.74329599999999</v>
      </c>
      <c r="HE44" s="12">
        <v>160.09236000000001</v>
      </c>
      <c r="HF44" s="12">
        <v>160.336219</v>
      </c>
      <c r="HG44" s="12">
        <v>160.336219</v>
      </c>
      <c r="HH44" s="12">
        <v>160.336219</v>
      </c>
      <c r="HI44" s="12">
        <v>144.82760400000001</v>
      </c>
      <c r="HJ44" s="12">
        <v>159.17898500000001</v>
      </c>
      <c r="HK44" s="12">
        <v>158.67487800000001</v>
      </c>
      <c r="HL44" s="12">
        <v>153.02984799999999</v>
      </c>
      <c r="HM44" s="12">
        <v>160.52066600000001</v>
      </c>
      <c r="HN44" s="12">
        <v>156.22351</v>
      </c>
      <c r="HO44" s="12">
        <v>134.81105783999999</v>
      </c>
      <c r="HP44" s="12">
        <v>160.431793</v>
      </c>
      <c r="HQ44" s="12">
        <v>148.34146749999999</v>
      </c>
      <c r="HR44" s="12">
        <v>148.784976</v>
      </c>
      <c r="HS44" s="12">
        <v>144.77326099999999</v>
      </c>
      <c r="HT44" s="12">
        <v>144.918913</v>
      </c>
      <c r="HU44" s="12">
        <v>139.46000462000001</v>
      </c>
      <c r="HV44" s="12">
        <v>135.71037150000001</v>
      </c>
      <c r="HW44" s="12">
        <v>136.331087</v>
      </c>
      <c r="HX44" s="12">
        <v>148.72154656999999</v>
      </c>
      <c r="HY44" s="12">
        <v>148.77704</v>
      </c>
      <c r="HZ44" s="12">
        <v>163.96947700000001</v>
      </c>
      <c r="IA44" s="12"/>
      <c r="IB44" s="12"/>
      <c r="IC44" s="12"/>
      <c r="ID44" s="12"/>
      <c r="IE44" s="12"/>
      <c r="IF44" s="12"/>
      <c r="IG44" s="12"/>
      <c r="IH44" s="12"/>
      <c r="II44" s="12"/>
      <c r="IJ44" s="12"/>
      <c r="IK44" s="12"/>
    </row>
    <row r="45" spans="1:245" x14ac:dyDescent="0.25">
      <c r="A45" s="11">
        <v>46049.916666666664</v>
      </c>
      <c r="B45" s="12">
        <v>160.64050999</v>
      </c>
      <c r="C45" s="12">
        <v>144.57294300000001</v>
      </c>
      <c r="D45" s="12">
        <v>145.72887299999999</v>
      </c>
      <c r="E45" s="12">
        <v>145.49129099999999</v>
      </c>
      <c r="F45" s="12">
        <v>145.32574700000001</v>
      </c>
      <c r="G45" s="12">
        <v>148.59846400000001</v>
      </c>
      <c r="H45" s="12">
        <v>161.50562400000001</v>
      </c>
      <c r="I45" s="12">
        <v>160.86916500000001</v>
      </c>
      <c r="J45" s="12">
        <v>162.00954200000001</v>
      </c>
      <c r="K45" s="12">
        <v>148.12667300000001</v>
      </c>
      <c r="L45" s="12">
        <v>148.97101900000001</v>
      </c>
      <c r="M45" s="12">
        <v>157.006913</v>
      </c>
      <c r="N45" s="12">
        <v>154.45931899999999</v>
      </c>
      <c r="O45" s="12">
        <v>161.660853</v>
      </c>
      <c r="P45" s="12">
        <v>150.15216784</v>
      </c>
      <c r="Q45" s="12">
        <v>161.871197</v>
      </c>
      <c r="R45" s="12">
        <v>152.31346600000001</v>
      </c>
      <c r="S45" s="12">
        <v>159.553954</v>
      </c>
      <c r="T45" s="12">
        <v>134.128175</v>
      </c>
      <c r="U45" s="12">
        <v>135.29793799999999</v>
      </c>
      <c r="V45" s="12">
        <v>156.946685</v>
      </c>
      <c r="W45" s="12">
        <v>150.37115399999999</v>
      </c>
      <c r="X45" s="12">
        <v>144.55162899999999</v>
      </c>
      <c r="Y45" s="12">
        <v>147.65034399999999</v>
      </c>
      <c r="Z45" s="12">
        <v>161.82668000000001</v>
      </c>
      <c r="AA45" s="12">
        <v>143.98670200000001</v>
      </c>
      <c r="AB45" s="12">
        <v>149.27480800000001</v>
      </c>
      <c r="AC45" s="12">
        <v>150.93200400000001</v>
      </c>
      <c r="AD45" s="12">
        <v>149.88039699999999</v>
      </c>
      <c r="AE45" s="12">
        <v>141.78256300000001</v>
      </c>
      <c r="AF45" s="12">
        <v>155.42503600000001</v>
      </c>
      <c r="AG45" s="12">
        <v>157.87491388999999</v>
      </c>
      <c r="AH45" s="12">
        <v>156.789332</v>
      </c>
      <c r="AI45" s="12">
        <v>156.78051400000001</v>
      </c>
      <c r="AJ45" s="12">
        <v>139.25161900000001</v>
      </c>
      <c r="AK45" s="12">
        <v>157.315518</v>
      </c>
      <c r="AL45" s="12">
        <v>143.57957067000001</v>
      </c>
      <c r="AM45" s="12">
        <v>144.35004900000001</v>
      </c>
      <c r="AN45" s="12">
        <v>160.513486</v>
      </c>
      <c r="AO45" s="12">
        <v>143.04227399999999</v>
      </c>
      <c r="AP45" s="12">
        <v>132.900665</v>
      </c>
      <c r="AQ45" s="12">
        <v>133.50959900000001</v>
      </c>
      <c r="AR45" s="12">
        <v>163.44898699999999</v>
      </c>
      <c r="AS45" s="12">
        <v>160.121566</v>
      </c>
      <c r="AT45" s="12">
        <v>160.121566</v>
      </c>
      <c r="AU45" s="12">
        <v>161.80714900000001</v>
      </c>
      <c r="AV45" s="12">
        <v>151.44183899999999</v>
      </c>
      <c r="AW45" s="12">
        <v>142.24493799999999</v>
      </c>
      <c r="AX45" s="12">
        <v>143.09505999999999</v>
      </c>
      <c r="AY45" s="12">
        <v>161.22251600000001</v>
      </c>
      <c r="AZ45" s="12">
        <v>149.09612300000001</v>
      </c>
      <c r="BA45" s="12">
        <v>148.30615800000001</v>
      </c>
      <c r="BB45" s="12">
        <v>147.50502950000001</v>
      </c>
      <c r="BC45" s="12">
        <v>147.863587</v>
      </c>
      <c r="BD45" s="12">
        <v>147.03760199999999</v>
      </c>
      <c r="BE45" s="12">
        <v>148.258555</v>
      </c>
      <c r="BF45" s="12">
        <v>160.503694</v>
      </c>
      <c r="BG45" s="12">
        <v>162.037147</v>
      </c>
      <c r="BH45" s="12">
        <v>162.037147</v>
      </c>
      <c r="BI45" s="12">
        <v>162.037147</v>
      </c>
      <c r="BJ45" s="12">
        <v>144.55571</v>
      </c>
      <c r="BK45" s="12">
        <v>145.53424200000001</v>
      </c>
      <c r="BL45" s="12">
        <v>156.88120000000001</v>
      </c>
      <c r="BM45" s="12">
        <v>156.21144799999999</v>
      </c>
      <c r="BN45" s="12">
        <v>149.96589399999999</v>
      </c>
      <c r="BO45" s="12">
        <v>147.50141099999999</v>
      </c>
      <c r="BP45" s="12">
        <v>157.68260699999999</v>
      </c>
      <c r="BQ45" s="12">
        <v>139.285301</v>
      </c>
      <c r="BR45" s="12">
        <v>139.30605451</v>
      </c>
      <c r="BS45" s="12">
        <v>152.01033699999999</v>
      </c>
      <c r="BT45" s="12">
        <v>147.73140316999999</v>
      </c>
      <c r="BU45" s="12">
        <v>151.16306707999999</v>
      </c>
      <c r="BV45" s="12">
        <v>161.10681199999999</v>
      </c>
      <c r="BW45" s="12">
        <v>160.023034</v>
      </c>
      <c r="BX45" s="12">
        <v>150.297404</v>
      </c>
      <c r="BY45" s="12">
        <v>150.41235900000001</v>
      </c>
      <c r="BZ45" s="12">
        <v>152.471822</v>
      </c>
      <c r="CA45" s="12">
        <v>158.936868</v>
      </c>
      <c r="CB45" s="12">
        <v>149.75712899999999</v>
      </c>
      <c r="CC45" s="12">
        <v>154.51613</v>
      </c>
      <c r="CD45" s="12">
        <v>153.44132999999999</v>
      </c>
      <c r="CE45" s="12">
        <v>156.81977900000001</v>
      </c>
      <c r="CF45" s="12">
        <v>152.08605700000001</v>
      </c>
      <c r="CG45" s="12">
        <v>161.10681199999999</v>
      </c>
      <c r="CH45" s="12">
        <v>149.117504</v>
      </c>
      <c r="CI45" s="12">
        <v>149.09766400000001</v>
      </c>
      <c r="CJ45" s="12">
        <v>152.90605099999999</v>
      </c>
      <c r="CK45" s="12">
        <v>163.84764200000001</v>
      </c>
      <c r="CL45" s="12">
        <v>165.33320000000001</v>
      </c>
      <c r="CM45" s="12">
        <v>162.178639</v>
      </c>
      <c r="CN45" s="12">
        <v>160.49778599999999</v>
      </c>
      <c r="CO45" s="12">
        <v>162.35155399999999</v>
      </c>
      <c r="CP45" s="12">
        <v>148.206411</v>
      </c>
      <c r="CQ45" s="12">
        <v>149.170252</v>
      </c>
      <c r="CR45" s="12">
        <v>154.11608566999999</v>
      </c>
      <c r="CS45" s="12">
        <v>155.28766899999999</v>
      </c>
      <c r="CT45" s="12">
        <v>145.98863299999999</v>
      </c>
      <c r="CU45" s="12">
        <v>156.92183467000001</v>
      </c>
      <c r="CV45" s="12">
        <v>147.63851299999999</v>
      </c>
      <c r="CW45" s="12">
        <v>147.99666300000001</v>
      </c>
      <c r="CX45" s="12">
        <v>166.33646591999999</v>
      </c>
      <c r="CY45" s="12">
        <v>145.47160099999999</v>
      </c>
      <c r="CZ45" s="12">
        <v>147.53600033000001</v>
      </c>
      <c r="DA45" s="12">
        <v>148.13939999999999</v>
      </c>
      <c r="DB45" s="12">
        <v>150.60585599999999</v>
      </c>
      <c r="DC45" s="12">
        <v>162.73410000000001</v>
      </c>
      <c r="DD45" s="12">
        <v>163.15153900000001</v>
      </c>
      <c r="DE45" s="12">
        <v>160.023034</v>
      </c>
      <c r="DF45" s="12">
        <v>159.41969</v>
      </c>
      <c r="DG45" s="12">
        <v>149.77237099999999</v>
      </c>
      <c r="DH45" s="12">
        <v>150.41235900000001</v>
      </c>
      <c r="DI45" s="12">
        <v>150.33931999999999</v>
      </c>
      <c r="DJ45" s="12">
        <v>160.948204</v>
      </c>
      <c r="DK45" s="12">
        <v>166.89690315999999</v>
      </c>
      <c r="DL45" s="12">
        <v>158.215429</v>
      </c>
      <c r="DM45" s="12">
        <v>157.756416</v>
      </c>
      <c r="DN45" s="12">
        <v>146.53974332999999</v>
      </c>
      <c r="DO45" s="12">
        <v>162.480602</v>
      </c>
      <c r="DP45" s="12">
        <v>160.682174</v>
      </c>
      <c r="DQ45" s="12">
        <v>154.69189800000001</v>
      </c>
      <c r="DR45" s="12">
        <v>134.35762299999999</v>
      </c>
      <c r="DS45" s="12">
        <v>160.53564499999999</v>
      </c>
      <c r="DT45" s="12">
        <v>147.11703600000001</v>
      </c>
      <c r="DU45" s="12">
        <v>147.706346</v>
      </c>
      <c r="DV45" s="12">
        <v>149.83690100000001</v>
      </c>
      <c r="DW45" s="12">
        <v>160.936836</v>
      </c>
      <c r="DX45" s="12">
        <v>161.53206299999999</v>
      </c>
      <c r="DY45" s="12">
        <v>144.620329</v>
      </c>
      <c r="DZ45" s="12">
        <v>140.47693699999999</v>
      </c>
      <c r="EA45" s="12">
        <v>140.47693699999999</v>
      </c>
      <c r="EB45" s="12">
        <v>142.15068575000001</v>
      </c>
      <c r="EC45" s="12">
        <v>153.02102600000001</v>
      </c>
      <c r="ED45" s="12">
        <v>153.411115</v>
      </c>
      <c r="EE45" s="12">
        <v>145.40594899999999</v>
      </c>
      <c r="EF45" s="12">
        <v>146.37499500000001</v>
      </c>
      <c r="EG45" s="12">
        <v>144.65958499999999</v>
      </c>
      <c r="EH45" s="12">
        <v>148.43176199999999</v>
      </c>
      <c r="EI45" s="12">
        <v>179.32839727000001</v>
      </c>
      <c r="EJ45" s="12">
        <v>164.43920499999999</v>
      </c>
      <c r="EK45" s="12">
        <v>164.43920499999999</v>
      </c>
      <c r="EL45" s="12">
        <v>146.87881999999999</v>
      </c>
      <c r="EM45" s="12">
        <v>159.59948299999999</v>
      </c>
      <c r="EN45" s="12">
        <v>160.19347099999999</v>
      </c>
      <c r="EO45" s="12">
        <v>160.023034</v>
      </c>
      <c r="EP45" s="12">
        <v>148.36884800000001</v>
      </c>
      <c r="EQ45" s="12">
        <v>152.351913</v>
      </c>
      <c r="ER45" s="12">
        <v>162.398831</v>
      </c>
      <c r="ES45" s="12">
        <v>148.54951800000001</v>
      </c>
      <c r="ET45" s="12">
        <v>148.993458</v>
      </c>
      <c r="EU45" s="12">
        <v>152.64716132999999</v>
      </c>
      <c r="EV45" s="12">
        <v>144.96373600000001</v>
      </c>
      <c r="EW45" s="12">
        <v>143.72275200000001</v>
      </c>
      <c r="EX45" s="12">
        <v>146.17137</v>
      </c>
      <c r="EY45" s="12">
        <v>152.39982699999999</v>
      </c>
      <c r="EZ45" s="12">
        <v>148.58265399999999</v>
      </c>
      <c r="FA45" s="12">
        <v>143.57511400000001</v>
      </c>
      <c r="FB45" s="12">
        <v>141.454173</v>
      </c>
      <c r="FC45" s="12">
        <v>147.186092</v>
      </c>
      <c r="FD45" s="12">
        <v>148.12163000000001</v>
      </c>
      <c r="FE45" s="12">
        <v>148.51279700000001</v>
      </c>
      <c r="FF45" s="12">
        <v>170.86085148999999</v>
      </c>
      <c r="FG45" s="12">
        <v>145.578733</v>
      </c>
      <c r="FH45" s="12">
        <v>162.21728300000001</v>
      </c>
      <c r="FI45" s="12">
        <v>150.518486</v>
      </c>
      <c r="FJ45" s="12">
        <v>199.94948085999999</v>
      </c>
      <c r="FK45" s="12">
        <v>159.58767306999999</v>
      </c>
      <c r="FL45" s="12">
        <v>168.637743</v>
      </c>
      <c r="FM45" s="12">
        <v>138.9545425</v>
      </c>
      <c r="FN45" s="12">
        <v>139.90025600000001</v>
      </c>
      <c r="FO45" s="12">
        <v>146.564975</v>
      </c>
      <c r="FP45" s="12">
        <v>152.93472600000001</v>
      </c>
      <c r="FQ45" s="12">
        <v>152.49042356000001</v>
      </c>
      <c r="FR45" s="12">
        <v>151.97486900000001</v>
      </c>
      <c r="FS45" s="12">
        <v>152.471822</v>
      </c>
      <c r="FT45" s="12">
        <v>158.782478</v>
      </c>
      <c r="FU45" s="12">
        <v>158.782478</v>
      </c>
      <c r="FV45" s="12">
        <v>157.21887799999999</v>
      </c>
      <c r="FW45" s="12">
        <v>157.21887799999999</v>
      </c>
      <c r="FX45" s="12">
        <v>155.81441599999999</v>
      </c>
      <c r="FY45" s="12">
        <v>158.00646499999999</v>
      </c>
      <c r="FZ45" s="12">
        <v>157.84222299999999</v>
      </c>
      <c r="GA45" s="12">
        <v>150.25230500000001</v>
      </c>
      <c r="GB45" s="12">
        <v>149.84092699999999</v>
      </c>
      <c r="GC45" s="12">
        <v>153.1326373</v>
      </c>
      <c r="GD45" s="12">
        <v>153.55677600000001</v>
      </c>
      <c r="GE45" s="12">
        <v>152.76869400000001</v>
      </c>
      <c r="GF45" s="12">
        <v>161.10681199999999</v>
      </c>
      <c r="GG45" s="12">
        <v>161.10681199999999</v>
      </c>
      <c r="GH45" s="12">
        <v>162.661304</v>
      </c>
      <c r="GI45" s="12">
        <v>143.936226</v>
      </c>
      <c r="GJ45" s="12">
        <v>159.59948299999999</v>
      </c>
      <c r="GK45" s="12">
        <v>159.41969</v>
      </c>
      <c r="GL45" s="12">
        <v>166.09890435</v>
      </c>
      <c r="GM45" s="12">
        <v>139.21512999999999</v>
      </c>
      <c r="GN45" s="12">
        <v>166.09890435</v>
      </c>
      <c r="GO45" s="12">
        <v>158.782478</v>
      </c>
      <c r="GP45" s="12">
        <v>149.08768800000001</v>
      </c>
      <c r="GQ45" s="12">
        <v>159.05510200000001</v>
      </c>
      <c r="GR45" s="12">
        <v>155.864575</v>
      </c>
      <c r="GS45" s="12">
        <v>146.55147500000001</v>
      </c>
      <c r="GT45" s="12">
        <v>140.17877300000001</v>
      </c>
      <c r="GU45" s="12">
        <v>149.809372</v>
      </c>
      <c r="GV45" s="12">
        <v>147.17136400000001</v>
      </c>
      <c r="GW45" s="12">
        <v>159.92785499999999</v>
      </c>
      <c r="GX45" s="12">
        <v>159.24131499999999</v>
      </c>
      <c r="GY45" s="12">
        <v>159.69646599999999</v>
      </c>
      <c r="GZ45" s="12">
        <v>159.29437300000001</v>
      </c>
      <c r="HA45" s="12">
        <v>149.809372</v>
      </c>
      <c r="HB45" s="12">
        <v>149.31984299999999</v>
      </c>
      <c r="HC45" s="12">
        <v>149.809372</v>
      </c>
      <c r="HD45" s="12">
        <v>159.05510200000001</v>
      </c>
      <c r="HE45" s="12">
        <v>162.14703299999999</v>
      </c>
      <c r="HF45" s="12">
        <v>162.398831</v>
      </c>
      <c r="HG45" s="12">
        <v>162.398831</v>
      </c>
      <c r="HH45" s="12">
        <v>162.398831</v>
      </c>
      <c r="HI45" s="12">
        <v>146.36529300000001</v>
      </c>
      <c r="HJ45" s="12">
        <v>161.42525699999999</v>
      </c>
      <c r="HK45" s="12">
        <v>160.917857</v>
      </c>
      <c r="HL45" s="12">
        <v>154.34751499999999</v>
      </c>
      <c r="HM45" s="12">
        <v>162.854895</v>
      </c>
      <c r="HN45" s="12">
        <v>158.344527</v>
      </c>
      <c r="HO45" s="12">
        <v>136.55264063999999</v>
      </c>
      <c r="HP45" s="12">
        <v>162.51084299999999</v>
      </c>
      <c r="HQ45" s="12">
        <v>150.619394</v>
      </c>
      <c r="HR45" s="12">
        <v>151.057547</v>
      </c>
      <c r="HS45" s="12">
        <v>146.646466</v>
      </c>
      <c r="HT45" s="12">
        <v>147.02052499999999</v>
      </c>
      <c r="HU45" s="12">
        <v>141.45205203</v>
      </c>
      <c r="HV45" s="12">
        <v>137.34948800000001</v>
      </c>
      <c r="HW45" s="12">
        <v>138.005605</v>
      </c>
      <c r="HX45" s="12">
        <v>150.65340551</v>
      </c>
      <c r="HY45" s="12">
        <v>150.97647799999999</v>
      </c>
      <c r="HZ45" s="12">
        <v>166.00456500000001</v>
      </c>
      <c r="IA45" s="12"/>
      <c r="IB45" s="12"/>
      <c r="IC45" s="12"/>
      <c r="ID45" s="12"/>
      <c r="IE45" s="12"/>
      <c r="IF45" s="12"/>
      <c r="IG45" s="12"/>
      <c r="IH45" s="12"/>
      <c r="II45" s="12"/>
      <c r="IJ45" s="12"/>
      <c r="IK45" s="12"/>
    </row>
    <row r="46" spans="1:245" x14ac:dyDescent="0.25">
      <c r="A46" s="11">
        <v>46049.9375</v>
      </c>
      <c r="B46" s="12">
        <v>116.21533639</v>
      </c>
      <c r="C46" s="12">
        <v>106.835217</v>
      </c>
      <c r="D46" s="12">
        <v>107.47342999999999</v>
      </c>
      <c r="E46" s="12">
        <v>107.316563</v>
      </c>
      <c r="F46" s="12">
        <v>107.205578</v>
      </c>
      <c r="G46" s="12">
        <v>108.61851299999999</v>
      </c>
      <c r="H46" s="12">
        <v>117.78419599999999</v>
      </c>
      <c r="I46" s="12">
        <v>117.351427</v>
      </c>
      <c r="J46" s="12">
        <v>118.122901</v>
      </c>
      <c r="K46" s="12">
        <v>108.286933</v>
      </c>
      <c r="L46" s="12">
        <v>109.28876</v>
      </c>
      <c r="M46" s="12">
        <v>114.014034</v>
      </c>
      <c r="N46" s="12">
        <v>112.108204</v>
      </c>
      <c r="O46" s="12">
        <v>116.579891</v>
      </c>
      <c r="P46" s="12">
        <v>108.57851995999999</v>
      </c>
      <c r="Q46" s="12">
        <v>118.025339</v>
      </c>
      <c r="R46" s="12">
        <v>111.693995</v>
      </c>
      <c r="S46" s="12">
        <v>115.21602799999999</v>
      </c>
      <c r="T46" s="12">
        <v>98.422906999999995</v>
      </c>
      <c r="U46" s="12">
        <v>99.251092999999997</v>
      </c>
      <c r="V46" s="12">
        <v>113.542458</v>
      </c>
      <c r="W46" s="12">
        <v>109.650081</v>
      </c>
      <c r="X46" s="12">
        <v>105.392425</v>
      </c>
      <c r="Y46" s="12">
        <v>107.69201200000001</v>
      </c>
      <c r="Z46" s="12">
        <v>117.644019</v>
      </c>
      <c r="AA46" s="12">
        <v>105.05167400000001</v>
      </c>
      <c r="AB46" s="12">
        <v>109.09933700000001</v>
      </c>
      <c r="AC46" s="12">
        <v>109.955748</v>
      </c>
      <c r="AD46" s="12">
        <v>109.305318</v>
      </c>
      <c r="AE46" s="12">
        <v>103.32348399999999</v>
      </c>
      <c r="AF46" s="12">
        <v>112.30775575</v>
      </c>
      <c r="AG46" s="12">
        <v>114.08619348000001</v>
      </c>
      <c r="AH46" s="12">
        <v>113.251434</v>
      </c>
      <c r="AI46" s="12">
        <v>113.299314</v>
      </c>
      <c r="AJ46" s="12">
        <v>101.488726</v>
      </c>
      <c r="AK46" s="12">
        <v>113.805441</v>
      </c>
      <c r="AL46" s="12">
        <v>104.75683232999999</v>
      </c>
      <c r="AM46" s="12">
        <v>105.31650500000001</v>
      </c>
      <c r="AN46" s="12">
        <v>116.87184999999999</v>
      </c>
      <c r="AO46" s="12">
        <v>104.3104</v>
      </c>
      <c r="AP46" s="12">
        <v>96.876297500000007</v>
      </c>
      <c r="AQ46" s="12">
        <v>97.321513999999993</v>
      </c>
      <c r="AR46" s="12">
        <v>118.94587300000001</v>
      </c>
      <c r="AS46" s="12">
        <v>116.281516</v>
      </c>
      <c r="AT46" s="12">
        <v>116.281516</v>
      </c>
      <c r="AU46" s="12">
        <v>117.503052</v>
      </c>
      <c r="AV46" s="12">
        <v>110.347487</v>
      </c>
      <c r="AW46" s="12">
        <v>103.742086</v>
      </c>
      <c r="AX46" s="12">
        <v>104.351658</v>
      </c>
      <c r="AY46" s="12">
        <v>116.587765</v>
      </c>
      <c r="AZ46" s="12">
        <v>108.76791</v>
      </c>
      <c r="BA46" s="12">
        <v>108.27811199999999</v>
      </c>
      <c r="BB46" s="12">
        <v>107.698296</v>
      </c>
      <c r="BC46" s="12">
        <v>107.97337833</v>
      </c>
      <c r="BD46" s="12">
        <v>107.50737599999999</v>
      </c>
      <c r="BE46" s="12">
        <v>108.24495899999999</v>
      </c>
      <c r="BF46" s="12">
        <v>116.576959</v>
      </c>
      <c r="BG46" s="12">
        <v>117.649907</v>
      </c>
      <c r="BH46" s="12">
        <v>117.649907</v>
      </c>
      <c r="BI46" s="12">
        <v>117.649907</v>
      </c>
      <c r="BJ46" s="12">
        <v>105.44717199999999</v>
      </c>
      <c r="BK46" s="12">
        <v>106.156198</v>
      </c>
      <c r="BL46" s="12">
        <v>113.486096</v>
      </c>
      <c r="BM46" s="12">
        <v>113.146502</v>
      </c>
      <c r="BN46" s="12">
        <v>109.559933</v>
      </c>
      <c r="BO46" s="12">
        <v>107.703906</v>
      </c>
      <c r="BP46" s="12">
        <v>114.933915</v>
      </c>
      <c r="BQ46" s="12">
        <v>101.490019</v>
      </c>
      <c r="BR46" s="12">
        <v>101.50514101</v>
      </c>
      <c r="BS46" s="12">
        <v>110.98127100000001</v>
      </c>
      <c r="BT46" s="12">
        <v>107.173422</v>
      </c>
      <c r="BU46" s="12">
        <v>110.46589523</v>
      </c>
      <c r="BV46" s="12">
        <v>116.521263</v>
      </c>
      <c r="BW46" s="12">
        <v>116.596828</v>
      </c>
      <c r="BX46" s="12">
        <v>109.83376699999999</v>
      </c>
      <c r="BY46" s="12">
        <v>109.917298</v>
      </c>
      <c r="BZ46" s="12">
        <v>111.957857</v>
      </c>
      <c r="CA46" s="12">
        <v>114.140491</v>
      </c>
      <c r="CB46" s="12">
        <v>109.402242</v>
      </c>
      <c r="CC46" s="12">
        <v>113.00464100000001</v>
      </c>
      <c r="CD46" s="12">
        <v>112.31406200000001</v>
      </c>
      <c r="CE46" s="12">
        <v>112.705821</v>
      </c>
      <c r="CF46" s="12">
        <v>111.073807</v>
      </c>
      <c r="CG46" s="12">
        <v>116.521263</v>
      </c>
      <c r="CH46" s="12">
        <v>108.78263699999999</v>
      </c>
      <c r="CI46" s="12">
        <v>108.76897200000001</v>
      </c>
      <c r="CJ46" s="12">
        <v>111.620935</v>
      </c>
      <c r="CK46" s="12">
        <v>118.21943400000001</v>
      </c>
      <c r="CL46" s="12">
        <v>119.28537900000001</v>
      </c>
      <c r="CM46" s="12">
        <v>117.29749700000001</v>
      </c>
      <c r="CN46" s="12">
        <v>116.171342</v>
      </c>
      <c r="CO46" s="12">
        <v>117.55320500000001</v>
      </c>
      <c r="CP46" s="12">
        <v>108.017363</v>
      </c>
      <c r="CQ46" s="12">
        <v>108.19497200000001</v>
      </c>
      <c r="CR46" s="12">
        <v>111.85575264000001</v>
      </c>
      <c r="CS46" s="12">
        <v>113.860839</v>
      </c>
      <c r="CT46" s="12">
        <v>106.533945</v>
      </c>
      <c r="CU46" s="12">
        <v>114.34476051999999</v>
      </c>
      <c r="CV46" s="12">
        <v>107.865415</v>
      </c>
      <c r="CW46" s="12">
        <v>107.62413599999999</v>
      </c>
      <c r="CX46" s="12">
        <v>120.92252252</v>
      </c>
      <c r="CY46" s="12">
        <v>105.94094200000001</v>
      </c>
      <c r="CZ46" s="12">
        <v>107.316253</v>
      </c>
      <c r="DA46" s="12">
        <v>107.828463</v>
      </c>
      <c r="DB46" s="12">
        <v>110.104946</v>
      </c>
      <c r="DC46" s="12">
        <v>118.561016</v>
      </c>
      <c r="DD46" s="12">
        <v>118.86082</v>
      </c>
      <c r="DE46" s="12">
        <v>116.596828</v>
      </c>
      <c r="DF46" s="12">
        <v>116.165283</v>
      </c>
      <c r="DG46" s="12">
        <v>109.458896</v>
      </c>
      <c r="DH46" s="12">
        <v>109.917298</v>
      </c>
      <c r="DI46" s="12">
        <v>109.7300415</v>
      </c>
      <c r="DJ46" s="12">
        <v>117.297397</v>
      </c>
      <c r="DK46" s="12">
        <v>119.85698920999999</v>
      </c>
      <c r="DL46" s="12">
        <v>114.84388800000001</v>
      </c>
      <c r="DM46" s="12">
        <v>114.55564800000001</v>
      </c>
      <c r="DN46" s="12">
        <v>107.18047933</v>
      </c>
      <c r="DO46" s="12">
        <v>117.49828599999999</v>
      </c>
      <c r="DP46" s="12">
        <v>116.28439299999999</v>
      </c>
      <c r="DQ46" s="12">
        <v>112.01360200000001</v>
      </c>
      <c r="DR46" s="12">
        <v>97.934174999999996</v>
      </c>
      <c r="DS46" s="12">
        <v>116.181698</v>
      </c>
      <c r="DT46" s="12">
        <v>107.408794</v>
      </c>
      <c r="DU46" s="12">
        <v>107.83961499999999</v>
      </c>
      <c r="DV46" s="12">
        <v>109.183268</v>
      </c>
      <c r="DW46" s="12">
        <v>117.20299900000001</v>
      </c>
      <c r="DX46" s="12">
        <v>117.586733</v>
      </c>
      <c r="DY46" s="12">
        <v>105.857193</v>
      </c>
      <c r="DZ46" s="12">
        <v>102.438886</v>
      </c>
      <c r="EA46" s="12">
        <v>102.438886</v>
      </c>
      <c r="EB46" s="12">
        <v>103.75966366999999</v>
      </c>
      <c r="EC46" s="12">
        <v>111.772212</v>
      </c>
      <c r="ED46" s="12">
        <v>112.05264200000001</v>
      </c>
      <c r="EE46" s="12">
        <v>106.09205799999999</v>
      </c>
      <c r="EF46" s="12">
        <v>106.78282</v>
      </c>
      <c r="EG46" s="12">
        <v>103.88976</v>
      </c>
      <c r="EH46" s="12">
        <v>108.18813299999999</v>
      </c>
      <c r="EI46" s="12">
        <v>130.3673373</v>
      </c>
      <c r="EJ46" s="12">
        <v>119.670779</v>
      </c>
      <c r="EK46" s="12">
        <v>119.670779</v>
      </c>
      <c r="EL46" s="12">
        <v>107.100948</v>
      </c>
      <c r="EM46" s="12">
        <v>116.29453100000001</v>
      </c>
      <c r="EN46" s="12">
        <v>116.72867599999999</v>
      </c>
      <c r="EO46" s="12">
        <v>116.596828</v>
      </c>
      <c r="EP46" s="12">
        <v>108.267504</v>
      </c>
      <c r="EQ46" s="12">
        <v>111.367544</v>
      </c>
      <c r="ER46" s="12">
        <v>117.438368</v>
      </c>
      <c r="ES46" s="12">
        <v>108.36852500000001</v>
      </c>
      <c r="ET46" s="12">
        <v>108.692897</v>
      </c>
      <c r="EU46" s="12">
        <v>111.22185777999999</v>
      </c>
      <c r="EV46" s="12">
        <v>105.724127</v>
      </c>
      <c r="EW46" s="12">
        <v>104.80492</v>
      </c>
      <c r="EX46" s="12">
        <v>106.633945</v>
      </c>
      <c r="EY46" s="12">
        <v>111.049694</v>
      </c>
      <c r="EZ46" s="12">
        <v>107.825669</v>
      </c>
      <c r="FA46" s="12">
        <v>104.68919</v>
      </c>
      <c r="FB46" s="12">
        <v>103.12988799999999</v>
      </c>
      <c r="FC46" s="12">
        <v>107.674818</v>
      </c>
      <c r="FD46" s="12">
        <v>108.080438</v>
      </c>
      <c r="FE46" s="12">
        <v>108.250232</v>
      </c>
      <c r="FF46" s="12">
        <v>123.79229447</v>
      </c>
      <c r="FG46" s="12">
        <v>106.803667</v>
      </c>
      <c r="FH46" s="12">
        <v>117.347922</v>
      </c>
      <c r="FI46" s="12">
        <v>109.71293300000001</v>
      </c>
      <c r="FJ46" s="12">
        <v>144.56830041000001</v>
      </c>
      <c r="FK46" s="12">
        <v>115.40101392</v>
      </c>
      <c r="FL46" s="12">
        <v>121.900341</v>
      </c>
      <c r="FM46" s="12">
        <v>101.726169</v>
      </c>
      <c r="FN46" s="12">
        <v>102.40240300000001</v>
      </c>
      <c r="FO46" s="12">
        <v>106.949304</v>
      </c>
      <c r="FP46" s="12">
        <v>111.633639</v>
      </c>
      <c r="FQ46" s="12">
        <v>111.97151586</v>
      </c>
      <c r="FR46" s="12">
        <v>111.627011</v>
      </c>
      <c r="FS46" s="12">
        <v>111.957857</v>
      </c>
      <c r="FT46" s="12">
        <v>115.721892</v>
      </c>
      <c r="FU46" s="12">
        <v>115.721892</v>
      </c>
      <c r="FV46" s="12">
        <v>111.498306</v>
      </c>
      <c r="FW46" s="12">
        <v>111.498306</v>
      </c>
      <c r="FX46" s="12">
        <v>110.642236</v>
      </c>
      <c r="FY46" s="12">
        <v>114.809388</v>
      </c>
      <c r="FZ46" s="12">
        <v>114.70164200000001</v>
      </c>
      <c r="GA46" s="12">
        <v>110.06604400000001</v>
      </c>
      <c r="GB46" s="12">
        <v>109.788346</v>
      </c>
      <c r="GC46" s="12">
        <v>111.61267481</v>
      </c>
      <c r="GD46" s="12">
        <v>112.329578</v>
      </c>
      <c r="GE46" s="12">
        <v>110.70866700000001</v>
      </c>
      <c r="GF46" s="12">
        <v>116.521263</v>
      </c>
      <c r="GG46" s="12">
        <v>116.521263</v>
      </c>
      <c r="GH46" s="12">
        <v>118.36922800000001</v>
      </c>
      <c r="GI46" s="12">
        <v>105.01526699999999</v>
      </c>
      <c r="GJ46" s="12">
        <v>116.29453100000001</v>
      </c>
      <c r="GK46" s="12">
        <v>116.165283</v>
      </c>
      <c r="GL46" s="12">
        <v>120.74982110000001</v>
      </c>
      <c r="GM46" s="12">
        <v>100.58010899999999</v>
      </c>
      <c r="GN46" s="12">
        <v>120.74982110000001</v>
      </c>
      <c r="GO46" s="12">
        <v>115.721892</v>
      </c>
      <c r="GP46" s="12">
        <v>108.96527399999999</v>
      </c>
      <c r="GQ46" s="12">
        <v>115.917967</v>
      </c>
      <c r="GR46" s="12">
        <v>113.81406</v>
      </c>
      <c r="GS46" s="12">
        <v>106.902647</v>
      </c>
      <c r="GT46" s="12">
        <v>102.074073</v>
      </c>
      <c r="GU46" s="12">
        <v>109.516745</v>
      </c>
      <c r="GV46" s="12">
        <v>107.618678</v>
      </c>
      <c r="GW46" s="12">
        <v>115.631699</v>
      </c>
      <c r="GX46" s="12">
        <v>115.706127</v>
      </c>
      <c r="GY46" s="12">
        <v>116.29508300000001</v>
      </c>
      <c r="GZ46" s="12">
        <v>116.041087</v>
      </c>
      <c r="HA46" s="12">
        <v>109.516745</v>
      </c>
      <c r="HB46" s="12">
        <v>109.36991399999999</v>
      </c>
      <c r="HC46" s="12">
        <v>109.516745</v>
      </c>
      <c r="HD46" s="12">
        <v>115.917967</v>
      </c>
      <c r="HE46" s="12">
        <v>117.251034</v>
      </c>
      <c r="HF46" s="12">
        <v>117.438368</v>
      </c>
      <c r="HG46" s="12">
        <v>117.438368</v>
      </c>
      <c r="HH46" s="12">
        <v>117.438368</v>
      </c>
      <c r="HI46" s="12">
        <v>107.572214</v>
      </c>
      <c r="HJ46" s="12">
        <v>117.37764799999999</v>
      </c>
      <c r="HK46" s="12">
        <v>117.00888500000001</v>
      </c>
      <c r="HL46" s="12">
        <v>112.834632</v>
      </c>
      <c r="HM46" s="12">
        <v>118.73424300000001</v>
      </c>
      <c r="HN46" s="12">
        <v>114.664297</v>
      </c>
      <c r="HO46" s="12">
        <v>98.656514419999993</v>
      </c>
      <c r="HP46" s="12">
        <v>117.534254</v>
      </c>
      <c r="HQ46" s="12">
        <v>109.75434250000001</v>
      </c>
      <c r="HR46" s="12">
        <v>110.068005</v>
      </c>
      <c r="HS46" s="12">
        <v>107.040756</v>
      </c>
      <c r="HT46" s="12">
        <v>107.23253099999999</v>
      </c>
      <c r="HU46" s="12">
        <v>103.0945797</v>
      </c>
      <c r="HV46" s="12">
        <v>100.0118075</v>
      </c>
      <c r="HW46" s="12">
        <v>100.49141299999999</v>
      </c>
      <c r="HX46" s="12">
        <v>108.92039557</v>
      </c>
      <c r="HY46" s="12">
        <v>109.99004499999999</v>
      </c>
      <c r="HZ46" s="12">
        <v>119.912142</v>
      </c>
      <c r="IA46" s="12"/>
      <c r="IB46" s="12"/>
      <c r="IC46" s="12"/>
      <c r="ID46" s="12"/>
      <c r="IE46" s="12"/>
      <c r="IF46" s="12"/>
      <c r="IG46" s="12"/>
      <c r="IH46" s="12"/>
      <c r="II46" s="12"/>
      <c r="IJ46" s="12"/>
      <c r="IK46" s="12"/>
    </row>
    <row r="47" spans="1:245" x14ac:dyDescent="0.25">
      <c r="A47" s="11">
        <v>46049.958333333336</v>
      </c>
      <c r="B47" s="12">
        <v>116.48954414000001</v>
      </c>
      <c r="C47" s="12">
        <v>106.633698</v>
      </c>
      <c r="D47" s="12">
        <v>107.264084</v>
      </c>
      <c r="E47" s="12">
        <v>107.11735</v>
      </c>
      <c r="F47" s="12">
        <v>107.009377</v>
      </c>
      <c r="G47" s="12">
        <v>109.01266800000001</v>
      </c>
      <c r="H47" s="12">
        <v>118.146899</v>
      </c>
      <c r="I47" s="12">
        <v>117.693314</v>
      </c>
      <c r="J47" s="12">
        <v>118.500298</v>
      </c>
      <c r="K47" s="12">
        <v>108.71133</v>
      </c>
      <c r="L47" s="12">
        <v>108.99397999999999</v>
      </c>
      <c r="M47" s="12">
        <v>114.40713</v>
      </c>
      <c r="N47" s="12">
        <v>112.45043800000001</v>
      </c>
      <c r="O47" s="12">
        <v>116.54091</v>
      </c>
      <c r="P47" s="12">
        <v>108.82189115</v>
      </c>
      <c r="Q47" s="12">
        <v>118.430666</v>
      </c>
      <c r="R47" s="12">
        <v>111.823212</v>
      </c>
      <c r="S47" s="12">
        <v>115.290245</v>
      </c>
      <c r="T47" s="12">
        <v>98.475525500000003</v>
      </c>
      <c r="U47" s="12">
        <v>99.327639000000005</v>
      </c>
      <c r="V47" s="12">
        <v>113.77937300000001</v>
      </c>
      <c r="W47" s="12">
        <v>110.094433</v>
      </c>
      <c r="X47" s="12">
        <v>105.858118</v>
      </c>
      <c r="Y47" s="12">
        <v>108.145696</v>
      </c>
      <c r="Z47" s="12">
        <v>118.04005100000001</v>
      </c>
      <c r="AA47" s="12">
        <v>105.76108000000001</v>
      </c>
      <c r="AB47" s="12">
        <v>109.64124200000001</v>
      </c>
      <c r="AC47" s="12">
        <v>110.396714</v>
      </c>
      <c r="AD47" s="12">
        <v>109.76447</v>
      </c>
      <c r="AE47" s="12">
        <v>103.61448900000001</v>
      </c>
      <c r="AF47" s="12">
        <v>112.5422755</v>
      </c>
      <c r="AG47" s="12">
        <v>114.32616439</v>
      </c>
      <c r="AH47" s="12">
        <v>113.48937599999999</v>
      </c>
      <c r="AI47" s="12">
        <v>113.53711</v>
      </c>
      <c r="AJ47" s="12">
        <v>101.817986</v>
      </c>
      <c r="AK47" s="12">
        <v>114.04285299999999</v>
      </c>
      <c r="AL47" s="12">
        <v>105.6669</v>
      </c>
      <c r="AM47" s="12">
        <v>106.15060200000001</v>
      </c>
      <c r="AN47" s="12">
        <v>117.351073</v>
      </c>
      <c r="AO47" s="12">
        <v>104.741433</v>
      </c>
      <c r="AP47" s="12">
        <v>97.070195999999996</v>
      </c>
      <c r="AQ47" s="12">
        <v>97.517381999999998</v>
      </c>
      <c r="AR47" s="12">
        <v>119.357195</v>
      </c>
      <c r="AS47" s="12">
        <v>116.55595700000001</v>
      </c>
      <c r="AT47" s="12">
        <v>116.55595700000001</v>
      </c>
      <c r="AU47" s="12">
        <v>117.79819500000001</v>
      </c>
      <c r="AV47" s="12">
        <v>110.74143599999999</v>
      </c>
      <c r="AW47" s="12">
        <v>103.926247</v>
      </c>
      <c r="AX47" s="12">
        <v>104.54696300000001</v>
      </c>
      <c r="AY47" s="12">
        <v>116.830709</v>
      </c>
      <c r="AZ47" s="12">
        <v>109.223249</v>
      </c>
      <c r="BA47" s="12">
        <v>108.705574</v>
      </c>
      <c r="BB47" s="12">
        <v>108.12315099999999</v>
      </c>
      <c r="BC47" s="12">
        <v>108.417233</v>
      </c>
      <c r="BD47" s="12">
        <v>107.88022599999999</v>
      </c>
      <c r="BE47" s="12">
        <v>108.673756</v>
      </c>
      <c r="BF47" s="12">
        <v>116.915738</v>
      </c>
      <c r="BG47" s="12">
        <v>117.93001</v>
      </c>
      <c r="BH47" s="12">
        <v>117.93001</v>
      </c>
      <c r="BI47" s="12">
        <v>117.93001</v>
      </c>
      <c r="BJ47" s="12">
        <v>105.97463999999999</v>
      </c>
      <c r="BK47" s="12">
        <v>106.693656</v>
      </c>
      <c r="BL47" s="12">
        <v>114.107377</v>
      </c>
      <c r="BM47" s="12">
        <v>113.667766</v>
      </c>
      <c r="BN47" s="12">
        <v>110.265021</v>
      </c>
      <c r="BO47" s="12">
        <v>108.432894</v>
      </c>
      <c r="BP47" s="12">
        <v>115.14918900000001</v>
      </c>
      <c r="BQ47" s="12">
        <v>101.79870200000001</v>
      </c>
      <c r="BR47" s="12">
        <v>101.81387001</v>
      </c>
      <c r="BS47" s="12">
        <v>111.44944</v>
      </c>
      <c r="BT47" s="12">
        <v>107.28614949999999</v>
      </c>
      <c r="BU47" s="12">
        <v>111.41631221</v>
      </c>
      <c r="BV47" s="12">
        <v>116.77185299999999</v>
      </c>
      <c r="BW47" s="12">
        <v>117.088885</v>
      </c>
      <c r="BX47" s="12">
        <v>110.862995</v>
      </c>
      <c r="BY47" s="12">
        <v>110.862995</v>
      </c>
      <c r="BZ47" s="12">
        <v>111.528435</v>
      </c>
      <c r="CA47" s="12">
        <v>114.280383</v>
      </c>
      <c r="CB47" s="12">
        <v>110.06276200000001</v>
      </c>
      <c r="CC47" s="12">
        <v>113.024294</v>
      </c>
      <c r="CD47" s="12">
        <v>112.394189</v>
      </c>
      <c r="CE47" s="12">
        <v>113.015491</v>
      </c>
      <c r="CF47" s="12">
        <v>112.010952</v>
      </c>
      <c r="CG47" s="12">
        <v>116.77185299999999</v>
      </c>
      <c r="CH47" s="12">
        <v>109.23803700000001</v>
      </c>
      <c r="CI47" s="12">
        <v>109.224315</v>
      </c>
      <c r="CJ47" s="12">
        <v>112.266268</v>
      </c>
      <c r="CK47" s="12">
        <v>118.145167</v>
      </c>
      <c r="CL47" s="12">
        <v>119.228594</v>
      </c>
      <c r="CM47" s="12">
        <v>117.54122099999999</v>
      </c>
      <c r="CN47" s="12">
        <v>116.46222899999999</v>
      </c>
      <c r="CO47" s="12">
        <v>117.82293300000001</v>
      </c>
      <c r="CP47" s="12">
        <v>108.279129</v>
      </c>
      <c r="CQ47" s="12">
        <v>108.339887</v>
      </c>
      <c r="CR47" s="12">
        <v>111.96634797</v>
      </c>
      <c r="CS47" s="12">
        <v>114.11134300000001</v>
      </c>
      <c r="CT47" s="12">
        <v>107.241165</v>
      </c>
      <c r="CU47" s="12">
        <v>115.09512162999999</v>
      </c>
      <c r="CV47" s="12">
        <v>107.730225</v>
      </c>
      <c r="CW47" s="12">
        <v>108.66171799999999</v>
      </c>
      <c r="CX47" s="12">
        <v>121.32959114000001</v>
      </c>
      <c r="CY47" s="12">
        <v>106.691497</v>
      </c>
      <c r="CZ47" s="12">
        <v>107.691703</v>
      </c>
      <c r="DA47" s="12">
        <v>108.225542</v>
      </c>
      <c r="DB47" s="12">
        <v>110.874493</v>
      </c>
      <c r="DC47" s="12">
        <v>119.00656499999999</v>
      </c>
      <c r="DD47" s="12">
        <v>119.315963</v>
      </c>
      <c r="DE47" s="12">
        <v>117.088885</v>
      </c>
      <c r="DF47" s="12">
        <v>116.668092</v>
      </c>
      <c r="DG47" s="12">
        <v>110.220799</v>
      </c>
      <c r="DH47" s="12">
        <v>110.862995</v>
      </c>
      <c r="DI47" s="12">
        <v>110.18693450000001</v>
      </c>
      <c r="DJ47" s="12">
        <v>117.763829</v>
      </c>
      <c r="DK47" s="12">
        <v>120.00388742</v>
      </c>
      <c r="DL47" s="12">
        <v>115.09848100000001</v>
      </c>
      <c r="DM47" s="12">
        <v>114.904321</v>
      </c>
      <c r="DN47" s="12">
        <v>107.52582633</v>
      </c>
      <c r="DO47" s="12">
        <v>117.745266</v>
      </c>
      <c r="DP47" s="12">
        <v>116.598007</v>
      </c>
      <c r="DQ47" s="12">
        <v>112.25727500000001</v>
      </c>
      <c r="DR47" s="12">
        <v>98.215374999999995</v>
      </c>
      <c r="DS47" s="12">
        <v>116.505945</v>
      </c>
      <c r="DT47" s="12">
        <v>107.834037</v>
      </c>
      <c r="DU47" s="12">
        <v>108.265958</v>
      </c>
      <c r="DV47" s="12">
        <v>109.493745</v>
      </c>
      <c r="DW47" s="12">
        <v>117.65577</v>
      </c>
      <c r="DX47" s="12">
        <v>118.023138</v>
      </c>
      <c r="DY47" s="12">
        <v>106.066486</v>
      </c>
      <c r="DZ47" s="12">
        <v>102.86268699999999</v>
      </c>
      <c r="EA47" s="12">
        <v>102.86268699999999</v>
      </c>
      <c r="EB47" s="12">
        <v>103.87939362</v>
      </c>
      <c r="EC47" s="12">
        <v>112.500259</v>
      </c>
      <c r="ED47" s="12">
        <v>112.775368</v>
      </c>
      <c r="EE47" s="12">
        <v>106.511539</v>
      </c>
      <c r="EF47" s="12">
        <v>107.217097</v>
      </c>
      <c r="EG47" s="12">
        <v>103.73787</v>
      </c>
      <c r="EH47" s="12">
        <v>108.446591</v>
      </c>
      <c r="EI47" s="12">
        <v>130.80620056000001</v>
      </c>
      <c r="EJ47" s="12">
        <v>120.068693</v>
      </c>
      <c r="EK47" s="12">
        <v>120.068693</v>
      </c>
      <c r="EL47" s="12">
        <v>107.762501</v>
      </c>
      <c r="EM47" s="12">
        <v>116.795351</v>
      </c>
      <c r="EN47" s="12">
        <v>117.21416499999999</v>
      </c>
      <c r="EO47" s="12">
        <v>117.088885</v>
      </c>
      <c r="EP47" s="12">
        <v>108.589119</v>
      </c>
      <c r="EQ47" s="12">
        <v>112.118646</v>
      </c>
      <c r="ER47" s="12">
        <v>117.686964</v>
      </c>
      <c r="ES47" s="12">
        <v>108.82267299999999</v>
      </c>
      <c r="ET47" s="12">
        <v>109.148011</v>
      </c>
      <c r="EU47" s="12">
        <v>111.61496914999999</v>
      </c>
      <c r="EV47" s="12">
        <v>106.149614</v>
      </c>
      <c r="EW47" s="12">
        <v>105.23906599999999</v>
      </c>
      <c r="EX47" s="12">
        <v>107.10785199999999</v>
      </c>
      <c r="EY47" s="12">
        <v>111.778432</v>
      </c>
      <c r="EZ47" s="12">
        <v>108.174064</v>
      </c>
      <c r="FA47" s="12">
        <v>104.85721599999999</v>
      </c>
      <c r="FB47" s="12">
        <v>103.35141299999999</v>
      </c>
      <c r="FC47" s="12">
        <v>107.988837</v>
      </c>
      <c r="FD47" s="12">
        <v>108.357282</v>
      </c>
      <c r="FE47" s="12">
        <v>108.511538</v>
      </c>
      <c r="FF47" s="12">
        <v>123.80907156000001</v>
      </c>
      <c r="FG47" s="12">
        <v>106.641778</v>
      </c>
      <c r="FH47" s="12">
        <v>117.626867</v>
      </c>
      <c r="FI47" s="12">
        <v>110.13888300000001</v>
      </c>
      <c r="FJ47" s="12">
        <v>145.18619172999999</v>
      </c>
      <c r="FK47" s="12">
        <v>115.97293504</v>
      </c>
      <c r="FL47" s="12">
        <v>121.864053</v>
      </c>
      <c r="FM47" s="12">
        <v>101.9839475</v>
      </c>
      <c r="FN47" s="12">
        <v>102.673776</v>
      </c>
      <c r="FO47" s="12">
        <v>107.420236</v>
      </c>
      <c r="FP47" s="12">
        <v>112.27634399999999</v>
      </c>
      <c r="FQ47" s="12">
        <v>111.54204147</v>
      </c>
      <c r="FR47" s="12">
        <v>111.213645</v>
      </c>
      <c r="FS47" s="12">
        <v>111.528435</v>
      </c>
      <c r="FT47" s="12">
        <v>116.249297</v>
      </c>
      <c r="FU47" s="12">
        <v>116.249297</v>
      </c>
      <c r="FV47" s="12">
        <v>110.90329199999999</v>
      </c>
      <c r="FW47" s="12">
        <v>110.90329199999999</v>
      </c>
      <c r="FX47" s="12">
        <v>110.096194</v>
      </c>
      <c r="FY47" s="12">
        <v>115.181128</v>
      </c>
      <c r="FZ47" s="12">
        <v>115.07928</v>
      </c>
      <c r="GA47" s="12">
        <v>110.95859900000001</v>
      </c>
      <c r="GB47" s="12">
        <v>110.71654700000001</v>
      </c>
      <c r="GC47" s="12">
        <v>111.87573863999999</v>
      </c>
      <c r="GD47" s="12">
        <v>112.41123</v>
      </c>
      <c r="GE47" s="12">
        <v>110.94421199999999</v>
      </c>
      <c r="GF47" s="12">
        <v>116.77185299999999</v>
      </c>
      <c r="GG47" s="12">
        <v>116.77185299999999</v>
      </c>
      <c r="GH47" s="12">
        <v>118.79126100000001</v>
      </c>
      <c r="GI47" s="12">
        <v>105.72430333</v>
      </c>
      <c r="GJ47" s="12">
        <v>116.795351</v>
      </c>
      <c r="GK47" s="12">
        <v>116.668092</v>
      </c>
      <c r="GL47" s="12">
        <v>121.15630835</v>
      </c>
      <c r="GM47" s="12">
        <v>100.629183</v>
      </c>
      <c r="GN47" s="12">
        <v>121.15630835</v>
      </c>
      <c r="GO47" s="12">
        <v>116.249297</v>
      </c>
      <c r="GP47" s="12">
        <v>109.37622</v>
      </c>
      <c r="GQ47" s="12">
        <v>116.45003699999999</v>
      </c>
      <c r="GR47" s="12">
        <v>114.46771200000001</v>
      </c>
      <c r="GS47" s="12">
        <v>107.441773</v>
      </c>
      <c r="GT47" s="12">
        <v>102.317813</v>
      </c>
      <c r="GU47" s="12">
        <v>110.050506</v>
      </c>
      <c r="GV47" s="12">
        <v>107.91911899999999</v>
      </c>
      <c r="GW47" s="12">
        <v>116.12591399999999</v>
      </c>
      <c r="GX47" s="12">
        <v>116.082272</v>
      </c>
      <c r="GY47" s="12">
        <v>116.783101</v>
      </c>
      <c r="GZ47" s="12">
        <v>116.541248</v>
      </c>
      <c r="HA47" s="12">
        <v>110.050506</v>
      </c>
      <c r="HB47" s="12">
        <v>110.050506</v>
      </c>
      <c r="HC47" s="12">
        <v>110.050506</v>
      </c>
      <c r="HD47" s="12">
        <v>116.45003699999999</v>
      </c>
      <c r="HE47" s="12">
        <v>117.49617000000001</v>
      </c>
      <c r="HF47" s="12">
        <v>117.686964</v>
      </c>
      <c r="HG47" s="12">
        <v>117.686964</v>
      </c>
      <c r="HH47" s="12">
        <v>117.686964</v>
      </c>
      <c r="HI47" s="12">
        <v>107.391226</v>
      </c>
      <c r="HJ47" s="12">
        <v>117.847145</v>
      </c>
      <c r="HK47" s="12">
        <v>117.47505700000001</v>
      </c>
      <c r="HL47" s="12">
        <v>112.28372299999999</v>
      </c>
      <c r="HM47" s="12">
        <v>119.15207100000001</v>
      </c>
      <c r="HN47" s="12">
        <v>115.058548</v>
      </c>
      <c r="HO47" s="12">
        <v>98.704649880000005</v>
      </c>
      <c r="HP47" s="12">
        <v>117.800749</v>
      </c>
      <c r="HQ47" s="12">
        <v>110.146935</v>
      </c>
      <c r="HR47" s="12">
        <v>110.46243</v>
      </c>
      <c r="HS47" s="12">
        <v>107.16400299999999</v>
      </c>
      <c r="HT47" s="12">
        <v>107.784243</v>
      </c>
      <c r="HU47" s="12">
        <v>103.34441597</v>
      </c>
      <c r="HV47" s="12">
        <v>100.15864449999999</v>
      </c>
      <c r="HW47" s="12">
        <v>100.665182</v>
      </c>
      <c r="HX47" s="12">
        <v>109.13021921000001</v>
      </c>
      <c r="HY47" s="12">
        <v>110.417334</v>
      </c>
      <c r="HZ47" s="12">
        <v>120.08566500000001</v>
      </c>
      <c r="IA47" s="12"/>
      <c r="IB47" s="12"/>
      <c r="IC47" s="12"/>
      <c r="ID47" s="12"/>
      <c r="IE47" s="12"/>
      <c r="IF47" s="12"/>
      <c r="IG47" s="12"/>
      <c r="IH47" s="12"/>
      <c r="II47" s="12"/>
      <c r="IJ47" s="12"/>
      <c r="IK47" s="12"/>
    </row>
    <row r="48" spans="1:245" x14ac:dyDescent="0.25">
      <c r="A48" s="11">
        <v>46049.979166666664</v>
      </c>
      <c r="B48" s="12">
        <v>90.908494910000002</v>
      </c>
      <c r="C48" s="12">
        <v>82.863280000000003</v>
      </c>
      <c r="D48" s="12">
        <v>83.341032999999996</v>
      </c>
      <c r="E48" s="12">
        <v>83.232386000000005</v>
      </c>
      <c r="F48" s="12">
        <v>83.158980999999997</v>
      </c>
      <c r="G48" s="12">
        <v>85.572997000000001</v>
      </c>
      <c r="H48" s="12">
        <v>92.380449999999996</v>
      </c>
      <c r="I48" s="12">
        <v>92.002934999999994</v>
      </c>
      <c r="J48" s="12">
        <v>92.660065000000003</v>
      </c>
      <c r="K48" s="12">
        <v>85.388937999999996</v>
      </c>
      <c r="L48" s="12">
        <v>84.613133000000005</v>
      </c>
      <c r="M48" s="12">
        <v>89.342804999999998</v>
      </c>
      <c r="N48" s="12">
        <v>87.794251000000003</v>
      </c>
      <c r="O48" s="12">
        <v>90.690321999999995</v>
      </c>
      <c r="P48" s="12">
        <v>84.89068632</v>
      </c>
      <c r="Q48" s="12">
        <v>92.576122999999995</v>
      </c>
      <c r="R48" s="12">
        <v>87.070763999999997</v>
      </c>
      <c r="S48" s="12">
        <v>89.787541000000004</v>
      </c>
      <c r="T48" s="12">
        <v>77.029249500000006</v>
      </c>
      <c r="U48" s="12">
        <v>77.688090000000003</v>
      </c>
      <c r="V48" s="12">
        <v>88.697486999999995</v>
      </c>
      <c r="W48" s="12">
        <v>86.220591999999996</v>
      </c>
      <c r="X48" s="12">
        <v>82.883818000000005</v>
      </c>
      <c r="Y48" s="12">
        <v>84.673209</v>
      </c>
      <c r="Z48" s="12">
        <v>92.248149999999995</v>
      </c>
      <c r="AA48" s="12">
        <v>82.613472999999999</v>
      </c>
      <c r="AB48" s="12">
        <v>86.023214999999993</v>
      </c>
      <c r="AC48" s="12">
        <v>86.427959999999999</v>
      </c>
      <c r="AD48" s="12">
        <v>85.968892999999994</v>
      </c>
      <c r="AE48" s="12">
        <v>81.014803999999998</v>
      </c>
      <c r="AF48" s="12">
        <v>87.692419749999999</v>
      </c>
      <c r="AG48" s="12">
        <v>89.079739480000001</v>
      </c>
      <c r="AH48" s="12">
        <v>88.398121000000003</v>
      </c>
      <c r="AI48" s="12">
        <v>88.463329000000002</v>
      </c>
      <c r="AJ48" s="12">
        <v>79.646146999999999</v>
      </c>
      <c r="AK48" s="12">
        <v>88.900582999999997</v>
      </c>
      <c r="AL48" s="12">
        <v>82.396135330000007</v>
      </c>
      <c r="AM48" s="12">
        <v>82.837907000000001</v>
      </c>
      <c r="AN48" s="12">
        <v>91.724619000000004</v>
      </c>
      <c r="AO48" s="12">
        <v>81.961894000000001</v>
      </c>
      <c r="AP48" s="12">
        <v>75.846777000000003</v>
      </c>
      <c r="AQ48" s="12">
        <v>76.196545</v>
      </c>
      <c r="AR48" s="12">
        <v>93.285762000000005</v>
      </c>
      <c r="AS48" s="12">
        <v>90.962121999999994</v>
      </c>
      <c r="AT48" s="12">
        <v>90.962121999999994</v>
      </c>
      <c r="AU48" s="12">
        <v>91.947641000000004</v>
      </c>
      <c r="AV48" s="12">
        <v>86.665395000000004</v>
      </c>
      <c r="AW48" s="12">
        <v>81.232446499999995</v>
      </c>
      <c r="AX48" s="12">
        <v>81.717642999999995</v>
      </c>
      <c r="AY48" s="12">
        <v>91.098296000000005</v>
      </c>
      <c r="AZ48" s="12">
        <v>85.678749999999994</v>
      </c>
      <c r="BA48" s="12">
        <v>85.343408999999994</v>
      </c>
      <c r="BB48" s="12">
        <v>84.979249999999993</v>
      </c>
      <c r="BC48" s="12">
        <v>85.244369329999998</v>
      </c>
      <c r="BD48" s="12">
        <v>84.799459999999996</v>
      </c>
      <c r="BE48" s="12">
        <v>85.330325000000002</v>
      </c>
      <c r="BF48" s="12">
        <v>91.307839999999999</v>
      </c>
      <c r="BG48" s="12">
        <v>92.037335999999996</v>
      </c>
      <c r="BH48" s="12">
        <v>92.037335999999996</v>
      </c>
      <c r="BI48" s="12">
        <v>92.037335999999996</v>
      </c>
      <c r="BJ48" s="12">
        <v>82.929145000000005</v>
      </c>
      <c r="BK48" s="12">
        <v>83.491662000000005</v>
      </c>
      <c r="BL48" s="12">
        <v>89.106650999999999</v>
      </c>
      <c r="BM48" s="12">
        <v>88.791392000000002</v>
      </c>
      <c r="BN48" s="12">
        <v>86.449708000000001</v>
      </c>
      <c r="BO48" s="12">
        <v>84.851355999999996</v>
      </c>
      <c r="BP48" s="12">
        <v>89.754594999999995</v>
      </c>
      <c r="BQ48" s="12">
        <v>79.621336999999997</v>
      </c>
      <c r="BR48" s="12">
        <v>79.633200579999993</v>
      </c>
      <c r="BS48" s="12">
        <v>87.011550999999997</v>
      </c>
      <c r="BT48" s="12">
        <v>83.816884999999999</v>
      </c>
      <c r="BU48" s="12">
        <v>87.335269609999997</v>
      </c>
      <c r="BV48" s="12">
        <v>91.063488000000007</v>
      </c>
      <c r="BW48" s="12">
        <v>91.545421000000005</v>
      </c>
      <c r="BX48" s="12">
        <v>86.901544000000001</v>
      </c>
      <c r="BY48" s="12">
        <v>86.901544000000001</v>
      </c>
      <c r="BZ48" s="12">
        <v>86.396240000000006</v>
      </c>
      <c r="CA48" s="12">
        <v>88.654855999999995</v>
      </c>
      <c r="CB48" s="12">
        <v>86.324746000000005</v>
      </c>
      <c r="CC48" s="12">
        <v>87.920828</v>
      </c>
      <c r="CD48" s="12">
        <v>87.478547000000006</v>
      </c>
      <c r="CE48" s="12">
        <v>87.750862999999995</v>
      </c>
      <c r="CF48" s="12">
        <v>87.843788000000004</v>
      </c>
      <c r="CG48" s="12">
        <v>91.063488000000007</v>
      </c>
      <c r="CH48" s="12">
        <v>85.691299000000001</v>
      </c>
      <c r="CI48" s="12">
        <v>85.679654999999997</v>
      </c>
      <c r="CJ48" s="12">
        <v>87.911670000000001</v>
      </c>
      <c r="CK48" s="12">
        <v>91.846487999999994</v>
      </c>
      <c r="CL48" s="12">
        <v>92.691360000000003</v>
      </c>
      <c r="CM48" s="12">
        <v>91.784901000000005</v>
      </c>
      <c r="CN48" s="12">
        <v>90.880419000000003</v>
      </c>
      <c r="CO48" s="12">
        <v>91.889427999999995</v>
      </c>
      <c r="CP48" s="12">
        <v>84.635007999999999</v>
      </c>
      <c r="CQ48" s="12">
        <v>84.618589999999998</v>
      </c>
      <c r="CR48" s="12">
        <v>87.410966040000005</v>
      </c>
      <c r="CS48" s="12">
        <v>89.135881999999995</v>
      </c>
      <c r="CT48" s="12">
        <v>83.832099999999997</v>
      </c>
      <c r="CU48" s="12">
        <v>90.053479030000005</v>
      </c>
      <c r="CV48" s="12">
        <v>83.781701999999996</v>
      </c>
      <c r="CW48" s="12">
        <v>85.007463000000001</v>
      </c>
      <c r="CX48" s="12">
        <v>94.818921439999997</v>
      </c>
      <c r="CY48" s="12">
        <v>83.323263999999995</v>
      </c>
      <c r="CZ48" s="12">
        <v>84.305711669999994</v>
      </c>
      <c r="DA48" s="12">
        <v>84.725774000000001</v>
      </c>
      <c r="DB48" s="12">
        <v>86.937472999999997</v>
      </c>
      <c r="DC48" s="12">
        <v>93.046131000000003</v>
      </c>
      <c r="DD48" s="12">
        <v>93.289507</v>
      </c>
      <c r="DE48" s="12">
        <v>91.545421000000005</v>
      </c>
      <c r="DF48" s="12">
        <v>91.218239999999994</v>
      </c>
      <c r="DG48" s="12">
        <v>86.378922000000003</v>
      </c>
      <c r="DH48" s="12">
        <v>86.901544000000001</v>
      </c>
      <c r="DI48" s="12">
        <v>86.343206500000008</v>
      </c>
      <c r="DJ48" s="12">
        <v>92.074695000000006</v>
      </c>
      <c r="DK48" s="12">
        <v>93.094957149999999</v>
      </c>
      <c r="DL48" s="12">
        <v>89.872957999999997</v>
      </c>
      <c r="DM48" s="12">
        <v>89.717635999999999</v>
      </c>
      <c r="DN48" s="12">
        <v>84.554666999999995</v>
      </c>
      <c r="DO48" s="12">
        <v>91.889240999999998</v>
      </c>
      <c r="DP48" s="12">
        <v>90.999499</v>
      </c>
      <c r="DQ48" s="12">
        <v>87.546062000000006</v>
      </c>
      <c r="DR48" s="12">
        <v>76.826457000000005</v>
      </c>
      <c r="DS48" s="12">
        <v>90.930013000000002</v>
      </c>
      <c r="DT48" s="12">
        <v>84.662036999999998</v>
      </c>
      <c r="DU48" s="12">
        <v>84.999713999999997</v>
      </c>
      <c r="DV48" s="12">
        <v>85.631379999999993</v>
      </c>
      <c r="DW48" s="12">
        <v>91.991996</v>
      </c>
      <c r="DX48" s="12">
        <v>92.280134000000004</v>
      </c>
      <c r="DY48" s="12">
        <v>82.641045000000005</v>
      </c>
      <c r="DZ48" s="12">
        <v>80.491304999999997</v>
      </c>
      <c r="EA48" s="12">
        <v>80.491304999999997</v>
      </c>
      <c r="EB48" s="12">
        <v>81.078331489999997</v>
      </c>
      <c r="EC48" s="12">
        <v>88.170857999999996</v>
      </c>
      <c r="ED48" s="12">
        <v>88.395391000000004</v>
      </c>
      <c r="EE48" s="12">
        <v>83.388170000000002</v>
      </c>
      <c r="EF48" s="12">
        <v>83.943000999999995</v>
      </c>
      <c r="EG48" s="12">
        <v>80.512975999999995</v>
      </c>
      <c r="EH48" s="12">
        <v>84.750103999999993</v>
      </c>
      <c r="EI48" s="12">
        <v>102.22487967000001</v>
      </c>
      <c r="EJ48" s="12">
        <v>93.853586000000007</v>
      </c>
      <c r="EK48" s="12">
        <v>93.853586000000007</v>
      </c>
      <c r="EL48" s="12">
        <v>84.194980000000001</v>
      </c>
      <c r="EM48" s="12">
        <v>91.320491000000004</v>
      </c>
      <c r="EN48" s="12">
        <v>91.641054999999994</v>
      </c>
      <c r="EO48" s="12">
        <v>91.545421000000005</v>
      </c>
      <c r="EP48" s="12">
        <v>84.964038000000002</v>
      </c>
      <c r="EQ48" s="12">
        <v>87.925093000000004</v>
      </c>
      <c r="ER48" s="12">
        <v>91.834046999999998</v>
      </c>
      <c r="ES48" s="12">
        <v>85.363550000000004</v>
      </c>
      <c r="ET48" s="12">
        <v>85.619547999999995</v>
      </c>
      <c r="EU48" s="12">
        <v>87.345289739999998</v>
      </c>
      <c r="EV48" s="12">
        <v>83.045731000000004</v>
      </c>
      <c r="EW48" s="12">
        <v>82.350363000000002</v>
      </c>
      <c r="EX48" s="12">
        <v>83.813254999999998</v>
      </c>
      <c r="EY48" s="12">
        <v>87.458412999999993</v>
      </c>
      <c r="EZ48" s="12">
        <v>84.466587000000004</v>
      </c>
      <c r="FA48" s="12">
        <v>81.937781999999999</v>
      </c>
      <c r="FB48" s="12">
        <v>80.759687</v>
      </c>
      <c r="FC48" s="12">
        <v>84.387047999999993</v>
      </c>
      <c r="FD48" s="12">
        <v>84.669813000000005</v>
      </c>
      <c r="FE48" s="12">
        <v>84.788201999999998</v>
      </c>
      <c r="FF48" s="12">
        <v>96.628778789999998</v>
      </c>
      <c r="FG48" s="12">
        <v>82.899673000000007</v>
      </c>
      <c r="FH48" s="12">
        <v>91.788095999999996</v>
      </c>
      <c r="FI48" s="12">
        <v>86.303604000000007</v>
      </c>
      <c r="FJ48" s="12">
        <v>113.30484647</v>
      </c>
      <c r="FK48" s="12">
        <v>90.542755959999994</v>
      </c>
      <c r="FL48" s="12">
        <v>95.114093999999994</v>
      </c>
      <c r="FM48" s="12">
        <v>80.184723000000005</v>
      </c>
      <c r="FN48" s="12">
        <v>80.724620000000002</v>
      </c>
      <c r="FO48" s="12">
        <v>84.070181000000005</v>
      </c>
      <c r="FP48" s="12">
        <v>87.917372999999998</v>
      </c>
      <c r="FQ48" s="12">
        <v>86.406780339999997</v>
      </c>
      <c r="FR48" s="12">
        <v>86.170513999999997</v>
      </c>
      <c r="FS48" s="12">
        <v>86.396240000000006</v>
      </c>
      <c r="FT48" s="12">
        <v>90.90155</v>
      </c>
      <c r="FU48" s="12">
        <v>90.90155</v>
      </c>
      <c r="FV48" s="12">
        <v>85.563678999999993</v>
      </c>
      <c r="FW48" s="12">
        <v>85.563678999999993</v>
      </c>
      <c r="FX48" s="12">
        <v>84.993424000000005</v>
      </c>
      <c r="FY48" s="12">
        <v>89.966713999999996</v>
      </c>
      <c r="FZ48" s="12">
        <v>89.886066</v>
      </c>
      <c r="GA48" s="12">
        <v>87.148196999999996</v>
      </c>
      <c r="GB48" s="12">
        <v>87.046892999999997</v>
      </c>
      <c r="GC48" s="12">
        <v>87.411147220000004</v>
      </c>
      <c r="GD48" s="12">
        <v>87.494474999999994</v>
      </c>
      <c r="GE48" s="12">
        <v>86.554841999999994</v>
      </c>
      <c r="GF48" s="12">
        <v>91.063488000000007</v>
      </c>
      <c r="GG48" s="12">
        <v>91.063488000000007</v>
      </c>
      <c r="GH48" s="12">
        <v>92.834076999999994</v>
      </c>
      <c r="GI48" s="12">
        <v>82.584626</v>
      </c>
      <c r="GJ48" s="12">
        <v>91.320491000000004</v>
      </c>
      <c r="GK48" s="12">
        <v>91.218239999999994</v>
      </c>
      <c r="GL48" s="12">
        <v>94.683501160000006</v>
      </c>
      <c r="GM48" s="12">
        <v>78.328781000000006</v>
      </c>
      <c r="GN48" s="12">
        <v>94.683501160000006</v>
      </c>
      <c r="GO48" s="12">
        <v>90.90155</v>
      </c>
      <c r="GP48" s="12">
        <v>85.795558999999997</v>
      </c>
      <c r="GQ48" s="12">
        <v>91.057254</v>
      </c>
      <c r="GR48" s="12">
        <v>89.742075999999997</v>
      </c>
      <c r="GS48" s="12">
        <v>84.077049000000002</v>
      </c>
      <c r="GT48" s="12">
        <v>79.965532999999994</v>
      </c>
      <c r="GU48" s="12">
        <v>86.228121000000002</v>
      </c>
      <c r="GV48" s="12">
        <v>84.134759000000003</v>
      </c>
      <c r="GW48" s="12">
        <v>90.625896999999995</v>
      </c>
      <c r="GX48" s="12">
        <v>90.697002999999995</v>
      </c>
      <c r="GY48" s="12">
        <v>91.286871000000005</v>
      </c>
      <c r="GZ48" s="12">
        <v>91.107303999999999</v>
      </c>
      <c r="HA48" s="12">
        <v>86.228121000000002</v>
      </c>
      <c r="HB48" s="12">
        <v>86.228121000000002</v>
      </c>
      <c r="HC48" s="12">
        <v>86.228121000000002</v>
      </c>
      <c r="HD48" s="12">
        <v>91.057254</v>
      </c>
      <c r="HE48" s="12">
        <v>91.677880999999999</v>
      </c>
      <c r="HF48" s="12">
        <v>91.834046999999998</v>
      </c>
      <c r="HG48" s="12">
        <v>91.834046999999998</v>
      </c>
      <c r="HH48" s="12">
        <v>91.834046999999998</v>
      </c>
      <c r="HI48" s="12">
        <v>83.463517999999993</v>
      </c>
      <c r="HJ48" s="12">
        <v>92.082762000000002</v>
      </c>
      <c r="HK48" s="12">
        <v>91.788500999999997</v>
      </c>
      <c r="HL48" s="12">
        <v>86.989138999999994</v>
      </c>
      <c r="HM48" s="12">
        <v>93.169906999999995</v>
      </c>
      <c r="HN48" s="12">
        <v>89.821335000000005</v>
      </c>
      <c r="HO48" s="12">
        <v>76.830743060000003</v>
      </c>
      <c r="HP48" s="12">
        <v>91.913369000000003</v>
      </c>
      <c r="HQ48" s="12">
        <v>86.200408999999993</v>
      </c>
      <c r="HR48" s="12">
        <v>86.447540000000004</v>
      </c>
      <c r="HS48" s="12">
        <v>83.642413000000005</v>
      </c>
      <c r="HT48" s="12">
        <v>84.345115000000007</v>
      </c>
      <c r="HU48" s="12">
        <v>80.777852150000001</v>
      </c>
      <c r="HV48" s="12">
        <v>78.267533999999998</v>
      </c>
      <c r="HW48" s="12">
        <v>78.666753</v>
      </c>
      <c r="HX48" s="12">
        <v>85.07454027</v>
      </c>
      <c r="HY48" s="12">
        <v>86.434235999999999</v>
      </c>
      <c r="HZ48" s="12">
        <v>93.640505000000005</v>
      </c>
      <c r="IA48" s="12"/>
      <c r="IB48" s="12"/>
      <c r="IC48" s="12"/>
      <c r="ID48" s="12"/>
      <c r="IE48" s="12"/>
      <c r="IF48" s="12"/>
      <c r="IG48" s="12"/>
      <c r="IH48" s="12"/>
      <c r="II48" s="12"/>
      <c r="IJ48" s="12"/>
      <c r="IK48" s="12"/>
    </row>
    <row r="49" spans="1:245" x14ac:dyDescent="0.25">
      <c r="A49" s="11">
        <v>46049.999305555553</v>
      </c>
      <c r="B49" s="12">
        <v>89.981672939999996</v>
      </c>
      <c r="C49" s="12">
        <v>82.204645999999997</v>
      </c>
      <c r="D49" s="12">
        <v>82.666326999999995</v>
      </c>
      <c r="E49" s="12">
        <v>82.564893999999995</v>
      </c>
      <c r="F49" s="12">
        <v>82.492547999999999</v>
      </c>
      <c r="G49" s="12">
        <v>85.312872999999996</v>
      </c>
      <c r="H49" s="12">
        <v>91.664068999999998</v>
      </c>
      <c r="I49" s="12">
        <v>91.311128999999994</v>
      </c>
      <c r="J49" s="12">
        <v>91.922110000000004</v>
      </c>
      <c r="K49" s="12">
        <v>85.173709000000002</v>
      </c>
      <c r="L49" s="12">
        <v>83.929992999999996</v>
      </c>
      <c r="M49" s="12">
        <v>88.325969000000001</v>
      </c>
      <c r="N49" s="12">
        <v>86.796593000000001</v>
      </c>
      <c r="O49" s="12">
        <v>89.660493000000002</v>
      </c>
      <c r="P49" s="12">
        <v>83.888615459999997</v>
      </c>
      <c r="Q49" s="12">
        <v>91.868538000000001</v>
      </c>
      <c r="R49" s="12">
        <v>86.093035</v>
      </c>
      <c r="S49" s="12">
        <v>88.828006999999999</v>
      </c>
      <c r="T49" s="12">
        <v>77.870849500000006</v>
      </c>
      <c r="U49" s="12">
        <v>78.419852000000006</v>
      </c>
      <c r="V49" s="12">
        <v>87.839921000000004</v>
      </c>
      <c r="W49" s="12">
        <v>85.794122000000002</v>
      </c>
      <c r="X49" s="12">
        <v>82.456706999999994</v>
      </c>
      <c r="Y49" s="12">
        <v>84.252612999999997</v>
      </c>
      <c r="Z49" s="12">
        <v>91.165492</v>
      </c>
      <c r="AA49" s="12">
        <v>82.082651999999996</v>
      </c>
      <c r="AB49" s="12">
        <v>85.735646000000003</v>
      </c>
      <c r="AC49" s="12">
        <v>85.912979000000007</v>
      </c>
      <c r="AD49" s="12">
        <v>85.563522000000006</v>
      </c>
      <c r="AE49" s="12">
        <v>80.503176999999994</v>
      </c>
      <c r="AF49" s="12">
        <v>86.864350250000001</v>
      </c>
      <c r="AG49" s="12">
        <v>88.245856140000001</v>
      </c>
      <c r="AH49" s="12">
        <v>87.602091000000001</v>
      </c>
      <c r="AI49" s="12">
        <v>87.63955</v>
      </c>
      <c r="AJ49" s="12">
        <v>79.185452999999995</v>
      </c>
      <c r="AK49" s="12">
        <v>88.042257000000006</v>
      </c>
      <c r="AL49" s="12">
        <v>81.861199670000005</v>
      </c>
      <c r="AM49" s="12">
        <v>82.303528</v>
      </c>
      <c r="AN49" s="12">
        <v>90.801002999999994</v>
      </c>
      <c r="AO49" s="12">
        <v>81.500022000000001</v>
      </c>
      <c r="AP49" s="12">
        <v>75.332816500000007</v>
      </c>
      <c r="AQ49" s="12">
        <v>75.680412000000004</v>
      </c>
      <c r="AR49" s="12">
        <v>92.297933</v>
      </c>
      <c r="AS49" s="12">
        <v>89.845315999999997</v>
      </c>
      <c r="AT49" s="12">
        <v>89.845315999999997</v>
      </c>
      <c r="AU49" s="12">
        <v>90.855954999999994</v>
      </c>
      <c r="AV49" s="12">
        <v>86.160045999999994</v>
      </c>
      <c r="AW49" s="12">
        <v>80.763000500000004</v>
      </c>
      <c r="AX49" s="12">
        <v>81.239046999999999</v>
      </c>
      <c r="AY49" s="12">
        <v>90.179829999999995</v>
      </c>
      <c r="AZ49" s="12">
        <v>85.260596000000007</v>
      </c>
      <c r="BA49" s="12">
        <v>85.012778999999995</v>
      </c>
      <c r="BB49" s="12">
        <v>84.559995499999999</v>
      </c>
      <c r="BC49" s="12">
        <v>84.923508330000004</v>
      </c>
      <c r="BD49" s="12">
        <v>84.629541000000003</v>
      </c>
      <c r="BE49" s="12">
        <v>84.999391000000003</v>
      </c>
      <c r="BF49" s="12">
        <v>90.229319000000004</v>
      </c>
      <c r="BG49" s="12">
        <v>90.934888999999998</v>
      </c>
      <c r="BH49" s="12">
        <v>90.934888999999998</v>
      </c>
      <c r="BI49" s="12">
        <v>90.934888999999998</v>
      </c>
      <c r="BJ49" s="12">
        <v>82.448313999999996</v>
      </c>
      <c r="BK49" s="12">
        <v>83.006546999999998</v>
      </c>
      <c r="BL49" s="12">
        <v>88.290077999999994</v>
      </c>
      <c r="BM49" s="12">
        <v>88.010307999999995</v>
      </c>
      <c r="BN49" s="12">
        <v>86.086325000000002</v>
      </c>
      <c r="BO49" s="12">
        <v>84.403919999999999</v>
      </c>
      <c r="BP49" s="12">
        <v>88.720381000000003</v>
      </c>
      <c r="BQ49" s="12">
        <v>79.161360000000002</v>
      </c>
      <c r="BR49" s="12">
        <v>79.173155039999997</v>
      </c>
      <c r="BS49" s="12">
        <v>86.231435000000005</v>
      </c>
      <c r="BT49" s="12">
        <v>82.982852829999999</v>
      </c>
      <c r="BU49" s="12">
        <v>86.960972769999998</v>
      </c>
      <c r="BV49" s="12">
        <v>90.150576000000001</v>
      </c>
      <c r="BW49" s="12">
        <v>90.723743999999996</v>
      </c>
      <c r="BX49" s="12">
        <v>86.529105999999999</v>
      </c>
      <c r="BY49" s="12">
        <v>86.529105999999999</v>
      </c>
      <c r="BZ49" s="12">
        <v>85.581371000000004</v>
      </c>
      <c r="CA49" s="12">
        <v>88.069444000000004</v>
      </c>
      <c r="CB49" s="12">
        <v>85.986282000000003</v>
      </c>
      <c r="CC49" s="12">
        <v>86.869911999999999</v>
      </c>
      <c r="CD49" s="12">
        <v>86.467828999999995</v>
      </c>
      <c r="CE49" s="12">
        <v>87.332030000000003</v>
      </c>
      <c r="CF49" s="12">
        <v>86.735974999999996</v>
      </c>
      <c r="CG49" s="12">
        <v>90.150576000000001</v>
      </c>
      <c r="CH49" s="12">
        <v>85.274467999999999</v>
      </c>
      <c r="CI49" s="12">
        <v>85.261595999999997</v>
      </c>
      <c r="CJ49" s="12">
        <v>87.216988999999998</v>
      </c>
      <c r="CK49" s="12">
        <v>90.736400000000003</v>
      </c>
      <c r="CL49" s="12">
        <v>91.570706999999999</v>
      </c>
      <c r="CM49" s="12">
        <v>90.590588999999994</v>
      </c>
      <c r="CN49" s="12">
        <v>89.996740000000003</v>
      </c>
      <c r="CO49" s="12">
        <v>90.973395999999994</v>
      </c>
      <c r="CP49" s="12">
        <v>84.101800999999995</v>
      </c>
      <c r="CQ49" s="12">
        <v>83.802682000000004</v>
      </c>
      <c r="CR49" s="12">
        <v>86.625334760000001</v>
      </c>
      <c r="CS49" s="12">
        <v>88.540521999999996</v>
      </c>
      <c r="CT49" s="12">
        <v>83.334033000000005</v>
      </c>
      <c r="CU49" s="12">
        <v>89.63936966</v>
      </c>
      <c r="CV49" s="12">
        <v>83.034276000000006</v>
      </c>
      <c r="CW49" s="12">
        <v>84.490938</v>
      </c>
      <c r="CX49" s="12">
        <v>93.706091929999999</v>
      </c>
      <c r="CY49" s="12">
        <v>82.765985000000001</v>
      </c>
      <c r="CZ49" s="12">
        <v>84.302616499999999</v>
      </c>
      <c r="DA49" s="12">
        <v>84.683829000000003</v>
      </c>
      <c r="DB49" s="12">
        <v>86.518306999999993</v>
      </c>
      <c r="DC49" s="12">
        <v>92.221019999999996</v>
      </c>
      <c r="DD49" s="12">
        <v>92.465715000000003</v>
      </c>
      <c r="DE49" s="12">
        <v>90.723743999999996</v>
      </c>
      <c r="DF49" s="12">
        <v>90.383989</v>
      </c>
      <c r="DG49" s="12">
        <v>86.006236000000001</v>
      </c>
      <c r="DH49" s="12">
        <v>86.529105999999999</v>
      </c>
      <c r="DI49" s="12">
        <v>85.923384999999996</v>
      </c>
      <c r="DJ49" s="12">
        <v>91.272560999999996</v>
      </c>
      <c r="DK49" s="12">
        <v>92.480225959999999</v>
      </c>
      <c r="DL49" s="12">
        <v>88.861352999999994</v>
      </c>
      <c r="DM49" s="12">
        <v>88.741904000000005</v>
      </c>
      <c r="DN49" s="12">
        <v>84.408101000000002</v>
      </c>
      <c r="DO49" s="12">
        <v>90.759781000000004</v>
      </c>
      <c r="DP49" s="12">
        <v>90.065093000000005</v>
      </c>
      <c r="DQ49" s="12">
        <v>86.711079999999995</v>
      </c>
      <c r="DR49" s="12">
        <v>76.373576999999997</v>
      </c>
      <c r="DS49" s="12">
        <v>89.996285</v>
      </c>
      <c r="DT49" s="12">
        <v>84.334124000000003</v>
      </c>
      <c r="DU49" s="12">
        <v>84.670456000000001</v>
      </c>
      <c r="DV49" s="12">
        <v>85.086758000000003</v>
      </c>
      <c r="DW49" s="12">
        <v>91.174408</v>
      </c>
      <c r="DX49" s="12">
        <v>91.454355000000007</v>
      </c>
      <c r="DY49" s="12">
        <v>81.807085999999998</v>
      </c>
      <c r="DZ49" s="12">
        <v>80.038538000000003</v>
      </c>
      <c r="EA49" s="12">
        <v>80.038538000000003</v>
      </c>
      <c r="EB49" s="12">
        <v>80.490813169999996</v>
      </c>
      <c r="EC49" s="12">
        <v>87.331327000000002</v>
      </c>
      <c r="ED49" s="12">
        <v>87.533615999999995</v>
      </c>
      <c r="EE49" s="12">
        <v>82.993088999999998</v>
      </c>
      <c r="EF49" s="12">
        <v>83.536884000000001</v>
      </c>
      <c r="EG49" s="12">
        <v>79.353217999999998</v>
      </c>
      <c r="EH49" s="12">
        <v>84.211474999999993</v>
      </c>
      <c r="EI49" s="12">
        <v>101.02513113000001</v>
      </c>
      <c r="EJ49" s="12">
        <v>92.855079000000003</v>
      </c>
      <c r="EK49" s="12">
        <v>92.855079000000003</v>
      </c>
      <c r="EL49" s="12">
        <v>83.668408999999997</v>
      </c>
      <c r="EM49" s="12">
        <v>90.495887999999994</v>
      </c>
      <c r="EN49" s="12">
        <v>90.828907999999998</v>
      </c>
      <c r="EO49" s="12">
        <v>90.723743999999996</v>
      </c>
      <c r="EP49" s="12">
        <v>84.537572999999995</v>
      </c>
      <c r="EQ49" s="12">
        <v>87.227005000000005</v>
      </c>
      <c r="ER49" s="12">
        <v>90.718774999999994</v>
      </c>
      <c r="ES49" s="12">
        <v>84.948063000000005</v>
      </c>
      <c r="ET49" s="12">
        <v>85.201894999999993</v>
      </c>
      <c r="EU49" s="12">
        <v>86.826052279999999</v>
      </c>
      <c r="EV49" s="12">
        <v>82.570276000000007</v>
      </c>
      <c r="EW49" s="12">
        <v>81.888046000000003</v>
      </c>
      <c r="EX49" s="12">
        <v>83.354461999999998</v>
      </c>
      <c r="EY49" s="12">
        <v>87.056236999999996</v>
      </c>
      <c r="EZ49" s="12">
        <v>83.494862999999995</v>
      </c>
      <c r="FA49" s="12">
        <v>81.348651000000004</v>
      </c>
      <c r="FB49" s="12">
        <v>80.215255999999997</v>
      </c>
      <c r="FC49" s="12">
        <v>84.027259000000001</v>
      </c>
      <c r="FD49" s="12">
        <v>84.181641999999997</v>
      </c>
      <c r="FE49" s="12">
        <v>84.246323000000004</v>
      </c>
      <c r="FF49" s="12">
        <v>95.700592999999998</v>
      </c>
      <c r="FG49" s="12">
        <v>82.208174</v>
      </c>
      <c r="FH49" s="12">
        <v>90.762523999999999</v>
      </c>
      <c r="FI49" s="12">
        <v>85.838840000000005</v>
      </c>
      <c r="FJ49" s="12">
        <v>112.15411321000001</v>
      </c>
      <c r="FK49" s="12">
        <v>89.694048330000001</v>
      </c>
      <c r="FL49" s="12">
        <v>93.681100000000001</v>
      </c>
      <c r="FM49" s="12">
        <v>82.415721000000005</v>
      </c>
      <c r="FN49" s="12">
        <v>82.673027000000005</v>
      </c>
      <c r="FO49" s="12">
        <v>83.622684000000007</v>
      </c>
      <c r="FP49" s="12">
        <v>87.217816999999997</v>
      </c>
      <c r="FQ49" s="12">
        <v>85.591811930000006</v>
      </c>
      <c r="FR49" s="12">
        <v>85.365919000000005</v>
      </c>
      <c r="FS49" s="12">
        <v>85.581371000000004</v>
      </c>
      <c r="FT49" s="12">
        <v>90.068898000000004</v>
      </c>
      <c r="FU49" s="12">
        <v>90.068898000000004</v>
      </c>
      <c r="FV49" s="12">
        <v>84.040998999999999</v>
      </c>
      <c r="FW49" s="12">
        <v>84.040998999999999</v>
      </c>
      <c r="FX49" s="12">
        <v>83.510973000000007</v>
      </c>
      <c r="FY49" s="12">
        <v>89.015569999999997</v>
      </c>
      <c r="FZ49" s="12">
        <v>88.937574999999995</v>
      </c>
      <c r="GA49" s="12">
        <v>86.733756999999997</v>
      </c>
      <c r="GB49" s="12">
        <v>86.678522000000001</v>
      </c>
      <c r="GC49" s="12">
        <v>86.852428259999996</v>
      </c>
      <c r="GD49" s="12">
        <v>86.484673999999998</v>
      </c>
      <c r="GE49" s="12">
        <v>85.744399999999999</v>
      </c>
      <c r="GF49" s="12">
        <v>90.150576000000001</v>
      </c>
      <c r="GG49" s="12">
        <v>90.150576000000001</v>
      </c>
      <c r="GH49" s="12">
        <v>91.854763000000005</v>
      </c>
      <c r="GI49" s="12">
        <v>82.054258329999996</v>
      </c>
      <c r="GJ49" s="12">
        <v>90.495887999999994</v>
      </c>
      <c r="GK49" s="12">
        <v>90.383989</v>
      </c>
      <c r="GL49" s="12">
        <v>93.572260990000004</v>
      </c>
      <c r="GM49" s="12">
        <v>77.338025000000002</v>
      </c>
      <c r="GN49" s="12">
        <v>93.572260990000004</v>
      </c>
      <c r="GO49" s="12">
        <v>90.068898000000004</v>
      </c>
      <c r="GP49" s="12">
        <v>85.487773000000004</v>
      </c>
      <c r="GQ49" s="12">
        <v>90.217670999999996</v>
      </c>
      <c r="GR49" s="12">
        <v>88.839793</v>
      </c>
      <c r="GS49" s="12">
        <v>83.595309</v>
      </c>
      <c r="GT49" s="12">
        <v>79.452274000000003</v>
      </c>
      <c r="GU49" s="12">
        <v>85.848197999999996</v>
      </c>
      <c r="GV49" s="12">
        <v>83.295012999999997</v>
      </c>
      <c r="GW49" s="12">
        <v>89.705493000000004</v>
      </c>
      <c r="GX49" s="12">
        <v>89.639054000000002</v>
      </c>
      <c r="GY49" s="12">
        <v>90.378974999999997</v>
      </c>
      <c r="GZ49" s="12">
        <v>90.217282999999995</v>
      </c>
      <c r="HA49" s="12">
        <v>85.848197999999996</v>
      </c>
      <c r="HB49" s="12">
        <v>85.848197999999996</v>
      </c>
      <c r="HC49" s="12">
        <v>85.848197999999996</v>
      </c>
      <c r="HD49" s="12">
        <v>90.217670999999996</v>
      </c>
      <c r="HE49" s="12">
        <v>90.558646999999993</v>
      </c>
      <c r="HF49" s="12">
        <v>90.718774999999994</v>
      </c>
      <c r="HG49" s="12">
        <v>90.718774999999994</v>
      </c>
      <c r="HH49" s="12">
        <v>90.718774999999994</v>
      </c>
      <c r="HI49" s="12">
        <v>82.783820000000006</v>
      </c>
      <c r="HJ49" s="12">
        <v>91.035901999999993</v>
      </c>
      <c r="HK49" s="12">
        <v>90.749412000000007</v>
      </c>
      <c r="HL49" s="12">
        <v>86.304381000000006</v>
      </c>
      <c r="HM49" s="12">
        <v>92.393525999999994</v>
      </c>
      <c r="HN49" s="12">
        <v>88.985896999999994</v>
      </c>
      <c r="HO49" s="12">
        <v>75.858935270000003</v>
      </c>
      <c r="HP49" s="12">
        <v>90.844194999999999</v>
      </c>
      <c r="HQ49" s="12">
        <v>85.691155499999994</v>
      </c>
      <c r="HR49" s="12">
        <v>85.936988999999997</v>
      </c>
      <c r="HS49" s="12">
        <v>83.036542999999995</v>
      </c>
      <c r="HT49" s="12">
        <v>83.853486000000004</v>
      </c>
      <c r="HU49" s="12">
        <v>80.268945520000003</v>
      </c>
      <c r="HV49" s="12">
        <v>77.733326500000004</v>
      </c>
      <c r="HW49" s="12">
        <v>78.140928000000002</v>
      </c>
      <c r="HX49" s="12">
        <v>84.207825880000001</v>
      </c>
      <c r="HY49" s="12">
        <v>85.915576999999999</v>
      </c>
      <c r="HZ49" s="12">
        <v>92.427361000000005</v>
      </c>
      <c r="IA49" s="12"/>
      <c r="IB49" s="12"/>
      <c r="IC49" s="12"/>
      <c r="ID49" s="12"/>
      <c r="IE49" s="12"/>
      <c r="IF49" s="12"/>
      <c r="IG49" s="12"/>
      <c r="IH49" s="12"/>
      <c r="II49" s="12"/>
      <c r="IJ49" s="12"/>
      <c r="IK49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830C0-08A6-42F8-970A-BAD4A4449C59}">
  <dimension ref="A1:K49"/>
  <sheetViews>
    <sheetView topLeftCell="A19" workbookViewId="0">
      <selection activeCell="F2" sqref="F2:I49"/>
    </sheetView>
  </sheetViews>
  <sheetFormatPr baseColWidth="10" defaultRowHeight="16.5" x14ac:dyDescent="0.3"/>
  <cols>
    <col min="1" max="1" width="17.5703125" style="1" bestFit="1" customWidth="1"/>
    <col min="2" max="2" width="12.28515625" style="1" bestFit="1" customWidth="1"/>
    <col min="3" max="3" width="14" style="1" bestFit="1" customWidth="1"/>
    <col min="4" max="4" width="19.28515625" style="1" bestFit="1" customWidth="1"/>
    <col min="5" max="5" width="11.42578125" style="1"/>
    <col min="6" max="6" width="16.28515625" style="1" bestFit="1" customWidth="1"/>
    <col min="7" max="7" width="13.42578125" style="1" bestFit="1" customWidth="1"/>
    <col min="8" max="8" width="14.5703125" style="1" bestFit="1" customWidth="1"/>
    <col min="9" max="9" width="19.140625" style="1" bestFit="1" customWidth="1"/>
    <col min="10" max="16384" width="11.42578125" style="1"/>
  </cols>
  <sheetData>
    <row r="1" spans="1:11" s="4" customFormat="1" x14ac:dyDescent="0.3">
      <c r="A1" s="4" t="s">
        <v>37</v>
      </c>
      <c r="B1" s="4" t="s">
        <v>42</v>
      </c>
      <c r="C1" s="4" t="s">
        <v>72</v>
      </c>
      <c r="D1" s="4" t="s">
        <v>55</v>
      </c>
      <c r="E1" s="4" t="s">
        <v>244</v>
      </c>
      <c r="F1" s="4" t="s">
        <v>374</v>
      </c>
      <c r="G1" s="4" t="s">
        <v>42</v>
      </c>
      <c r="H1" s="4" t="s">
        <v>72</v>
      </c>
      <c r="I1" s="4" t="s">
        <v>261</v>
      </c>
      <c r="J1" s="4" t="s">
        <v>401</v>
      </c>
      <c r="K1" s="4">
        <v>3.34</v>
      </c>
    </row>
    <row r="2" spans="1:11" x14ac:dyDescent="0.3">
      <c r="A2" s="1">
        <f>+HLOOKUP($A$1,'Hoja de Trabajo'!$B$1:$ID$49,E2,)</f>
        <v>24.6965</v>
      </c>
      <c r="B2" s="1">
        <f>+HLOOKUP($B$1,'Hoja de Trabajo'!$B$1:$ID$49,E2,)</f>
        <v>25.679200000000002</v>
      </c>
      <c r="C2" s="1">
        <f>+HLOOKUP($C$1,'Hoja de Trabajo'!$B$1:$ID$49,E2,)</f>
        <v>26.2743</v>
      </c>
      <c r="D2" s="1">
        <f>+HLOOKUP($D$1,'Hoja de Trabajo'!$B$1:$ID$49,E2,)</f>
        <v>23.649000000000001</v>
      </c>
      <c r="E2" s="1">
        <f>+ROW()</f>
        <v>2</v>
      </c>
      <c r="F2" s="13">
        <f>+HLOOKUP($F$1,IEOD!$B$1:$IK$49,Resultado!E2,)/$K$1</f>
        <v>24.124729041916169</v>
      </c>
      <c r="G2" s="13">
        <f>+HLOOKUP($G$1,IEOD!$B$1:$IK$49,E2,)/$K$1</f>
        <v>24.880438023952095</v>
      </c>
      <c r="H2" s="13">
        <f>+HLOOKUP($H$1,IEOD!$B$1:$IK$49,E2,)/$K$1</f>
        <v>25.432803293413176</v>
      </c>
      <c r="I2" s="13">
        <f>+HLOOKUP($I$1,IEOD!$B$1:$IK$49,E2,)/$K$1</f>
        <v>23.075353293413176</v>
      </c>
    </row>
    <row r="3" spans="1:11" x14ac:dyDescent="0.3">
      <c r="A3" s="1">
        <f>+HLOOKUP($A$1,'Hoja de Trabajo'!$B$1:$ID$49,E3,)</f>
        <v>24.598500000000001</v>
      </c>
      <c r="B3" s="1">
        <f>+HLOOKUP($B$1,'Hoja de Trabajo'!$B$1:$ID$49,E3,)</f>
        <v>25.515599999999999</v>
      </c>
      <c r="C3" s="1">
        <f>+HLOOKUP($C$1,'Hoja de Trabajo'!$B$1:$ID$49,E3,)</f>
        <v>26.158300000000001</v>
      </c>
      <c r="D3" s="1">
        <f>+HLOOKUP($D$1,'Hoja de Trabajo'!$B$1:$ID$49,E3,)</f>
        <v>23.55</v>
      </c>
      <c r="E3" s="1">
        <f t="shared" ref="E3:E49" si="0">+ROW()</f>
        <v>3</v>
      </c>
      <c r="F3" s="13">
        <f>+HLOOKUP($F$1,IEOD!$B$1:$IK$49,Resultado!E3,)/$K$1</f>
        <v>23.402688622754493</v>
      </c>
      <c r="G3" s="13">
        <f>+HLOOKUP($G$1,IEOD!$B$1:$IK$49,E3,)/$K$1</f>
        <v>24.149931437125748</v>
      </c>
      <c r="H3" s="13">
        <f>+HLOOKUP($H$1,IEOD!$B$1:$IK$49,E3,)/$K$1</f>
        <v>24.657645209580838</v>
      </c>
      <c r="I3" s="13">
        <f>+HLOOKUP($I$1,IEOD!$B$1:$IK$49,E3,)/$K$1</f>
        <v>22.394117365269462</v>
      </c>
    </row>
    <row r="4" spans="1:11" x14ac:dyDescent="0.3">
      <c r="A4" s="1">
        <f>+HLOOKUP($A$1,'Hoja de Trabajo'!$B$1:$ID$49,E4,)</f>
        <v>24.527000000000001</v>
      </c>
      <c r="B4" s="1">
        <f>+HLOOKUP($B$1,'Hoja de Trabajo'!$B$1:$ID$49,E4,)</f>
        <v>25.389199999999999</v>
      </c>
      <c r="C4" s="1">
        <f>+HLOOKUP($C$1,'Hoja de Trabajo'!$B$1:$ID$49,E4,)</f>
        <v>26.069400000000002</v>
      </c>
      <c r="D4" s="1">
        <f>+HLOOKUP($D$1,'Hoja de Trabajo'!$B$1:$ID$49,E4,)</f>
        <v>23.4756</v>
      </c>
      <c r="E4" s="1">
        <f t="shared" si="0"/>
        <v>4</v>
      </c>
      <c r="F4" s="13">
        <f>+HLOOKUP($F$1,IEOD!$B$1:$IK$49,Resultado!E4,)/$K$1</f>
        <v>22.877220658682635</v>
      </c>
      <c r="G4" s="13">
        <f>+HLOOKUP($G$1,IEOD!$B$1:$IK$49,E4,)/$K$1</f>
        <v>23.542409580838324</v>
      </c>
      <c r="H4" s="13">
        <f>+HLOOKUP($H$1,IEOD!$B$1:$IK$49,E4,)/$K$1</f>
        <v>24.033770658682638</v>
      </c>
      <c r="I4" s="13">
        <f>+HLOOKUP($I$1,IEOD!$B$1:$IK$49,E4,)/$K$1</f>
        <v>21.939442215568864</v>
      </c>
    </row>
    <row r="5" spans="1:11" x14ac:dyDescent="0.3">
      <c r="A5" s="1">
        <f>+HLOOKUP($A$1,'Hoja de Trabajo'!$B$1:$ID$49,E5,)</f>
        <v>23.942900000000002</v>
      </c>
      <c r="B5" s="1">
        <f>+HLOOKUP($B$1,'Hoja de Trabajo'!$B$1:$ID$49,E5,)</f>
        <v>24.748100000000001</v>
      </c>
      <c r="C5" s="1">
        <f>+HLOOKUP($C$1,'Hoja de Trabajo'!$B$1:$ID$49,E5,)</f>
        <v>25.445900000000002</v>
      </c>
      <c r="D5" s="1">
        <f>+HLOOKUP($D$1,'Hoja de Trabajo'!$B$1:$ID$49,E5,)</f>
        <v>22.923400000000001</v>
      </c>
      <c r="E5" s="1">
        <f t="shared" si="0"/>
        <v>5</v>
      </c>
      <c r="F5" s="13">
        <f>+HLOOKUP($F$1,IEOD!$B$1:$IK$49,Resultado!E5,)/$K$1</f>
        <v>18.773723053892216</v>
      </c>
      <c r="G5" s="13">
        <f>+HLOOKUP($G$1,IEOD!$B$1:$IK$49,E5,)/$K$1</f>
        <v>19.32234401197605</v>
      </c>
      <c r="H5" s="13">
        <f>+HLOOKUP($H$1,IEOD!$B$1:$IK$49,E5,)/$K$1</f>
        <v>19.796345808383233</v>
      </c>
      <c r="I5" s="13">
        <f>+HLOOKUP($I$1,IEOD!$B$1:$IK$49,E5,)/$K$1</f>
        <v>17.981640718562875</v>
      </c>
    </row>
    <row r="6" spans="1:11" x14ac:dyDescent="0.3">
      <c r="A6" s="1">
        <f>+HLOOKUP($A$1,'Hoja de Trabajo'!$B$1:$ID$49,E6,)</f>
        <v>23.8965</v>
      </c>
      <c r="B6" s="1">
        <f>+HLOOKUP($B$1,'Hoja de Trabajo'!$B$1:$ID$49,E6,)</f>
        <v>24.691299999999998</v>
      </c>
      <c r="C6" s="1">
        <f>+HLOOKUP($C$1,'Hoja de Trabajo'!$B$1:$ID$49,E6,)</f>
        <v>25.394500000000001</v>
      </c>
      <c r="D6" s="1">
        <f>+HLOOKUP($D$1,'Hoja de Trabajo'!$B$1:$ID$49,E6,)</f>
        <v>22.888200000000001</v>
      </c>
      <c r="E6" s="1">
        <f t="shared" si="0"/>
        <v>6</v>
      </c>
      <c r="F6" s="13">
        <f>+HLOOKUP($F$1,IEOD!$B$1:$IK$49,Resultado!E6,)/$K$1</f>
        <v>18.516740718562875</v>
      </c>
      <c r="G6" s="13">
        <f>+HLOOKUP($G$1,IEOD!$B$1:$IK$49,E6,)/$K$1</f>
        <v>19.058719461077846</v>
      </c>
      <c r="H6" s="13">
        <f>+HLOOKUP($H$1,IEOD!$B$1:$IK$49,E6,)/$K$1</f>
        <v>19.453359580838324</v>
      </c>
      <c r="I6" s="13">
        <f>+HLOOKUP($I$1,IEOD!$B$1:$IK$49,E6,)/$K$1</f>
        <v>17.756200000000003</v>
      </c>
    </row>
    <row r="7" spans="1:11" x14ac:dyDescent="0.3">
      <c r="A7" s="1">
        <f>+HLOOKUP($A$1,'Hoja de Trabajo'!$B$1:$ID$49,E7,)</f>
        <v>23.908899999999999</v>
      </c>
      <c r="B7" s="1">
        <f>+HLOOKUP($B$1,'Hoja de Trabajo'!$B$1:$ID$49,E7,)</f>
        <v>24.6557</v>
      </c>
      <c r="C7" s="1">
        <f>+HLOOKUP($C$1,'Hoja de Trabajo'!$B$1:$ID$49,E7,)</f>
        <v>25.375399999999999</v>
      </c>
      <c r="D7" s="1">
        <f>+HLOOKUP($D$1,'Hoja de Trabajo'!$B$1:$ID$49,E7,)</f>
        <v>22.8842</v>
      </c>
      <c r="E7" s="1">
        <f t="shared" si="0"/>
        <v>7</v>
      </c>
      <c r="F7" s="13">
        <f>+HLOOKUP($F$1,IEOD!$B$1:$IK$49,Resultado!E7,)/$K$1</f>
        <v>18.737917664670661</v>
      </c>
      <c r="G7" s="13">
        <f>+HLOOKUP($G$1,IEOD!$B$1:$IK$49,E7,)/$K$1</f>
        <v>19.315099700598804</v>
      </c>
      <c r="H7" s="13">
        <f>+HLOOKUP($H$1,IEOD!$B$1:$IK$49,E7,)/$K$1</f>
        <v>19.779706287425149</v>
      </c>
      <c r="I7" s="13">
        <f>+HLOOKUP($I$1,IEOD!$B$1:$IK$49,E7,)/$K$1</f>
        <v>17.966291017964075</v>
      </c>
    </row>
    <row r="8" spans="1:11" x14ac:dyDescent="0.3">
      <c r="A8" s="1">
        <f>+HLOOKUP($A$1,'Hoja de Trabajo'!$B$1:$ID$49,E8,)</f>
        <v>23.876000000000001</v>
      </c>
      <c r="B8" s="1">
        <f>+HLOOKUP($B$1,'Hoja de Trabajo'!$B$1:$ID$49,E8,)</f>
        <v>24.616900000000001</v>
      </c>
      <c r="C8" s="1">
        <f>+HLOOKUP($C$1,'Hoja de Trabajo'!$B$1:$ID$49,E8,)</f>
        <v>25.343699999999998</v>
      </c>
      <c r="D8" s="1">
        <f>+HLOOKUP($D$1,'Hoja de Trabajo'!$B$1:$ID$49,E8,)</f>
        <v>22.861999999999998</v>
      </c>
      <c r="E8" s="1">
        <f t="shared" si="0"/>
        <v>8</v>
      </c>
      <c r="F8" s="13">
        <f>+HLOOKUP($F$1,IEOD!$B$1:$IK$49,Resultado!E8,)/$K$1</f>
        <v>0.80309311377245518</v>
      </c>
      <c r="G8" s="13">
        <f>+HLOOKUP($G$1,IEOD!$B$1:$IK$49,E8,)/$K$1</f>
        <v>0.82682455089820361</v>
      </c>
      <c r="H8" s="13">
        <f>+HLOOKUP($H$1,IEOD!$B$1:$IK$49,E8,)/$K$1</f>
        <v>0.84538353293413171</v>
      </c>
      <c r="I8" s="13">
        <f>+HLOOKUP($I$1,IEOD!$B$1:$IK$49,E8,)/$K$1</f>
        <v>0.77021556886227549</v>
      </c>
    </row>
    <row r="9" spans="1:11" x14ac:dyDescent="0.3">
      <c r="A9" s="1">
        <f>+HLOOKUP($A$1,'Hoja de Trabajo'!$B$1:$ID$49,E9,)</f>
        <v>23.888400000000001</v>
      </c>
      <c r="B9" s="1">
        <f>+HLOOKUP($B$1,'Hoja de Trabajo'!$B$1:$ID$49,E9,)</f>
        <v>24.6616</v>
      </c>
      <c r="C9" s="1">
        <f>+HLOOKUP($C$1,'Hoja de Trabajo'!$B$1:$ID$49,E9,)</f>
        <v>25.392099999999999</v>
      </c>
      <c r="D9" s="1">
        <f>+HLOOKUP($D$1,'Hoja de Trabajo'!$B$1:$ID$49,E9,)</f>
        <v>22.884799999999998</v>
      </c>
      <c r="E9" s="1">
        <f t="shared" si="0"/>
        <v>9</v>
      </c>
      <c r="F9" s="13">
        <f>+HLOOKUP($F$1,IEOD!$B$1:$IK$49,Resultado!E9,)/$K$1</f>
        <v>18.585712874251499</v>
      </c>
      <c r="G9" s="13">
        <f>+HLOOKUP($G$1,IEOD!$B$1:$IK$49,E9,)/$K$1</f>
        <v>19.202961676646705</v>
      </c>
      <c r="H9" s="13">
        <f>+HLOOKUP($H$1,IEOD!$B$1:$IK$49,E9,)/$K$1</f>
        <v>19.638370359281438</v>
      </c>
      <c r="I9" s="13">
        <f>+HLOOKUP($I$1,IEOD!$B$1:$IK$49,E9,)/$K$1</f>
        <v>17.84682754491018</v>
      </c>
    </row>
    <row r="10" spans="1:11" x14ac:dyDescent="0.3">
      <c r="A10" s="1">
        <f>+HLOOKUP($A$1,'Hoja de Trabajo'!$B$1:$ID$49,E10,)</f>
        <v>23.8948</v>
      </c>
      <c r="B10" s="1">
        <f>+HLOOKUP($B$1,'Hoja de Trabajo'!$B$1:$ID$49,E10,)</f>
        <v>24.6859</v>
      </c>
      <c r="C10" s="1">
        <f>+HLOOKUP($C$1,'Hoja de Trabajo'!$B$1:$ID$49,E10,)</f>
        <v>25.4072</v>
      </c>
      <c r="D10" s="1">
        <f>+HLOOKUP($D$1,'Hoja de Trabajo'!$B$1:$ID$49,E10,)</f>
        <v>22.890999999999998</v>
      </c>
      <c r="E10" s="1">
        <f t="shared" si="0"/>
        <v>10</v>
      </c>
      <c r="F10" s="13">
        <f>+HLOOKUP($F$1,IEOD!$B$1:$IK$49,Resultado!E10,)/$K$1</f>
        <v>18.757657784431139</v>
      </c>
      <c r="G10" s="13">
        <f>+HLOOKUP($G$1,IEOD!$B$1:$IK$49,E10,)/$K$1</f>
        <v>19.374896407185631</v>
      </c>
      <c r="H10" s="13">
        <f>+HLOOKUP($H$1,IEOD!$B$1:$IK$49,E10,)/$K$1</f>
        <v>19.835867365269461</v>
      </c>
      <c r="I10" s="13">
        <f>+HLOOKUP($I$1,IEOD!$B$1:$IK$49,E10,)/$K$1</f>
        <v>17.991924550898204</v>
      </c>
    </row>
    <row r="11" spans="1:11" x14ac:dyDescent="0.3">
      <c r="A11" s="1">
        <f>+HLOOKUP($A$1,'Hoja de Trabajo'!$B$1:$ID$49,E11,)</f>
        <v>23.885400000000001</v>
      </c>
      <c r="B11" s="1">
        <f>+HLOOKUP($B$1,'Hoja de Trabajo'!$B$1:$ID$49,E11,)</f>
        <v>24.668700000000001</v>
      </c>
      <c r="C11" s="1">
        <f>+HLOOKUP($C$1,'Hoja de Trabajo'!$B$1:$ID$49,E11,)</f>
        <v>25.369900000000001</v>
      </c>
      <c r="D11" s="1">
        <f>+HLOOKUP($D$1,'Hoja de Trabajo'!$B$1:$ID$49,E11,)</f>
        <v>22.8565</v>
      </c>
      <c r="E11" s="1">
        <f t="shared" si="0"/>
        <v>11</v>
      </c>
      <c r="F11" s="13">
        <f>+HLOOKUP($F$1,IEOD!$B$1:$IK$49,Resultado!E11,)/$K$1</f>
        <v>18.668660778443115</v>
      </c>
      <c r="G11" s="13">
        <f>+HLOOKUP($G$1,IEOD!$B$1:$IK$49,E11,)/$K$1</f>
        <v>19.26061137724551</v>
      </c>
      <c r="H11" s="13">
        <f>+HLOOKUP($H$1,IEOD!$B$1:$IK$49,E11,)/$K$1</f>
        <v>19.762649101796409</v>
      </c>
      <c r="I11" s="13">
        <f>+HLOOKUP($I$1,IEOD!$B$1:$IK$49,E11,)/$K$1</f>
        <v>17.915837125748503</v>
      </c>
    </row>
    <row r="12" spans="1:11" x14ac:dyDescent="0.3">
      <c r="A12" s="1">
        <f>+HLOOKUP($A$1,'Hoja de Trabajo'!$B$1:$ID$49,E12,)</f>
        <v>23.9009</v>
      </c>
      <c r="B12" s="1">
        <f>+HLOOKUP($B$1,'Hoja de Trabajo'!$B$1:$ID$49,E12,)</f>
        <v>24.717600000000001</v>
      </c>
      <c r="C12" s="1">
        <f>+HLOOKUP($C$1,'Hoja de Trabajo'!$B$1:$ID$49,E12,)</f>
        <v>25.3766</v>
      </c>
      <c r="D12" s="1">
        <f>+HLOOKUP($D$1,'Hoja de Trabajo'!$B$1:$ID$49,E12,)</f>
        <v>22.860099999999999</v>
      </c>
      <c r="E12" s="1">
        <f t="shared" si="0"/>
        <v>12</v>
      </c>
      <c r="F12" s="13">
        <f>+HLOOKUP($F$1,IEOD!$B$1:$IK$49,Resultado!E12,)/$K$1</f>
        <v>23.059832934131737</v>
      </c>
      <c r="G12" s="13">
        <f>+HLOOKUP($G$1,IEOD!$B$1:$IK$49,E12,)/$K$1</f>
        <v>23.820840718562877</v>
      </c>
      <c r="H12" s="13">
        <f>+HLOOKUP($H$1,IEOD!$B$1:$IK$49,E12,)/$K$1</f>
        <v>24.385152395209584</v>
      </c>
      <c r="I12" s="13">
        <f>+HLOOKUP($I$1,IEOD!$B$1:$IK$49,E12,)/$K$1</f>
        <v>22.10642994011976</v>
      </c>
    </row>
    <row r="13" spans="1:11" x14ac:dyDescent="0.3">
      <c r="A13" s="1">
        <f>+HLOOKUP($A$1,'Hoja de Trabajo'!$B$1:$ID$49,E13,)</f>
        <v>23.889399999999998</v>
      </c>
      <c r="B13" s="1">
        <f>+HLOOKUP($B$1,'Hoja de Trabajo'!$B$1:$ID$49,E13,)</f>
        <v>24.732500000000002</v>
      </c>
      <c r="C13" s="1">
        <f>+HLOOKUP($C$1,'Hoja de Trabajo'!$B$1:$ID$49,E13,)</f>
        <v>25.2941</v>
      </c>
      <c r="D13" s="1">
        <f>+HLOOKUP($D$1,'Hoja de Trabajo'!$B$1:$ID$49,E13,)</f>
        <v>22.8262</v>
      </c>
      <c r="E13" s="1">
        <f t="shared" si="0"/>
        <v>13</v>
      </c>
      <c r="F13" s="13">
        <f>+HLOOKUP($F$1,IEOD!$B$1:$IK$49,Resultado!E13,)/$K$1</f>
        <v>23.070636826347304</v>
      </c>
      <c r="G13" s="13">
        <f>+HLOOKUP($G$1,IEOD!$B$1:$IK$49,E13,)/$K$1</f>
        <v>23.824833532934132</v>
      </c>
      <c r="H13" s="13">
        <f>+HLOOKUP($H$1,IEOD!$B$1:$IK$49,E13,)/$K$1</f>
        <v>24.194699401197603</v>
      </c>
      <c r="I13" s="13">
        <f>+HLOOKUP($I$1,IEOD!$B$1:$IK$49,E13,)/$K$1</f>
        <v>22.058304191616767</v>
      </c>
    </row>
    <row r="14" spans="1:11" x14ac:dyDescent="0.3">
      <c r="A14" s="1">
        <f>+HLOOKUP($A$1,'Hoja de Trabajo'!$B$1:$ID$49,E14,)</f>
        <v>0.73960000000000004</v>
      </c>
      <c r="B14" s="1">
        <f>+HLOOKUP($B$1,'Hoja de Trabajo'!$B$1:$ID$49,E14,)</f>
        <v>0.76690000000000003</v>
      </c>
      <c r="C14" s="1">
        <f>+HLOOKUP($C$1,'Hoja de Trabajo'!$B$1:$ID$49,E14,)</f>
        <v>0.77039999999999997</v>
      </c>
      <c r="D14" s="1">
        <f>+HLOOKUP($D$1,'Hoja de Trabajo'!$B$1:$ID$49,E14,)</f>
        <v>0.70399999999999996</v>
      </c>
      <c r="E14" s="1">
        <f t="shared" si="0"/>
        <v>14</v>
      </c>
      <c r="F14" s="13">
        <f>+HLOOKUP($F$1,IEOD!$B$1:$IK$49,Resultado!E14,)/$K$1</f>
        <v>0.78293742514970066</v>
      </c>
      <c r="G14" s="13">
        <f>+HLOOKUP($G$1,IEOD!$B$1:$IK$49,E14,)/$K$1</f>
        <v>0.80933413173652702</v>
      </c>
      <c r="H14" s="13">
        <f>+HLOOKUP($H$1,IEOD!$B$1:$IK$49,E14,)/$K$1</f>
        <v>0.80994161676646703</v>
      </c>
      <c r="I14" s="13">
        <f>+HLOOKUP($I$1,IEOD!$B$1:$IK$49,E14,)/$K$1</f>
        <v>0.74613532934131743</v>
      </c>
    </row>
    <row r="15" spans="1:11" x14ac:dyDescent="0.3">
      <c r="A15" s="1">
        <f>+HLOOKUP($A$1,'Hoja de Trabajo'!$B$1:$ID$49,E15,)</f>
        <v>0.71989999999999998</v>
      </c>
      <c r="B15" s="1">
        <f>+HLOOKUP($B$1,'Hoja de Trabajo'!$B$1:$ID$49,E15,)</f>
        <v>0.74870000000000003</v>
      </c>
      <c r="C15" s="1">
        <f>+HLOOKUP($C$1,'Hoja de Trabajo'!$B$1:$ID$49,E15,)</f>
        <v>0.74009999999999998</v>
      </c>
      <c r="D15" s="1">
        <f>+HLOOKUP($D$1,'Hoja de Trabajo'!$B$1:$ID$49,E15,)</f>
        <v>0.68330000000000002</v>
      </c>
      <c r="E15" s="1">
        <f t="shared" si="0"/>
        <v>15</v>
      </c>
      <c r="F15" s="13">
        <f>+HLOOKUP($F$1,IEOD!$B$1:$IK$49,Resultado!E15,)/$K$1</f>
        <v>0.75258682634730545</v>
      </c>
      <c r="G15" s="13">
        <f>+HLOOKUP($G$1,IEOD!$B$1:$IK$49,E15,)/$K$1</f>
        <v>0.77933173652694621</v>
      </c>
      <c r="H15" s="13">
        <f>+HLOOKUP($H$1,IEOD!$B$1:$IK$49,E15,)/$K$1</f>
        <v>0.76298892215568859</v>
      </c>
      <c r="I15" s="13">
        <f>+HLOOKUP($I$1,IEOD!$B$1:$IK$49,E15,)/$K$1</f>
        <v>0.7139688622754492</v>
      </c>
    </row>
    <row r="16" spans="1:11" x14ac:dyDescent="0.3">
      <c r="A16" s="1">
        <f>+HLOOKUP($A$1,'Hoja de Trabajo'!$B$1:$ID$49,E16,)</f>
        <v>0.74299999999999999</v>
      </c>
      <c r="B16" s="1">
        <f>+HLOOKUP($B$1,'Hoja de Trabajo'!$B$1:$ID$49,E16,)</f>
        <v>0.77339999999999998</v>
      </c>
      <c r="C16" s="1">
        <f>+HLOOKUP($C$1,'Hoja de Trabajo'!$B$1:$ID$49,E16,)</f>
        <v>0.75360000000000005</v>
      </c>
      <c r="D16" s="1">
        <f>+HLOOKUP($D$1,'Hoja de Trabajo'!$B$1:$ID$49,E16,)</f>
        <v>0.70250000000000001</v>
      </c>
      <c r="E16" s="1">
        <f t="shared" si="0"/>
        <v>16</v>
      </c>
      <c r="F16" s="13">
        <f>+HLOOKUP($F$1,IEOD!$B$1:$IK$49,Resultado!E16,)/$K$1</f>
        <v>18.545992814371257</v>
      </c>
      <c r="G16" s="13">
        <f>+HLOOKUP($G$1,IEOD!$B$1:$IK$49,E16,)/$K$1</f>
        <v>19.227332035928146</v>
      </c>
      <c r="H16" s="13">
        <f>+HLOOKUP($H$1,IEOD!$B$1:$IK$49,E16,)/$K$1</f>
        <v>18.406583832335329</v>
      </c>
      <c r="I16" s="13">
        <f>+HLOOKUP($I$1,IEOD!$B$1:$IK$49,E16,)/$K$1</f>
        <v>17.541005988023951</v>
      </c>
    </row>
    <row r="17" spans="1:9" x14ac:dyDescent="0.3">
      <c r="A17" s="1">
        <f>+HLOOKUP($A$1,'Hoja de Trabajo'!$B$1:$ID$49,E17,)</f>
        <v>0.75149999999999995</v>
      </c>
      <c r="B17" s="1">
        <f>+HLOOKUP($B$1,'Hoja de Trabajo'!$B$1:$ID$49,E17,)</f>
        <v>0.78369999999999995</v>
      </c>
      <c r="C17" s="1">
        <f>+HLOOKUP($C$1,'Hoja de Trabajo'!$B$1:$ID$49,E17,)</f>
        <v>0.75480000000000003</v>
      </c>
      <c r="D17" s="1">
        <f>+HLOOKUP($D$1,'Hoja de Trabajo'!$B$1:$ID$49,E17,)</f>
        <v>0.70879999999999999</v>
      </c>
      <c r="E17" s="1">
        <f t="shared" si="0"/>
        <v>17</v>
      </c>
      <c r="F17" s="13">
        <f>+HLOOKUP($F$1,IEOD!$B$1:$IK$49,Resultado!E17,)/$K$1</f>
        <v>22.965714071856286</v>
      </c>
      <c r="G17" s="13">
        <f>+HLOOKUP($G$1,IEOD!$B$1:$IK$49,E17,)/$K$1</f>
        <v>23.807155089820363</v>
      </c>
      <c r="H17" s="13">
        <f>+HLOOKUP($H$1,IEOD!$B$1:$IK$49,E17,)/$K$1</f>
        <v>22.75850868263473</v>
      </c>
      <c r="I17" s="13">
        <f>+HLOOKUP($I$1,IEOD!$B$1:$IK$49,E17,)/$K$1</f>
        <v>21.706694910179642</v>
      </c>
    </row>
    <row r="18" spans="1:9" x14ac:dyDescent="0.3">
      <c r="A18" s="1">
        <f>+HLOOKUP($A$1,'Hoja de Trabajo'!$B$1:$ID$49,E18,)</f>
        <v>22.784099999999999</v>
      </c>
      <c r="B18" s="1">
        <f>+HLOOKUP($B$1,'Hoja de Trabajo'!$B$1:$ID$49,E18,)</f>
        <v>23.901599999999998</v>
      </c>
      <c r="C18" s="1">
        <f>+HLOOKUP($C$1,'Hoja de Trabajo'!$B$1:$ID$49,E18,)</f>
        <v>22.749700000000001</v>
      </c>
      <c r="D18" s="1">
        <f>+HLOOKUP($D$1,'Hoja de Trabajo'!$B$1:$ID$49,E18,)</f>
        <v>21.478000000000002</v>
      </c>
      <c r="E18" s="1">
        <f t="shared" si="0"/>
        <v>18</v>
      </c>
      <c r="F18" s="13">
        <f>+HLOOKUP($F$1,IEOD!$B$1:$IK$49,Resultado!E18,)/$K$1</f>
        <v>24.881094910179641</v>
      </c>
      <c r="G18" s="13">
        <f>+HLOOKUP($G$1,IEOD!$B$1:$IK$49,E18,)/$K$1</f>
        <v>25.988437425149705</v>
      </c>
      <c r="H18" s="13">
        <f>+HLOOKUP($H$1,IEOD!$B$1:$IK$49,E18,)/$K$1</f>
        <v>24.593317964071858</v>
      </c>
      <c r="I18" s="13">
        <f>+HLOOKUP($I$1,IEOD!$B$1:$IK$49,E18,)/$K$1</f>
        <v>23.459448502994011</v>
      </c>
    </row>
    <row r="19" spans="1:9" x14ac:dyDescent="0.3">
      <c r="A19" s="1">
        <f>+HLOOKUP($A$1,'Hoja de Trabajo'!$B$1:$ID$49,E19,)</f>
        <v>24.052099999999999</v>
      </c>
      <c r="B19" s="1">
        <f>+HLOOKUP($B$1,'Hoja de Trabajo'!$B$1:$ID$49,E19,)</f>
        <v>25.337</v>
      </c>
      <c r="C19" s="1">
        <f>+HLOOKUP($C$1,'Hoja de Trabajo'!$B$1:$ID$49,E19,)</f>
        <v>24.014700000000001</v>
      </c>
      <c r="D19" s="1">
        <f>+HLOOKUP($D$1,'Hoja de Trabajo'!$B$1:$ID$49,E19,)</f>
        <v>22.668500000000002</v>
      </c>
      <c r="E19" s="1">
        <f t="shared" si="0"/>
        <v>19</v>
      </c>
      <c r="F19" s="13">
        <f>+HLOOKUP($F$1,IEOD!$B$1:$IK$49,Resultado!E19,)/$K$1</f>
        <v>25.307028443113772</v>
      </c>
      <c r="G19" s="13">
        <f>+HLOOKUP($G$1,IEOD!$B$1:$IK$49,E19,)/$K$1</f>
        <v>26.478202694610779</v>
      </c>
      <c r="H19" s="13">
        <f>+HLOOKUP($H$1,IEOD!$B$1:$IK$49,E19,)/$K$1</f>
        <v>24.965823952095811</v>
      </c>
      <c r="I19" s="13">
        <f>+HLOOKUP($I$1,IEOD!$B$1:$IK$49,E19,)/$K$1</f>
        <v>23.819028143712575</v>
      </c>
    </row>
    <row r="20" spans="1:9" x14ac:dyDescent="0.3">
      <c r="A20" s="1">
        <f>+HLOOKUP($A$1,'Hoja de Trabajo'!$B$1:$ID$49,E20,)</f>
        <v>24.515899999999998</v>
      </c>
      <c r="B20" s="1">
        <f>+HLOOKUP($B$1,'Hoja de Trabajo'!$B$1:$ID$49,E20,)</f>
        <v>25.934200000000001</v>
      </c>
      <c r="C20" s="1">
        <f>+HLOOKUP($C$1,'Hoja de Trabajo'!$B$1:$ID$49,E20,)</f>
        <v>24.434899999999999</v>
      </c>
      <c r="D20" s="1">
        <f>+HLOOKUP($D$1,'Hoja de Trabajo'!$B$1:$ID$49,E20,)</f>
        <v>23.1004</v>
      </c>
      <c r="E20" s="1">
        <f t="shared" si="0"/>
        <v>20</v>
      </c>
      <c r="F20" s="13">
        <f>+HLOOKUP($F$1,IEOD!$B$1:$IK$49,Resultado!E20,)/$K$1</f>
        <v>25.918271856287426</v>
      </c>
      <c r="G20" s="13">
        <f>+HLOOKUP($G$1,IEOD!$B$1:$IK$49,E20,)/$K$1</f>
        <v>27.218605688622755</v>
      </c>
      <c r="H20" s="13">
        <f>+HLOOKUP($H$1,IEOD!$B$1:$IK$49,E20,)/$K$1</f>
        <v>25.607951796407185</v>
      </c>
      <c r="I20" s="13">
        <f>+HLOOKUP($I$1,IEOD!$B$1:$IK$49,E20,)/$K$1</f>
        <v>24.423192514970061</v>
      </c>
    </row>
    <row r="21" spans="1:9" x14ac:dyDescent="0.3">
      <c r="A21" s="1">
        <f>+HLOOKUP($A$1,'Hoja de Trabajo'!$B$1:$ID$49,E21,)</f>
        <v>24.524799999999999</v>
      </c>
      <c r="B21" s="1">
        <f>+HLOOKUP($B$1,'Hoja de Trabajo'!$B$1:$ID$49,E21,)</f>
        <v>25.968699999999998</v>
      </c>
      <c r="C21" s="1">
        <f>+HLOOKUP($C$1,'Hoja de Trabajo'!$B$1:$ID$49,E21,)</f>
        <v>24.3734</v>
      </c>
      <c r="D21" s="1">
        <f>+HLOOKUP($D$1,'Hoja de Trabajo'!$B$1:$ID$49,E21,)</f>
        <v>23.093399999999999</v>
      </c>
      <c r="E21" s="1">
        <f t="shared" si="0"/>
        <v>21</v>
      </c>
      <c r="F21" s="13">
        <f>+HLOOKUP($F$1,IEOD!$B$1:$IK$49,Resultado!E21,)/$K$1</f>
        <v>26.79844880239521</v>
      </c>
      <c r="G21" s="13">
        <f>+HLOOKUP($G$1,IEOD!$B$1:$IK$49,E21,)/$K$1</f>
        <v>28.085460479041917</v>
      </c>
      <c r="H21" s="13">
        <f>+HLOOKUP($H$1,IEOD!$B$1:$IK$49,E21,)/$K$1</f>
        <v>26.447549700598806</v>
      </c>
      <c r="I21" s="13">
        <f>+HLOOKUP($I$1,IEOD!$B$1:$IK$49,E21,)/$K$1</f>
        <v>25.245800898203594</v>
      </c>
    </row>
    <row r="22" spans="1:9" x14ac:dyDescent="0.3">
      <c r="A22" s="1">
        <f>+HLOOKUP($A$1,'Hoja de Trabajo'!$B$1:$ID$49,E22,)</f>
        <v>24.721</v>
      </c>
      <c r="B22" s="1">
        <f>+HLOOKUP($B$1,'Hoja de Trabajo'!$B$1:$ID$49,E22,)</f>
        <v>26.237500000000001</v>
      </c>
      <c r="C22" s="1">
        <f>+HLOOKUP($C$1,'Hoja de Trabajo'!$B$1:$ID$49,E22,)</f>
        <v>24.474799999999998</v>
      </c>
      <c r="D22" s="1">
        <f>+HLOOKUP($D$1,'Hoja de Trabajo'!$B$1:$ID$49,E22,)</f>
        <v>23.259599999999999</v>
      </c>
      <c r="E22" s="1">
        <f t="shared" si="0"/>
        <v>22</v>
      </c>
      <c r="F22" s="13">
        <f>+HLOOKUP($F$1,IEOD!$B$1:$IK$49,Resultado!E22,)/$K$1</f>
        <v>27.386516766467068</v>
      </c>
      <c r="G22" s="13">
        <f>+HLOOKUP($G$1,IEOD!$B$1:$IK$49,E22,)/$K$1</f>
        <v>28.626387724550899</v>
      </c>
      <c r="H22" s="13">
        <f>+HLOOKUP($H$1,IEOD!$B$1:$IK$49,E22,)/$K$1</f>
        <v>26.95754371257485</v>
      </c>
      <c r="I22" s="13">
        <f>+HLOOKUP($I$1,IEOD!$B$1:$IK$49,E22,)/$K$1</f>
        <v>25.800661676646708</v>
      </c>
    </row>
    <row r="23" spans="1:9" x14ac:dyDescent="0.3">
      <c r="A23" s="1">
        <f>+HLOOKUP($A$1,'Hoja de Trabajo'!$B$1:$ID$49,E23,)</f>
        <v>24.793900000000001</v>
      </c>
      <c r="B23" s="1">
        <f>+HLOOKUP($B$1,'Hoja de Trabajo'!$B$1:$ID$49,E23,)</f>
        <v>26.341200000000001</v>
      </c>
      <c r="C23" s="1">
        <f>+HLOOKUP($C$1,'Hoja de Trabajo'!$B$1:$ID$49,E23,)</f>
        <v>24.506799999999998</v>
      </c>
      <c r="D23" s="1">
        <f>+HLOOKUP($D$1,'Hoja de Trabajo'!$B$1:$ID$49,E23,)</f>
        <v>23.316299999999998</v>
      </c>
      <c r="E23" s="1">
        <f t="shared" si="0"/>
        <v>23</v>
      </c>
      <c r="F23" s="13">
        <f>+HLOOKUP($F$1,IEOD!$B$1:$IK$49,Resultado!E23,)/$K$1</f>
        <v>33.115821257485031</v>
      </c>
      <c r="G23" s="13">
        <f>+HLOOKUP($G$1,IEOD!$B$1:$IK$49,E23,)/$K$1</f>
        <v>34.701181137724554</v>
      </c>
      <c r="H23" s="13">
        <f>+HLOOKUP($H$1,IEOD!$B$1:$IK$49,E23,)/$K$1</f>
        <v>32.927267664670659</v>
      </c>
      <c r="I23" s="13">
        <f>+HLOOKUP($I$1,IEOD!$B$1:$IK$49,E23,)/$K$1</f>
        <v>31.294021556886229</v>
      </c>
    </row>
    <row r="24" spans="1:9" x14ac:dyDescent="0.3">
      <c r="A24" s="1">
        <f>+HLOOKUP($A$1,'Hoja de Trabajo'!$B$1:$ID$49,E24,)</f>
        <v>25.7514</v>
      </c>
      <c r="B24" s="1">
        <f>+HLOOKUP($B$1,'Hoja de Trabajo'!$B$1:$ID$49,E24,)</f>
        <v>27.393899999999999</v>
      </c>
      <c r="C24" s="1">
        <f>+HLOOKUP($C$1,'Hoja de Trabajo'!$B$1:$ID$49,E24,)</f>
        <v>25.396699999999999</v>
      </c>
      <c r="D24" s="1">
        <f>+HLOOKUP($D$1,'Hoja de Trabajo'!$B$1:$ID$49,E24,)</f>
        <v>24.1998</v>
      </c>
      <c r="E24" s="1">
        <f t="shared" si="0"/>
        <v>24</v>
      </c>
      <c r="F24" s="13">
        <f>+HLOOKUP($F$1,IEOD!$B$1:$IK$49,Resultado!E24,)/$K$1</f>
        <v>34.471089221556888</v>
      </c>
      <c r="G24" s="13">
        <f>+HLOOKUP($G$1,IEOD!$B$1:$IK$49,E24,)/$K$1</f>
        <v>36.354953293413175</v>
      </c>
      <c r="H24" s="13">
        <f>+HLOOKUP($H$1,IEOD!$B$1:$IK$49,E24,)/$K$1</f>
        <v>34.575805988023951</v>
      </c>
      <c r="I24" s="13">
        <f>+HLOOKUP($I$1,IEOD!$B$1:$IK$49,E24,)/$K$1</f>
        <v>32.713630838323354</v>
      </c>
    </row>
    <row r="25" spans="1:9" x14ac:dyDescent="0.3">
      <c r="A25" s="1">
        <f>+HLOOKUP($A$1,'Hoja de Trabajo'!$B$1:$ID$49,E25,)</f>
        <v>25.077400000000001</v>
      </c>
      <c r="B25" s="1">
        <f>+HLOOKUP($B$1,'Hoja de Trabajo'!$B$1:$ID$49,E25,)</f>
        <v>26.676600000000001</v>
      </c>
      <c r="C25" s="1">
        <f>+HLOOKUP($C$1,'Hoja de Trabajo'!$B$1:$ID$49,E25,)</f>
        <v>24.755800000000001</v>
      </c>
      <c r="D25" s="1">
        <f>+HLOOKUP($D$1,'Hoja de Trabajo'!$B$1:$ID$49,E25,)</f>
        <v>23.558900000000001</v>
      </c>
      <c r="E25" s="1">
        <f t="shared" si="0"/>
        <v>25</v>
      </c>
      <c r="F25" s="13">
        <f>+HLOOKUP($F$1,IEOD!$B$1:$IK$49,Resultado!E25,)/$K$1</f>
        <v>34.332368562874258</v>
      </c>
      <c r="G25" s="13">
        <f>+HLOOKUP($G$1,IEOD!$B$1:$IK$49,E25,)/$K$1</f>
        <v>36.147023652694614</v>
      </c>
      <c r="H25" s="13">
        <f>+HLOOKUP($H$1,IEOD!$B$1:$IK$49,E25,)/$K$1</f>
        <v>34.046214371257484</v>
      </c>
      <c r="I25" s="13">
        <f>+HLOOKUP($I$1,IEOD!$B$1:$IK$49,E25,)/$K$1</f>
        <v>32.456436826347307</v>
      </c>
    </row>
    <row r="26" spans="1:9" x14ac:dyDescent="0.3">
      <c r="A26" s="1">
        <f>+HLOOKUP($A$1,'Hoja de Trabajo'!$B$1:$ID$49,E26,)</f>
        <v>25.081399999999999</v>
      </c>
      <c r="B26" s="1">
        <f>+HLOOKUP($B$1,'Hoja de Trabajo'!$B$1:$ID$49,E26,)</f>
        <v>26.675699999999999</v>
      </c>
      <c r="C26" s="1">
        <f>+HLOOKUP($C$1,'Hoja de Trabajo'!$B$1:$ID$49,E26,)</f>
        <v>24.7621</v>
      </c>
      <c r="D26" s="1">
        <f>+HLOOKUP($D$1,'Hoja de Trabajo'!$B$1:$ID$49,E26,)</f>
        <v>23.5503</v>
      </c>
      <c r="E26" s="1">
        <f t="shared" si="0"/>
        <v>26</v>
      </c>
      <c r="F26" s="13">
        <f>+HLOOKUP($F$1,IEOD!$B$1:$IK$49,Resultado!E26,)/$K$1</f>
        <v>32.986392215568863</v>
      </c>
      <c r="G26" s="13">
        <f>+HLOOKUP($G$1,IEOD!$B$1:$IK$49,E26,)/$K$1</f>
        <v>34.635398502994015</v>
      </c>
      <c r="H26" s="13">
        <f>+HLOOKUP($H$1,IEOD!$B$1:$IK$49,E26,)/$K$1</f>
        <v>32.903905688622757</v>
      </c>
      <c r="I26" s="13">
        <f>+HLOOKUP($I$1,IEOD!$B$1:$IK$49,E26,)/$K$1</f>
        <v>31.302038023952097</v>
      </c>
    </row>
    <row r="27" spans="1:9" x14ac:dyDescent="0.3">
      <c r="A27" s="1">
        <f>+HLOOKUP($A$1,'Hoja de Trabajo'!$B$1:$ID$49,E27,)</f>
        <v>24.8062</v>
      </c>
      <c r="B27" s="1">
        <f>+HLOOKUP($B$1,'Hoja de Trabajo'!$B$1:$ID$49,E27,)</f>
        <v>26.0443</v>
      </c>
      <c r="C27" s="1">
        <f>+HLOOKUP($C$1,'Hoja de Trabajo'!$B$1:$ID$49,E27,)</f>
        <v>23.3264</v>
      </c>
      <c r="D27" s="1">
        <f>+HLOOKUP($D$1,'Hoja de Trabajo'!$B$1:$ID$49,E27,)</f>
        <v>23.223600000000001</v>
      </c>
      <c r="E27" s="1">
        <f t="shared" si="0"/>
        <v>27</v>
      </c>
      <c r="F27" s="13">
        <f>+HLOOKUP($F$1,IEOD!$B$1:$IK$49,Resultado!E27,)/$K$1</f>
        <v>30.452162275449105</v>
      </c>
      <c r="G27" s="13">
        <f>+HLOOKUP($G$1,IEOD!$B$1:$IK$49,E27,)/$K$1</f>
        <v>31.948545508982036</v>
      </c>
      <c r="H27" s="13">
        <f>+HLOOKUP($H$1,IEOD!$B$1:$IK$49,E27,)/$K$1</f>
        <v>30.212671257485031</v>
      </c>
      <c r="I27" s="13">
        <f>+HLOOKUP($I$1,IEOD!$B$1:$IK$49,E27,)/$K$1</f>
        <v>28.708921257485034</v>
      </c>
    </row>
    <row r="28" spans="1:9" x14ac:dyDescent="0.3">
      <c r="A28" s="1">
        <f>+HLOOKUP($A$1,'Hoja de Trabajo'!$B$1:$ID$49,E28,)</f>
        <v>24.945599999999999</v>
      </c>
      <c r="B28" s="1">
        <f>+HLOOKUP($B$1,'Hoja de Trabajo'!$B$1:$ID$49,E28,)</f>
        <v>25.708200000000001</v>
      </c>
      <c r="C28" s="1">
        <f>+HLOOKUP($C$1,'Hoja de Trabajo'!$B$1:$ID$49,E28,)</f>
        <v>21.4358</v>
      </c>
      <c r="D28" s="1">
        <f>+HLOOKUP($D$1,'Hoja de Trabajo'!$B$1:$ID$49,E28,)</f>
        <v>23.239599999999999</v>
      </c>
      <c r="E28" s="1">
        <f t="shared" si="0"/>
        <v>28</v>
      </c>
      <c r="F28" s="13">
        <f>+HLOOKUP($F$1,IEOD!$B$1:$IK$49,Resultado!E28,)/$K$1</f>
        <v>30.183223353293414</v>
      </c>
      <c r="G28" s="13">
        <f>+HLOOKUP($G$1,IEOD!$B$1:$IK$49,E28,)/$K$1</f>
        <v>31.589868562874251</v>
      </c>
      <c r="H28" s="13">
        <f>+HLOOKUP($H$1,IEOD!$B$1:$IK$49,E28,)/$K$1</f>
        <v>29.867478443113775</v>
      </c>
      <c r="I28" s="13">
        <f>+HLOOKUP($I$1,IEOD!$B$1:$IK$49,E28,)/$K$1</f>
        <v>28.419643712574853</v>
      </c>
    </row>
    <row r="29" spans="1:9" x14ac:dyDescent="0.3">
      <c r="A29" s="1">
        <f>+HLOOKUP($A$1,'Hoja de Trabajo'!$B$1:$ID$49,E29,)</f>
        <v>24.927299999999999</v>
      </c>
      <c r="B29" s="1">
        <f>+HLOOKUP($B$1,'Hoja de Trabajo'!$B$1:$ID$49,E29,)</f>
        <v>25.667200000000001</v>
      </c>
      <c r="C29" s="1">
        <f>+HLOOKUP($C$1,'Hoja de Trabajo'!$B$1:$ID$49,E29,)</f>
        <v>21.514700000000001</v>
      </c>
      <c r="D29" s="1">
        <f>+HLOOKUP($D$1,'Hoja de Trabajo'!$B$1:$ID$49,E29,)</f>
        <v>23.247399999999999</v>
      </c>
      <c r="E29" s="1">
        <f t="shared" si="0"/>
        <v>29</v>
      </c>
      <c r="F29" s="13">
        <f>+HLOOKUP($F$1,IEOD!$B$1:$IK$49,Resultado!E29,)/$K$1</f>
        <v>33.149570958083835</v>
      </c>
      <c r="G29" s="13">
        <f>+HLOOKUP($G$1,IEOD!$B$1:$IK$49,E29,)/$K$1</f>
        <v>34.634861377245507</v>
      </c>
      <c r="H29" s="13">
        <f>+HLOOKUP($H$1,IEOD!$B$1:$IK$49,E29,)/$K$1</f>
        <v>33.072076047904197</v>
      </c>
      <c r="I29" s="13">
        <f>+HLOOKUP($I$1,IEOD!$B$1:$IK$49,E29,)/$K$1</f>
        <v>31.366819461077846</v>
      </c>
    </row>
    <row r="30" spans="1:9" x14ac:dyDescent="0.3">
      <c r="A30" s="1">
        <f>+HLOOKUP($A$1,'Hoja de Trabajo'!$B$1:$ID$49,E30,)</f>
        <v>24.981300000000001</v>
      </c>
      <c r="B30" s="1">
        <f>+HLOOKUP($B$1,'Hoja de Trabajo'!$B$1:$ID$49,E30,)</f>
        <v>25.767299999999999</v>
      </c>
      <c r="C30" s="1">
        <f>+HLOOKUP($C$1,'Hoja de Trabajo'!$B$1:$ID$49,E30,)</f>
        <v>21.6568</v>
      </c>
      <c r="D30" s="1">
        <f>+HLOOKUP($D$1,'Hoja de Trabajo'!$B$1:$ID$49,E30,)</f>
        <v>23.328499999999998</v>
      </c>
      <c r="E30" s="1">
        <f t="shared" si="0"/>
        <v>30</v>
      </c>
      <c r="F30" s="13">
        <f>+HLOOKUP($F$1,IEOD!$B$1:$IK$49,Resultado!E30,)/$K$1</f>
        <v>37.85292155688623</v>
      </c>
      <c r="G30" s="13">
        <f>+HLOOKUP($G$1,IEOD!$B$1:$IK$49,E30,)/$K$1</f>
        <v>39.790967664670667</v>
      </c>
      <c r="H30" s="13">
        <f>+HLOOKUP($H$1,IEOD!$B$1:$IK$49,E30,)/$K$1</f>
        <v>37.965025149700601</v>
      </c>
      <c r="I30" s="13">
        <f>+HLOOKUP($I$1,IEOD!$B$1:$IK$49,E30,)/$K$1</f>
        <v>35.834974850299403</v>
      </c>
    </row>
    <row r="31" spans="1:9" x14ac:dyDescent="0.3">
      <c r="A31" s="1">
        <f>+HLOOKUP($A$1,'Hoja de Trabajo'!$B$1:$ID$49,E31,)</f>
        <v>24.988199999999999</v>
      </c>
      <c r="B31" s="1">
        <f>+HLOOKUP($B$1,'Hoja de Trabajo'!$B$1:$ID$49,E31,)</f>
        <v>25.7683</v>
      </c>
      <c r="C31" s="1">
        <f>+HLOOKUP($C$1,'Hoja de Trabajo'!$B$1:$ID$49,E31,)</f>
        <v>21.772099999999998</v>
      </c>
      <c r="D31" s="1">
        <f>+HLOOKUP($D$1,'Hoja de Trabajo'!$B$1:$ID$49,E31,)</f>
        <v>23.359500000000001</v>
      </c>
      <c r="E31" s="1">
        <f t="shared" si="0"/>
        <v>31</v>
      </c>
      <c r="F31" s="13">
        <f>+HLOOKUP($F$1,IEOD!$B$1:$IK$49,Resultado!E31,)/$K$1</f>
        <v>39.175038922155686</v>
      </c>
      <c r="G31" s="13">
        <f>+HLOOKUP($G$1,IEOD!$B$1:$IK$49,E31,)/$K$1</f>
        <v>41.084574850299397</v>
      </c>
      <c r="H31" s="13">
        <f>+HLOOKUP($H$1,IEOD!$B$1:$IK$49,E31,)/$K$1</f>
        <v>39.11430928143713</v>
      </c>
      <c r="I31" s="13">
        <f>+HLOOKUP($I$1,IEOD!$B$1:$IK$49,E31,)/$K$1</f>
        <v>37.044977844311383</v>
      </c>
    </row>
    <row r="32" spans="1:9" x14ac:dyDescent="0.3">
      <c r="A32" s="1">
        <f>+HLOOKUP($A$1,'Hoja de Trabajo'!$B$1:$ID$49,E32,)</f>
        <v>29.510100000000001</v>
      </c>
      <c r="B32" s="1">
        <f>+HLOOKUP($B$1,'Hoja de Trabajo'!$B$1:$ID$49,E32,)</f>
        <v>31.167000000000002</v>
      </c>
      <c r="C32" s="1">
        <f>+HLOOKUP($C$1,'Hoja de Trabajo'!$B$1:$ID$49,E32,)</f>
        <v>29.751200000000001</v>
      </c>
      <c r="D32" s="1">
        <f>+HLOOKUP($D$1,'Hoja de Trabajo'!$B$1:$ID$49,E32,)</f>
        <v>27.812799999999999</v>
      </c>
      <c r="E32" s="1">
        <f t="shared" si="0"/>
        <v>32</v>
      </c>
      <c r="F32" s="13">
        <f>+HLOOKUP($F$1,IEOD!$B$1:$IK$49,Resultado!E32,)/$K$1</f>
        <v>37.560439221556884</v>
      </c>
      <c r="G32" s="13">
        <f>+HLOOKUP($G$1,IEOD!$B$1:$IK$49,E32,)/$K$1</f>
        <v>39.490538922155693</v>
      </c>
      <c r="H32" s="13">
        <f>+HLOOKUP($H$1,IEOD!$B$1:$IK$49,E32,)/$K$1</f>
        <v>37.61062005988024</v>
      </c>
      <c r="I32" s="13">
        <f>+HLOOKUP($I$1,IEOD!$B$1:$IK$49,E32,)/$K$1</f>
        <v>35.408032934131739</v>
      </c>
    </row>
    <row r="33" spans="1:9" x14ac:dyDescent="0.3">
      <c r="A33" s="1">
        <f>+HLOOKUP($A$1,'Hoja de Trabajo'!$B$1:$ID$49,E33,)</f>
        <v>25.080500000000001</v>
      </c>
      <c r="B33" s="1">
        <f>+HLOOKUP($B$1,'Hoja de Trabajo'!$B$1:$ID$49,E33,)</f>
        <v>26.426600000000001</v>
      </c>
      <c r="C33" s="1">
        <f>+HLOOKUP($C$1,'Hoja de Trabajo'!$B$1:$ID$49,E33,)</f>
        <v>25.464700000000001</v>
      </c>
      <c r="D33" s="1">
        <f>+HLOOKUP($D$1,'Hoja de Trabajo'!$B$1:$ID$49,E33,)</f>
        <v>23.669699999999999</v>
      </c>
      <c r="E33" s="1">
        <f t="shared" si="0"/>
        <v>33</v>
      </c>
      <c r="F33" s="13">
        <f>+HLOOKUP($F$1,IEOD!$B$1:$IK$49,Resultado!E33,)/$K$1</f>
        <v>45.713238922155689</v>
      </c>
      <c r="G33" s="13">
        <f>+HLOOKUP($G$1,IEOD!$B$1:$IK$49,E33,)/$K$1</f>
        <v>48.08261946107784</v>
      </c>
      <c r="H33" s="13">
        <f>+HLOOKUP($H$1,IEOD!$B$1:$IK$49,E33,)/$K$1</f>
        <v>46.960341317365277</v>
      </c>
      <c r="I33" s="13">
        <f>+HLOOKUP($I$1,IEOD!$B$1:$IK$49,E33,)/$K$1</f>
        <v>43.435185628742516</v>
      </c>
    </row>
    <row r="34" spans="1:9" x14ac:dyDescent="0.3">
      <c r="A34" s="1">
        <f>+HLOOKUP($A$1,'Hoja de Trabajo'!$B$1:$ID$49,E34,)</f>
        <v>29.4696</v>
      </c>
      <c r="B34" s="1">
        <f>+HLOOKUP($B$1,'Hoja de Trabajo'!$B$1:$ID$49,E34,)</f>
        <v>30.995999999999999</v>
      </c>
      <c r="C34" s="1">
        <f>+HLOOKUP($C$1,'Hoja de Trabajo'!$B$1:$ID$49,E34,)</f>
        <v>30.231999999999999</v>
      </c>
      <c r="D34" s="1">
        <f>+HLOOKUP($D$1,'Hoja de Trabajo'!$B$1:$ID$49,E34,)</f>
        <v>27.820399999999999</v>
      </c>
      <c r="E34" s="1">
        <f t="shared" si="0"/>
        <v>34</v>
      </c>
      <c r="F34" s="13">
        <f>+HLOOKUP($F$1,IEOD!$B$1:$IK$49,Resultado!E34,)/$K$1</f>
        <v>46.039604191616768</v>
      </c>
      <c r="G34" s="13">
        <f>+HLOOKUP($G$1,IEOD!$B$1:$IK$49,E34,)/$K$1</f>
        <v>48.278925149700598</v>
      </c>
      <c r="H34" s="13">
        <f>+HLOOKUP($H$1,IEOD!$B$1:$IK$49,E34,)/$K$1</f>
        <v>47.411816167664675</v>
      </c>
      <c r="I34" s="13">
        <f>+HLOOKUP($I$1,IEOD!$B$1:$IK$49,E34,)/$K$1</f>
        <v>43.750398203592816</v>
      </c>
    </row>
    <row r="35" spans="1:9" x14ac:dyDescent="0.3">
      <c r="A35" s="1">
        <f>+HLOOKUP($A$1,'Hoja de Trabajo'!$B$1:$ID$49,E35,)</f>
        <v>29.838999999999999</v>
      </c>
      <c r="B35" s="1">
        <f>+HLOOKUP($B$1,'Hoja de Trabajo'!$B$1:$ID$49,E35,)</f>
        <v>31.3384</v>
      </c>
      <c r="C35" s="1">
        <f>+HLOOKUP($C$1,'Hoja de Trabajo'!$B$1:$ID$49,E35,)</f>
        <v>30.943200000000001</v>
      </c>
      <c r="D35" s="1">
        <f>+HLOOKUP($D$1,'Hoja de Trabajo'!$B$1:$ID$49,E35,)</f>
        <v>28.218599999999999</v>
      </c>
      <c r="E35" s="1">
        <f t="shared" si="0"/>
        <v>35</v>
      </c>
      <c r="F35" s="13">
        <f>+HLOOKUP($F$1,IEOD!$B$1:$IK$49,Resultado!E35,)/$K$1</f>
        <v>45.827257185628746</v>
      </c>
      <c r="G35" s="13">
        <f>+HLOOKUP($G$1,IEOD!$B$1:$IK$49,E35,)/$K$1</f>
        <v>48.28737065868264</v>
      </c>
      <c r="H35" s="13">
        <f>+HLOOKUP($H$1,IEOD!$B$1:$IK$49,E35,)/$K$1</f>
        <v>47.637342814371259</v>
      </c>
      <c r="I35" s="13">
        <f>+HLOOKUP($I$1,IEOD!$B$1:$IK$49,E35,)/$K$1</f>
        <v>43.77306826347305</v>
      </c>
    </row>
    <row r="36" spans="1:9" x14ac:dyDescent="0.3">
      <c r="A36" s="1">
        <f>+HLOOKUP($A$1,'Hoja de Trabajo'!$B$1:$ID$49,E36,)</f>
        <v>25.678100000000001</v>
      </c>
      <c r="B36" s="1">
        <f>+HLOOKUP($B$1,'Hoja de Trabajo'!$B$1:$ID$49,E36,)</f>
        <v>26.902999999999999</v>
      </c>
      <c r="C36" s="1">
        <f>+HLOOKUP($C$1,'Hoja de Trabajo'!$B$1:$ID$49,E36,)</f>
        <v>26.826699999999999</v>
      </c>
      <c r="D36" s="1">
        <f>+HLOOKUP($D$1,'Hoja de Trabajo'!$B$1:$ID$49,E36,)</f>
        <v>24.322600000000001</v>
      </c>
      <c r="E36" s="1">
        <f t="shared" si="0"/>
        <v>36</v>
      </c>
      <c r="F36" s="13">
        <f>+HLOOKUP($F$1,IEOD!$B$1:$IK$49,Resultado!E36,)/$K$1</f>
        <v>33.651172754491022</v>
      </c>
      <c r="G36" s="13">
        <f>+HLOOKUP($G$1,IEOD!$B$1:$IK$49,E36,)/$K$1</f>
        <v>35.187802994011975</v>
      </c>
      <c r="H36" s="13">
        <f>+HLOOKUP($H$1,IEOD!$B$1:$IK$49,E36,)/$K$1</f>
        <v>34.810361976047908</v>
      </c>
      <c r="I36" s="13">
        <f>+HLOOKUP($I$1,IEOD!$B$1:$IK$49,E36,)/$K$1</f>
        <v>32.005362574850302</v>
      </c>
    </row>
    <row r="37" spans="1:9" x14ac:dyDescent="0.3">
      <c r="A37" s="1">
        <f>+HLOOKUP($A$1,'Hoja de Trabajo'!$B$1:$ID$49,E37,)</f>
        <v>24.7837</v>
      </c>
      <c r="B37" s="1">
        <f>+HLOOKUP($B$1,'Hoja de Trabajo'!$B$1:$ID$49,E37,)</f>
        <v>25.838999999999999</v>
      </c>
      <c r="C37" s="1">
        <f>+HLOOKUP($C$1,'Hoja de Trabajo'!$B$1:$ID$49,E37,)</f>
        <v>26.107600000000001</v>
      </c>
      <c r="D37" s="1">
        <f>+HLOOKUP($D$1,'Hoja de Trabajo'!$B$1:$ID$49,E37,)</f>
        <v>23.535399999999999</v>
      </c>
      <c r="E37" s="1">
        <f t="shared" si="0"/>
        <v>37</v>
      </c>
      <c r="F37" s="13">
        <f>+HLOOKUP($F$1,IEOD!$B$1:$IK$49,Resultado!E37,)/$K$1</f>
        <v>29.975824550898203</v>
      </c>
      <c r="G37" s="13">
        <f>+HLOOKUP($G$1,IEOD!$B$1:$IK$49,E37,)/$K$1</f>
        <v>31.403621556886229</v>
      </c>
      <c r="H37" s="13">
        <f>+HLOOKUP($H$1,IEOD!$B$1:$IK$49,E37,)/$K$1</f>
        <v>31.371144610778444</v>
      </c>
      <c r="I37" s="13">
        <f>+HLOOKUP($I$1,IEOD!$B$1:$IK$49,E37,)/$K$1</f>
        <v>28.593561377245511</v>
      </c>
    </row>
    <row r="38" spans="1:9" x14ac:dyDescent="0.3">
      <c r="A38" s="1">
        <f>+HLOOKUP($A$1,'Hoja de Trabajo'!$B$1:$ID$49,E38,)</f>
        <v>24.789100000000001</v>
      </c>
      <c r="B38" s="1">
        <f>+HLOOKUP($B$1,'Hoja de Trabajo'!$B$1:$ID$49,E38,)</f>
        <v>25.851400000000002</v>
      </c>
      <c r="C38" s="1">
        <f>+HLOOKUP($C$1,'Hoja de Trabajo'!$B$1:$ID$49,E38,)</f>
        <v>26.223700000000001</v>
      </c>
      <c r="D38" s="1">
        <f>+HLOOKUP($D$1,'Hoja de Trabajo'!$B$1:$ID$49,E38,)</f>
        <v>23.5792</v>
      </c>
      <c r="E38" s="1">
        <f t="shared" si="0"/>
        <v>38</v>
      </c>
      <c r="F38" s="13">
        <f>+HLOOKUP($F$1,IEOD!$B$1:$IK$49,Resultado!E38,)/$K$1</f>
        <v>29.886670359281439</v>
      </c>
      <c r="G38" s="13">
        <f>+HLOOKUP($G$1,IEOD!$B$1:$IK$49,E38,)/$K$1</f>
        <v>31.293991616766469</v>
      </c>
      <c r="H38" s="13">
        <f>+HLOOKUP($H$1,IEOD!$B$1:$IK$49,E38,)/$K$1</f>
        <v>31.512780838323355</v>
      </c>
      <c r="I38" s="13">
        <f>+HLOOKUP($I$1,IEOD!$B$1:$IK$49,E38,)/$K$1</f>
        <v>28.591687125748503</v>
      </c>
    </row>
    <row r="39" spans="1:9" x14ac:dyDescent="0.3">
      <c r="A39" s="1">
        <f>+HLOOKUP($A$1,'Hoja de Trabajo'!$B$1:$ID$49,E39,)</f>
        <v>29.805499999999999</v>
      </c>
      <c r="B39" s="1">
        <f>+HLOOKUP($B$1,'Hoja de Trabajo'!$B$1:$ID$49,E39,)</f>
        <v>31.353400000000001</v>
      </c>
      <c r="C39" s="1">
        <f>+HLOOKUP($C$1,'Hoja de Trabajo'!$B$1:$ID$49,E39,)</f>
        <v>31.567900000000002</v>
      </c>
      <c r="D39" s="1">
        <f>+HLOOKUP($D$1,'Hoja de Trabajo'!$B$1:$ID$49,E39,)</f>
        <v>28.360499999999998</v>
      </c>
      <c r="E39" s="1">
        <f t="shared" si="0"/>
        <v>39</v>
      </c>
      <c r="F39" s="13">
        <f>+HLOOKUP($F$1,IEOD!$B$1:$IK$49,Resultado!E39,)/$K$1</f>
        <v>44.679125449101797</v>
      </c>
      <c r="G39" s="13">
        <f>+HLOOKUP($G$1,IEOD!$B$1:$IK$49,E39,)/$K$1</f>
        <v>47.119741916167669</v>
      </c>
      <c r="H39" s="13">
        <f>+HLOOKUP($H$1,IEOD!$B$1:$IK$49,E39,)/$K$1</f>
        <v>47.111765269461081</v>
      </c>
      <c r="I39" s="13">
        <f>+HLOOKUP($I$1,IEOD!$B$1:$IK$49,E39,)/$K$1</f>
        <v>42.760237724550905</v>
      </c>
    </row>
    <row r="40" spans="1:9" x14ac:dyDescent="0.3">
      <c r="A40" s="1">
        <f>+HLOOKUP($A$1,'Hoja de Trabajo'!$B$1:$ID$49,E40,)</f>
        <v>30.5059</v>
      </c>
      <c r="B40" s="1">
        <f>+HLOOKUP($B$1,'Hoja de Trabajo'!$B$1:$ID$49,E40,)</f>
        <v>32.1997</v>
      </c>
      <c r="C40" s="1">
        <f>+HLOOKUP($C$1,'Hoja de Trabajo'!$B$1:$ID$49,E40,)</f>
        <v>32.3444</v>
      </c>
      <c r="D40" s="1">
        <f>+HLOOKUP($D$1,'Hoja de Trabajo'!$B$1:$ID$49,E40,)</f>
        <v>29.040900000000001</v>
      </c>
      <c r="E40" s="1">
        <f t="shared" si="0"/>
        <v>40</v>
      </c>
      <c r="F40" s="13">
        <f>+HLOOKUP($F$1,IEOD!$B$1:$IK$49,Resultado!E40,)/$K$1</f>
        <v>33.947241017964075</v>
      </c>
      <c r="G40" s="13">
        <f>+HLOOKUP($G$1,IEOD!$B$1:$IK$49,E40,)/$K$1</f>
        <v>35.890486227544912</v>
      </c>
      <c r="H40" s="13">
        <f>+HLOOKUP($H$1,IEOD!$B$1:$IK$49,E40,)/$K$1</f>
        <v>35.886393113772456</v>
      </c>
      <c r="I40" s="13">
        <f>+HLOOKUP($I$1,IEOD!$B$1:$IK$49,E40,)/$K$1</f>
        <v>32.555997005988026</v>
      </c>
    </row>
    <row r="41" spans="1:9" x14ac:dyDescent="0.3">
      <c r="A41" s="1">
        <f>+HLOOKUP($A$1,'Hoja de Trabajo'!$B$1:$ID$49,E41,)</f>
        <v>30.461600000000001</v>
      </c>
      <c r="B41" s="1">
        <f>+HLOOKUP($B$1,'Hoja de Trabajo'!$B$1:$ID$49,E41,)</f>
        <v>32.151200000000003</v>
      </c>
      <c r="C41" s="1">
        <f>+HLOOKUP($C$1,'Hoja de Trabajo'!$B$1:$ID$49,E41,)</f>
        <v>32.318100000000001</v>
      </c>
      <c r="D41" s="1">
        <f>+HLOOKUP($D$1,'Hoja de Trabajo'!$B$1:$ID$49,E41,)</f>
        <v>29.012699999999999</v>
      </c>
      <c r="E41" s="1">
        <f t="shared" si="0"/>
        <v>41</v>
      </c>
      <c r="F41" s="13">
        <f>+HLOOKUP($F$1,IEOD!$B$1:$IK$49,Resultado!E41,)/$K$1</f>
        <v>33.84635119760479</v>
      </c>
      <c r="G41" s="13">
        <f>+HLOOKUP($G$1,IEOD!$B$1:$IK$49,E41,)/$K$1</f>
        <v>35.796805389221561</v>
      </c>
      <c r="H41" s="13">
        <f>+HLOOKUP($H$1,IEOD!$B$1:$IK$49,E41,)/$K$1</f>
        <v>35.858210778443116</v>
      </c>
      <c r="I41" s="13">
        <f>+HLOOKUP($I$1,IEOD!$B$1:$IK$49,E41,)/$K$1</f>
        <v>32.497676047904193</v>
      </c>
    </row>
    <row r="42" spans="1:9" x14ac:dyDescent="0.3">
      <c r="A42" s="1">
        <f>+HLOOKUP($A$1,'Hoja de Trabajo'!$B$1:$ID$49,E42,)</f>
        <v>29.825500000000002</v>
      </c>
      <c r="B42" s="1">
        <f>+HLOOKUP($B$1,'Hoja de Trabajo'!$B$1:$ID$49,E42,)</f>
        <v>31.411899999999999</v>
      </c>
      <c r="C42" s="1">
        <f>+HLOOKUP($C$1,'Hoja de Trabajo'!$B$1:$ID$49,E42,)</f>
        <v>31.732399999999998</v>
      </c>
      <c r="D42" s="1">
        <f>+HLOOKUP($D$1,'Hoja de Trabajo'!$B$1:$ID$49,E42,)</f>
        <v>28.432300000000001</v>
      </c>
      <c r="E42" s="1">
        <f t="shared" si="0"/>
        <v>42</v>
      </c>
      <c r="F42" s="13">
        <f>+HLOOKUP($F$1,IEOD!$B$1:$IK$49,Resultado!E42,)/$K$1</f>
        <v>33.423906886227542</v>
      </c>
      <c r="G42" s="13">
        <f>+HLOOKUP($G$1,IEOD!$B$1:$IK$49,E42,)/$K$1</f>
        <v>35.380433233532933</v>
      </c>
      <c r="H42" s="13">
        <f>+HLOOKUP($H$1,IEOD!$B$1:$IK$49,E42,)/$K$1</f>
        <v>35.457435628742516</v>
      </c>
      <c r="I42" s="13">
        <f>+HLOOKUP($I$1,IEOD!$B$1:$IK$49,E42,)/$K$1</f>
        <v>32.085991916167664</v>
      </c>
    </row>
    <row r="43" spans="1:9" x14ac:dyDescent="0.3">
      <c r="A43" s="1">
        <f>+HLOOKUP($A$1,'Hoja de Trabajo'!$B$1:$ID$49,E43,)</f>
        <v>36.401600000000002</v>
      </c>
      <c r="B43" s="1">
        <f>+HLOOKUP($B$1,'Hoja de Trabajo'!$B$1:$ID$49,E43,)</f>
        <v>38.366799999999998</v>
      </c>
      <c r="C43" s="1">
        <f>+HLOOKUP($C$1,'Hoja de Trabajo'!$B$1:$ID$49,E43,)</f>
        <v>38.707700000000003</v>
      </c>
      <c r="D43" s="1">
        <f>+HLOOKUP($D$1,'Hoja de Trabajo'!$B$1:$ID$49,E43,)</f>
        <v>34.670200000000001</v>
      </c>
      <c r="E43" s="1">
        <f t="shared" si="0"/>
        <v>43</v>
      </c>
      <c r="F43" s="13">
        <f>+HLOOKUP($F$1,IEOD!$B$1:$IK$49,Resultado!E43,)/$K$1</f>
        <v>33.481432035928144</v>
      </c>
      <c r="G43" s="13">
        <f>+HLOOKUP($G$1,IEOD!$B$1:$IK$49,E43,)/$K$1</f>
        <v>35.50774550898204</v>
      </c>
      <c r="H43" s="13">
        <f>+HLOOKUP($H$1,IEOD!$B$1:$IK$49,E43,)/$K$1</f>
        <v>35.529948802395211</v>
      </c>
      <c r="I43" s="13">
        <f>+HLOOKUP($I$1,IEOD!$B$1:$IK$49,E43,)/$K$1</f>
        <v>32.147889820359282</v>
      </c>
    </row>
    <row r="44" spans="1:9" x14ac:dyDescent="0.3">
      <c r="A44" s="1">
        <f>+HLOOKUP($A$1,'Hoja de Trabajo'!$B$1:$ID$49,E44,)</f>
        <v>29.793199999999999</v>
      </c>
      <c r="B44" s="1">
        <f>+HLOOKUP($B$1,'Hoja de Trabajo'!$B$1:$ID$49,E44,)</f>
        <v>31.4041</v>
      </c>
      <c r="C44" s="1">
        <f>+HLOOKUP($C$1,'Hoja de Trabajo'!$B$1:$ID$49,E44,)</f>
        <v>31.597899999999999</v>
      </c>
      <c r="D44" s="1">
        <f>+HLOOKUP($D$1,'Hoja de Trabajo'!$B$1:$ID$49,E44,)</f>
        <v>28.362100000000002</v>
      </c>
      <c r="E44" s="1">
        <f t="shared" si="0"/>
        <v>44</v>
      </c>
      <c r="F44" s="13">
        <f>+HLOOKUP($F$1,IEOD!$B$1:$IK$49,Resultado!E44,)/$K$1</f>
        <v>44.199654491017967</v>
      </c>
      <c r="G44" s="13">
        <f>+HLOOKUP($G$1,IEOD!$B$1:$IK$49,E44,)/$K$1</f>
        <v>46.773505988023956</v>
      </c>
      <c r="H44" s="13">
        <f>+HLOOKUP($H$1,IEOD!$B$1:$IK$49,E44,)/$K$1</f>
        <v>47.007874550898208</v>
      </c>
      <c r="I44" s="13">
        <f>+HLOOKUP($I$1,IEOD!$B$1:$IK$49,E44,)/$K$1</f>
        <v>42.491344910179642</v>
      </c>
    </row>
    <row r="45" spans="1:9" x14ac:dyDescent="0.3">
      <c r="A45" s="1">
        <f>+HLOOKUP($A$1,'Hoja de Trabajo'!$B$1:$ID$49,E45,)</f>
        <v>29.773499999999999</v>
      </c>
      <c r="B45" s="1">
        <f>+HLOOKUP($B$1,'Hoja de Trabajo'!$B$1:$ID$49,E45,)</f>
        <v>31.284199999999998</v>
      </c>
      <c r="C45" s="1">
        <f>+HLOOKUP($C$1,'Hoja de Trabajo'!$B$1:$ID$49,E45,)</f>
        <v>31.575500000000002</v>
      </c>
      <c r="D45" s="1">
        <f>+HLOOKUP($D$1,'Hoja de Trabajo'!$B$1:$ID$49,E45,)</f>
        <v>28.392600000000002</v>
      </c>
      <c r="E45" s="1">
        <f t="shared" si="0"/>
        <v>45</v>
      </c>
      <c r="F45" s="13">
        <f>+HLOOKUP($F$1,IEOD!$B$1:$IK$49,Resultado!E45,)/$K$1</f>
        <v>44.853105389221561</v>
      </c>
      <c r="G45" s="13">
        <f>+HLOOKUP($G$1,IEOD!$B$1:$IK$49,E45,)/$K$1</f>
        <v>47.408541017964076</v>
      </c>
      <c r="H45" s="13">
        <f>+HLOOKUP($H$1,IEOD!$B$1:$IK$49,E45,)/$K$1</f>
        <v>47.692926047904194</v>
      </c>
      <c r="I45" s="13">
        <f>+HLOOKUP($I$1,IEOD!$B$1:$IK$49,E45,)/$K$1</f>
        <v>43.109791017964078</v>
      </c>
    </row>
    <row r="46" spans="1:9" x14ac:dyDescent="0.3">
      <c r="A46" s="1">
        <f>+HLOOKUP($A$1,'Hoja de Trabajo'!$B$1:$ID$49,E46,)</f>
        <v>29.425699999999999</v>
      </c>
      <c r="B46" s="1">
        <f>+HLOOKUP($B$1,'Hoja de Trabajo'!$B$1:$ID$49,E46,)</f>
        <v>30.845300000000002</v>
      </c>
      <c r="C46" s="1">
        <f>+HLOOKUP($C$1,'Hoja de Trabajo'!$B$1:$ID$49,E46,)</f>
        <v>31.203700000000001</v>
      </c>
      <c r="D46" s="1">
        <f>+HLOOKUP($D$1,'Hoja de Trabajo'!$B$1:$ID$49,E46,)</f>
        <v>28.079599999999999</v>
      </c>
      <c r="E46" s="1">
        <f t="shared" si="0"/>
        <v>46</v>
      </c>
      <c r="F46" s="13">
        <f>+HLOOKUP($F$1,IEOD!$B$1:$IK$49,Resultado!E46,)/$K$1</f>
        <v>32.789444610778446</v>
      </c>
      <c r="G46" s="13">
        <f>+HLOOKUP($G$1,IEOD!$B$1:$IK$49,E46,)/$K$1</f>
        <v>34.33062784431138</v>
      </c>
      <c r="H46" s="13">
        <f>+HLOOKUP($H$1,IEOD!$B$1:$IK$49,E46,)/$K$1</f>
        <v>34.742840419161681</v>
      </c>
      <c r="I46" s="13">
        <f>+HLOOKUP($I$1,IEOD!$B$1:$IK$49,E46,)/$K$1</f>
        <v>31.452597005988029</v>
      </c>
    </row>
    <row r="47" spans="1:9" x14ac:dyDescent="0.3">
      <c r="A47" s="1">
        <f>+HLOOKUP($A$1,'Hoja de Trabajo'!$B$1:$ID$49,E47,)</f>
        <v>24.916</v>
      </c>
      <c r="B47" s="1">
        <f>+HLOOKUP($B$1,'Hoja de Trabajo'!$B$1:$ID$49,E47,)</f>
        <v>26.009899999999998</v>
      </c>
      <c r="C47" s="1">
        <f>+HLOOKUP($C$1,'Hoja de Trabajo'!$B$1:$ID$49,E47,)</f>
        <v>26.386099999999999</v>
      </c>
      <c r="D47" s="1">
        <f>+HLOOKUP($D$1,'Hoja de Trabajo'!$B$1:$ID$49,E47,)</f>
        <v>23.766400000000001</v>
      </c>
      <c r="E47" s="1">
        <f t="shared" si="0"/>
        <v>47</v>
      </c>
      <c r="F47" s="13">
        <f>+HLOOKUP($F$1,IEOD!$B$1:$IK$49,Resultado!E47,)/$K$1</f>
        <v>32.949253293413172</v>
      </c>
      <c r="G47" s="13">
        <f>+HLOOKUP($G$1,IEOD!$B$1:$IK$49,E47,)/$K$1</f>
        <v>34.448667065868264</v>
      </c>
      <c r="H47" s="13">
        <f>+HLOOKUP($H$1,IEOD!$B$1:$IK$49,E47,)/$K$1</f>
        <v>34.892589221556889</v>
      </c>
      <c r="I47" s="13">
        <f>+HLOOKUP($I$1,IEOD!$B$1:$IK$49,E47,)/$K$1</f>
        <v>31.664994011976052</v>
      </c>
    </row>
    <row r="48" spans="1:9" x14ac:dyDescent="0.3">
      <c r="A48" s="1">
        <f>+HLOOKUP($A$1,'Hoja de Trabajo'!$B$1:$ID$49,E48,)</f>
        <v>24.521599999999999</v>
      </c>
      <c r="B48" s="1">
        <f>+HLOOKUP($B$1,'Hoja de Trabajo'!$B$1:$ID$49,E48,)</f>
        <v>25.5365</v>
      </c>
      <c r="C48" s="1">
        <f>+HLOOKUP($C$1,'Hoja de Trabajo'!$B$1:$ID$49,E48,)</f>
        <v>25.9224</v>
      </c>
      <c r="D48" s="1">
        <f>+HLOOKUP($D$1,'Hoja de Trabajo'!$B$1:$ID$49,E48,)</f>
        <v>23.366</v>
      </c>
      <c r="E48" s="1">
        <f t="shared" si="0"/>
        <v>48</v>
      </c>
      <c r="F48" s="13">
        <f>+HLOOKUP($F$1,IEOD!$B$1:$IK$49,Resultado!E48,)/$K$1</f>
        <v>25.816802694610779</v>
      </c>
      <c r="G48" s="13">
        <f>+HLOOKUP($G$1,IEOD!$B$1:$IK$49,E48,)/$K$1</f>
        <v>26.892615269461082</v>
      </c>
      <c r="H48" s="13">
        <f>+HLOOKUP($H$1,IEOD!$B$1:$IK$49,E48,)/$K$1</f>
        <v>27.277635928143713</v>
      </c>
      <c r="I48" s="13">
        <f>+HLOOKUP($I$1,IEOD!$B$1:$IK$49,E48,)/$K$1</f>
        <v>24.734572754491019</v>
      </c>
    </row>
    <row r="49" spans="1:9" x14ac:dyDescent="0.3">
      <c r="A49" s="1">
        <f>+HLOOKUP($A$1,'Hoja de Trabajo'!$B$1:$ID$49,E49,)</f>
        <v>24.394300000000001</v>
      </c>
      <c r="B49" s="1">
        <f>+HLOOKUP($B$1,'Hoja de Trabajo'!$B$1:$ID$49,E49,)</f>
        <v>25.3079</v>
      </c>
      <c r="C49" s="1">
        <f>+HLOOKUP($C$1,'Hoja de Trabajo'!$B$1:$ID$49,E49,)</f>
        <v>25.7423</v>
      </c>
      <c r="D49" s="1">
        <f>+HLOOKUP($D$1,'Hoja de Trabajo'!$B$1:$ID$49,E49,)</f>
        <v>23.243500000000001</v>
      </c>
      <c r="E49" s="1">
        <f t="shared" si="0"/>
        <v>49</v>
      </c>
      <c r="F49" s="13">
        <f>+HLOOKUP($F$1,IEOD!$B$1:$IK$49,Resultado!E49,)/$K$1</f>
        <v>25.703053293413173</v>
      </c>
      <c r="G49" s="13">
        <f>+HLOOKUP($G$1,IEOD!$B$1:$IK$49,E49,)/$K$1</f>
        <v>26.642484131736527</v>
      </c>
      <c r="H49" s="13">
        <f>+HLOOKUP($H$1,IEOD!$B$1:$IK$49,E49,)/$K$1</f>
        <v>27.011162574850299</v>
      </c>
      <c r="I49" s="13">
        <f>+HLOOKUP($I$1,IEOD!$B$1:$IK$49,E49,)/$K$1</f>
        <v>24.575644311377246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CMG-PDO</vt:lpstr>
      <vt:lpstr>CMG-COS</vt:lpstr>
      <vt:lpstr>CMG-IEOD</vt:lpstr>
      <vt:lpstr>Hidro-ELP</vt:lpstr>
      <vt:lpstr>Hoja de Trabajo</vt:lpstr>
      <vt:lpstr>IEOD</vt:lpstr>
      <vt:lpstr>Resultado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Eric Joseph Diaz Mormontoy</dc:creator>
  <cp:lastModifiedBy>Eric Joseph Diaz Mormontoy</cp:lastModifiedBy>
  <dcterms:created xsi:type="dcterms:W3CDTF">2015-06-05T18:19:34Z</dcterms:created>
  <dcterms:modified xsi:type="dcterms:W3CDTF">2026-02-06T13:27:36Z</dcterms:modified>
</cp:coreProperties>
</file>